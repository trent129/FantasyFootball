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ntcasillas/Documents/NMFFL/2020-2021/"/>
    </mc:Choice>
  </mc:AlternateContent>
  <xr:revisionPtr revIDLastSave="0" documentId="13_ncr:1_{D1F7B326-34B8-8B42-B945-0E3F9DF4EF06}" xr6:coauthVersionLast="36" xr6:coauthVersionMax="36" xr10:uidLastSave="{00000000-0000-0000-0000-000000000000}"/>
  <bookViews>
    <workbookView xWindow="0" yWindow="460" windowWidth="28800" windowHeight="16500" xr2:uid="{00000000-000D-0000-FFFF-FFFF00000000}"/>
  </bookViews>
  <sheets>
    <sheet name="Standings" sheetId="1" r:id="rId1"/>
    <sheet name="Overall Standings Track" sheetId="29" state="hidden" r:id="rId2"/>
    <sheet name="Points Charts" sheetId="22" r:id="rId3"/>
    <sheet name="FAAB" sheetId="26" state="hidden" r:id="rId4"/>
    <sheet name="Ranks" sheetId="6" r:id="rId5"/>
    <sheet name="Point Data" sheetId="24" r:id="rId6"/>
    <sheet name="Record Comparison" sheetId="27" r:id="rId7"/>
    <sheet name="ESPN Data" sheetId="25" r:id="rId8"/>
    <sheet name="Record Tiebreaker tie teams" sheetId="35" state="hidden" r:id="rId9"/>
    <sheet name="Record Tiebreaker" sheetId="19" state="hidden" r:id="rId10"/>
  </sheets>
  <externalReferences>
    <externalReference r:id="rId11"/>
    <externalReference r:id="rId12"/>
  </externalReferences>
  <definedNames>
    <definedName name="_xlnm._FilterDatabase" localSheetId="7" hidden="1">'ESPN Data'!$A$2:$I$210</definedName>
    <definedName name="_xlnm._FilterDatabase" localSheetId="5" hidden="1">'Point Data'!$B$1:$AU$226</definedName>
    <definedName name="_xlnm._FilterDatabase" localSheetId="0" hidden="1">Standings!#REF!</definedName>
    <definedName name="_xlnm.Print_Area" localSheetId="7">'ESPN Data'!$B$2:$I$210</definedName>
    <definedName name="_xlnm.Print_Area" localSheetId="3">FAAB!$A$2:$AB$80</definedName>
    <definedName name="_xlnm.Print_Area" localSheetId="5">'Point Data'!$B$1:$AU$225</definedName>
    <definedName name="_xlnm.Print_Area" localSheetId="2">'Points Charts'!$A$1:$AB$123</definedName>
    <definedName name="_xlnm.Print_Area" localSheetId="4">Ranks!$A$1:$AO$85</definedName>
    <definedName name="_xlnm.Print_Area" localSheetId="9">'Record Tiebreaker'!$B$2:$R$18</definedName>
    <definedName name="_xlnm.Print_Area" localSheetId="8">'Record Tiebreaker tie teams'!$B$2:$R$18</definedName>
    <definedName name="_xlnm.Print_Area" localSheetId="0">Standings!$A$1:$AD$50</definedName>
    <definedName name="solver_eng" localSheetId="4" hidden="1">1</definedName>
    <definedName name="solver_lin" localSheetId="4" hidden="1">2</definedName>
    <definedName name="solver_neg" localSheetId="4" hidden="1">1</definedName>
    <definedName name="solver_num" localSheetId="4" hidden="1">0</definedName>
    <definedName name="solver_opt" localSheetId="4" hidden="1">Ranks!$K$16</definedName>
    <definedName name="solver_typ" localSheetId="4" hidden="1">1</definedName>
    <definedName name="solver_val" localSheetId="4" hidden="1">0</definedName>
    <definedName name="solver_ver" localSheetId="4" hidden="1">2</definedName>
  </definedNames>
  <calcPr calcId="181029"/>
</workbook>
</file>

<file path=xl/calcChain.xml><?xml version="1.0" encoding="utf-8"?>
<calcChain xmlns="http://schemas.openxmlformats.org/spreadsheetml/2006/main">
  <c r="V20" i="1" l="1"/>
  <c r="M225" i="24"/>
  <c r="M224" i="24"/>
  <c r="M223" i="24"/>
  <c r="M222" i="24"/>
  <c r="M221" i="24"/>
  <c r="M220" i="24"/>
  <c r="M219" i="24"/>
  <c r="M218" i="24"/>
  <c r="M217" i="24"/>
  <c r="M216" i="24"/>
  <c r="M215" i="24"/>
  <c r="M214" i="24"/>
  <c r="M213" i="24"/>
  <c r="M212" i="24"/>
  <c r="M211" i="24"/>
  <c r="M210" i="24"/>
  <c r="M209" i="24"/>
  <c r="M208" i="24"/>
  <c r="M207" i="24"/>
  <c r="M206" i="24"/>
  <c r="M205" i="24"/>
  <c r="M204" i="24"/>
  <c r="M203" i="24"/>
  <c r="M202" i="24"/>
  <c r="M201" i="24"/>
  <c r="M200" i="24"/>
  <c r="M199" i="24"/>
  <c r="M198" i="24"/>
  <c r="M197" i="24"/>
  <c r="M196" i="24"/>
  <c r="M195" i="24"/>
  <c r="M194" i="24"/>
  <c r="M193" i="24"/>
  <c r="M192" i="24"/>
  <c r="M191" i="24"/>
  <c r="M190" i="24"/>
  <c r="M189" i="24"/>
  <c r="M188" i="24"/>
  <c r="M187" i="24"/>
  <c r="M186" i="24"/>
  <c r="M185" i="24"/>
  <c r="M184" i="24"/>
  <c r="M183" i="24"/>
  <c r="M182" i="24"/>
  <c r="M181" i="24"/>
  <c r="M180" i="24"/>
  <c r="M179" i="24"/>
  <c r="M178" i="24"/>
  <c r="M177" i="24"/>
  <c r="M176" i="24"/>
  <c r="M175" i="24"/>
  <c r="M174" i="24"/>
  <c r="M173" i="24"/>
  <c r="M172" i="24"/>
  <c r="M171" i="24"/>
  <c r="M170" i="24"/>
  <c r="M169" i="24"/>
  <c r="M168" i="24"/>
  <c r="M167" i="24"/>
  <c r="M166" i="24"/>
  <c r="M165" i="24"/>
  <c r="M164" i="24"/>
  <c r="M163" i="24"/>
  <c r="M162" i="24"/>
  <c r="M161" i="24"/>
  <c r="M160" i="24"/>
  <c r="M159" i="24"/>
  <c r="M158" i="24"/>
  <c r="M157" i="24"/>
  <c r="M156" i="24"/>
  <c r="M155" i="24"/>
  <c r="M154" i="24"/>
  <c r="M153" i="24"/>
  <c r="M152" i="24"/>
  <c r="M151" i="24"/>
  <c r="M150" i="24"/>
  <c r="M149" i="24"/>
  <c r="M148" i="24"/>
  <c r="M147" i="24"/>
  <c r="M146" i="24"/>
  <c r="M145" i="24"/>
  <c r="M144" i="24"/>
  <c r="M143" i="24"/>
  <c r="M142" i="24"/>
  <c r="M141" i="24"/>
  <c r="M140" i="24"/>
  <c r="M139" i="24"/>
  <c r="M138" i="24"/>
  <c r="M137" i="24"/>
  <c r="M136" i="24"/>
  <c r="M135" i="24"/>
  <c r="M134" i="24"/>
  <c r="M133" i="24"/>
  <c r="M132" i="24"/>
  <c r="M131" i="24"/>
  <c r="M130" i="24"/>
  <c r="M129" i="24"/>
  <c r="M128" i="24"/>
  <c r="M127" i="24"/>
  <c r="M126" i="24"/>
  <c r="M125" i="24"/>
  <c r="M124" i="24"/>
  <c r="M123" i="24"/>
  <c r="M122" i="24"/>
  <c r="M121" i="24"/>
  <c r="M120" i="24"/>
  <c r="M119" i="24"/>
  <c r="M118" i="24"/>
  <c r="M117" i="24"/>
  <c r="M116" i="24"/>
  <c r="M115" i="24"/>
  <c r="M114" i="24"/>
  <c r="M113" i="24"/>
  <c r="M112" i="24"/>
  <c r="M111" i="24"/>
  <c r="M110" i="24"/>
  <c r="M109" i="24"/>
  <c r="M108" i="24"/>
  <c r="M107" i="24"/>
  <c r="M106" i="24"/>
  <c r="M105" i="24"/>
  <c r="M104" i="24"/>
  <c r="M103" i="24"/>
  <c r="M102" i="24"/>
  <c r="M101" i="24"/>
  <c r="M100" i="24"/>
  <c r="M99" i="24"/>
  <c r="M98" i="24"/>
  <c r="M97" i="24"/>
  <c r="M96" i="24"/>
  <c r="M95" i="24"/>
  <c r="M94" i="24"/>
  <c r="M93" i="24"/>
  <c r="M92" i="24"/>
  <c r="M91" i="24"/>
  <c r="M90" i="24"/>
  <c r="M89" i="24"/>
  <c r="M88" i="24"/>
  <c r="M87" i="24"/>
  <c r="M86" i="24"/>
  <c r="M85" i="24"/>
  <c r="M84" i="24"/>
  <c r="M83" i="24"/>
  <c r="M82" i="24"/>
  <c r="M81" i="24"/>
  <c r="M80" i="24"/>
  <c r="M79" i="24"/>
  <c r="M78" i="24"/>
  <c r="M77" i="24"/>
  <c r="M76" i="24"/>
  <c r="M75" i="24"/>
  <c r="M74" i="24"/>
  <c r="M73" i="24"/>
  <c r="M72" i="24"/>
  <c r="M71" i="24"/>
  <c r="M70" i="24"/>
  <c r="M69" i="24"/>
  <c r="M68" i="24"/>
  <c r="M67" i="24"/>
  <c r="M66" i="24"/>
  <c r="M65" i="24"/>
  <c r="M64" i="24"/>
  <c r="M63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M37" i="25"/>
  <c r="M36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V43" i="1" l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D226" i="25" a="1"/>
  <c r="D226" i="25" s="1"/>
  <c r="C226" i="25" a="1"/>
  <c r="C226" i="25" s="1"/>
  <c r="D225" i="25" a="1"/>
  <c r="D225" i="25" s="1"/>
  <c r="C225" i="25" a="1"/>
  <c r="C225" i="25" s="1"/>
  <c r="E225" i="25" s="1" a="1"/>
  <c r="E225" i="25" s="1"/>
  <c r="E224" i="25" a="1"/>
  <c r="E224" i="25" s="1"/>
  <c r="D224" i="25" a="1"/>
  <c r="D224" i="25" s="1"/>
  <c r="C224" i="25" a="1"/>
  <c r="C224" i="25" s="1"/>
  <c r="D223" i="25" a="1"/>
  <c r="D223" i="25" s="1"/>
  <c r="C223" i="25" a="1"/>
  <c r="C223" i="25" s="1"/>
  <c r="E223" i="25" s="1" a="1"/>
  <c r="E223" i="25" s="1"/>
  <c r="D222" i="25" a="1"/>
  <c r="D222" i="25" s="1"/>
  <c r="C222" i="25" a="1"/>
  <c r="C222" i="25" s="1"/>
  <c r="D221" i="25" a="1"/>
  <c r="D221" i="25" s="1"/>
  <c r="C221" i="25" a="1"/>
  <c r="C221" i="25" s="1"/>
  <c r="E221" i="25" s="1" a="1"/>
  <c r="E221" i="25" s="1"/>
  <c r="E220" i="25" a="1"/>
  <c r="E220" i="25" s="1"/>
  <c r="D220" i="25" a="1"/>
  <c r="D220" i="25" s="1"/>
  <c r="C220" i="25" a="1"/>
  <c r="C220" i="25" s="1"/>
  <c r="D219" i="25" a="1"/>
  <c r="D219" i="25" s="1"/>
  <c r="C219" i="25" a="1"/>
  <c r="C219" i="25" s="1"/>
  <c r="D218" i="25" a="1"/>
  <c r="D218" i="25" s="1"/>
  <c r="C218" i="25" a="1"/>
  <c r="C218" i="25" s="1"/>
  <c r="E217" i="25" a="1"/>
  <c r="E217" i="25" s="1"/>
  <c r="D217" i="25" a="1"/>
  <c r="D217" i="25" s="1"/>
  <c r="C217" i="25" a="1"/>
  <c r="C217" i="25" s="1"/>
  <c r="D216" i="25" a="1"/>
  <c r="D216" i="25" s="1"/>
  <c r="C216" i="25" a="1"/>
  <c r="C216" i="25" s="1"/>
  <c r="E216" i="25" s="1" a="1"/>
  <c r="E216" i="25" s="1"/>
  <c r="E215" i="25" a="1"/>
  <c r="E215" i="25" s="1"/>
  <c r="D215" i="25" a="1"/>
  <c r="D215" i="25" s="1"/>
  <c r="E222" i="25" s="1" a="1"/>
  <c r="E222" i="25" s="1"/>
  <c r="C215" i="25" a="1"/>
  <c r="C215" i="25" s="1"/>
  <c r="D214" i="25" a="1"/>
  <c r="D214" i="25" s="1"/>
  <c r="C214" i="25" a="1"/>
  <c r="C214" i="25" s="1"/>
  <c r="E214" i="25" s="1" a="1"/>
  <c r="E214" i="25" s="1"/>
  <c r="D213" i="25" a="1"/>
  <c r="D213" i="25" s="1"/>
  <c r="C213" i="25" a="1"/>
  <c r="C213" i="25" s="1"/>
  <c r="E213" i="25" s="1" a="1"/>
  <c r="E213" i="25" s="1"/>
  <c r="D212" i="25" a="1"/>
  <c r="D212" i="25" s="1"/>
  <c r="C212" i="25" a="1"/>
  <c r="C212" i="25" s="1"/>
  <c r="E212" i="25" s="1" a="1"/>
  <c r="E212" i="25" s="1"/>
  <c r="D211" i="25" a="1"/>
  <c r="D211" i="25" s="1"/>
  <c r="C211" i="25" a="1"/>
  <c r="C211" i="25" s="1"/>
  <c r="E211" i="25" s="1" a="1"/>
  <c r="E211" i="25" s="1"/>
  <c r="D210" i="25" a="1"/>
  <c r="D210" i="25" s="1"/>
  <c r="C210" i="25" a="1"/>
  <c r="C210" i="25" s="1"/>
  <c r="E210" i="25" s="1" a="1"/>
  <c r="E210" i="25" s="1"/>
  <c r="D209" i="25" a="1"/>
  <c r="D209" i="25" s="1"/>
  <c r="C209" i="25" a="1"/>
  <c r="C209" i="25" s="1"/>
  <c r="E209" i="25" s="1" a="1"/>
  <c r="E209" i="25" s="1"/>
  <c r="E208" i="25" a="1"/>
  <c r="E208" i="25" s="1"/>
  <c r="D208" i="25" a="1"/>
  <c r="D208" i="25" s="1"/>
  <c r="C208" i="25" a="1"/>
  <c r="C208" i="25" s="1"/>
  <c r="D207" i="25" a="1"/>
  <c r="D207" i="25" s="1"/>
  <c r="C207" i="25" a="1"/>
  <c r="C207" i="25" s="1"/>
  <c r="E207" i="25" s="1" a="1"/>
  <c r="E207" i="25" s="1"/>
  <c r="D206" i="25" a="1"/>
  <c r="D206" i="25" s="1"/>
  <c r="C206" i="25" a="1"/>
  <c r="C206" i="25" s="1"/>
  <c r="D205" i="25" a="1"/>
  <c r="D205" i="25" s="1"/>
  <c r="C205" i="25" a="1"/>
  <c r="C205" i="25" s="1"/>
  <c r="E205" i="25" s="1" a="1"/>
  <c r="E205" i="25" s="1"/>
  <c r="E204" i="25" a="1"/>
  <c r="E204" i="25" s="1"/>
  <c r="D204" i="25" a="1"/>
  <c r="D204" i="25" s="1"/>
  <c r="C204" i="25" a="1"/>
  <c r="C204" i="25" s="1"/>
  <c r="D203" i="25" a="1"/>
  <c r="D203" i="25" s="1"/>
  <c r="C203" i="25" a="1"/>
  <c r="C203" i="25" s="1"/>
  <c r="D202" i="25" a="1"/>
  <c r="D202" i="25" s="1"/>
  <c r="C202" i="25" a="1"/>
  <c r="C202" i="25" s="1"/>
  <c r="E201" i="25" a="1"/>
  <c r="E201" i="25" s="1"/>
  <c r="D201" i="25" a="1"/>
  <c r="D201" i="25" s="1"/>
  <c r="C201" i="25" a="1"/>
  <c r="C201" i="25" s="1"/>
  <c r="D200" i="25" a="1"/>
  <c r="D200" i="25" s="1"/>
  <c r="C200" i="25" a="1"/>
  <c r="C200" i="25" s="1"/>
  <c r="E200" i="25" s="1" a="1"/>
  <c r="E200" i="25" s="1"/>
  <c r="E199" i="25" a="1"/>
  <c r="E199" i="25" s="1"/>
  <c r="D199" i="25" a="1"/>
  <c r="D199" i="25" s="1"/>
  <c r="E206" i="25" s="1" a="1"/>
  <c r="E206" i="25" s="1"/>
  <c r="C199" i="25" a="1"/>
  <c r="C199" i="25" s="1"/>
  <c r="D198" i="25" a="1"/>
  <c r="D198" i="25" s="1"/>
  <c r="C198" i="25" a="1"/>
  <c r="C198" i="25" s="1"/>
  <c r="E198" i="25" s="1" a="1"/>
  <c r="E198" i="25" s="1"/>
  <c r="D197" i="25" a="1"/>
  <c r="D197" i="25" s="1"/>
  <c r="C197" i="25" a="1"/>
  <c r="C197" i="25" s="1"/>
  <c r="E197" i="25" s="1" a="1"/>
  <c r="E197" i="25" s="1"/>
  <c r="D196" i="25" a="1"/>
  <c r="D196" i="25" s="1"/>
  <c r="C196" i="25" a="1"/>
  <c r="C196" i="25" s="1"/>
  <c r="D195" i="25" a="1"/>
  <c r="D195" i="25" s="1"/>
  <c r="C195" i="25" a="1"/>
  <c r="C195" i="25" s="1"/>
  <c r="E195" i="25" s="1" a="1"/>
  <c r="E195" i="25" s="1"/>
  <c r="D194" i="25" a="1"/>
  <c r="D194" i="25" s="1"/>
  <c r="C194" i="25" a="1"/>
  <c r="C194" i="25" s="1"/>
  <c r="D193" i="25" a="1"/>
  <c r="D193" i="25" s="1"/>
  <c r="C193" i="25" a="1"/>
  <c r="C193" i="25" s="1"/>
  <c r="E193" i="25" s="1" a="1"/>
  <c r="E193" i="25" s="1"/>
  <c r="E192" i="25" a="1"/>
  <c r="E192" i="25" s="1"/>
  <c r="D192" i="25" a="1"/>
  <c r="D192" i="25" s="1"/>
  <c r="C192" i="25" a="1"/>
  <c r="C192" i="25" s="1"/>
  <c r="D191" i="25" a="1"/>
  <c r="D191" i="25" s="1"/>
  <c r="E183" i="25" s="1" a="1"/>
  <c r="E183" i="25" s="1"/>
  <c r="C191" i="25" a="1"/>
  <c r="C191" i="25" s="1"/>
  <c r="E191" i="25" s="1" a="1"/>
  <c r="E191" i="25" s="1"/>
  <c r="E190" i="25" a="1"/>
  <c r="E190" i="25" s="1"/>
  <c r="D190" i="25" a="1"/>
  <c r="D190" i="25" s="1"/>
  <c r="C190" i="25" a="1"/>
  <c r="C190" i="25" s="1"/>
  <c r="D189" i="25" a="1"/>
  <c r="D189" i="25" s="1"/>
  <c r="C189" i="25" a="1"/>
  <c r="C189" i="25" s="1"/>
  <c r="E189" i="25" s="1" a="1"/>
  <c r="E189" i="25" s="1"/>
  <c r="D188" i="25" a="1"/>
  <c r="D188" i="25" s="1"/>
  <c r="C188" i="25" a="1"/>
  <c r="C188" i="25" s="1"/>
  <c r="D187" i="25" a="1"/>
  <c r="D187" i="25" s="1"/>
  <c r="C187" i="25" a="1"/>
  <c r="C187" i="25" s="1"/>
  <c r="D186" i="25" a="1"/>
  <c r="D186" i="25" s="1"/>
  <c r="E188" i="25" s="1" a="1"/>
  <c r="E188" i="25" s="1"/>
  <c r="C186" i="25" a="1"/>
  <c r="C186" i="25" s="1"/>
  <c r="E186" i="25" s="1" a="1"/>
  <c r="E186" i="25" s="1"/>
  <c r="E185" i="25" a="1"/>
  <c r="E185" i="25" s="1"/>
  <c r="D185" i="25" a="1"/>
  <c r="D185" i="25" s="1"/>
  <c r="C185" i="25" a="1"/>
  <c r="C185" i="25" s="1"/>
  <c r="D184" i="25" a="1"/>
  <c r="D184" i="25" s="1"/>
  <c r="C184" i="25" a="1"/>
  <c r="C184" i="25" s="1"/>
  <c r="E184" i="25" s="1" a="1"/>
  <c r="E184" i="25" s="1"/>
  <c r="D183" i="25" a="1"/>
  <c r="D183" i="25" s="1"/>
  <c r="C183" i="25" a="1"/>
  <c r="C183" i="25" s="1"/>
  <c r="D182" i="25" a="1"/>
  <c r="D182" i="25" s="1"/>
  <c r="C182" i="25" a="1"/>
  <c r="C182" i="25" s="1"/>
  <c r="E182" i="25" s="1" a="1"/>
  <c r="E182" i="25" s="1"/>
  <c r="D181" i="25" a="1"/>
  <c r="D181" i="25" s="1"/>
  <c r="C181" i="25" a="1"/>
  <c r="C181" i="25" s="1"/>
  <c r="E180" i="25" a="1"/>
  <c r="E180" i="25" s="1"/>
  <c r="D180" i="25" a="1"/>
  <c r="D180" i="25" s="1"/>
  <c r="C180" i="25" a="1"/>
  <c r="C180" i="25" s="1"/>
  <c r="D179" i="25" a="1"/>
  <c r="D179" i="25" s="1"/>
  <c r="C179" i="25" a="1"/>
  <c r="C179" i="25" s="1"/>
  <c r="E179" i="25" s="1" a="1"/>
  <c r="E179" i="25" s="1"/>
  <c r="D178" i="25" a="1"/>
  <c r="D178" i="25" s="1"/>
  <c r="C178" i="25" a="1"/>
  <c r="C178" i="25" s="1"/>
  <c r="D177" i="25" a="1"/>
  <c r="D177" i="25" s="1"/>
  <c r="C177" i="25" a="1"/>
  <c r="C177" i="25" s="1"/>
  <c r="E176" i="25" a="1"/>
  <c r="E176" i="25" s="1"/>
  <c r="D176" i="25" a="1"/>
  <c r="D176" i="25" s="1"/>
  <c r="C176" i="25" a="1"/>
  <c r="C176" i="25" s="1"/>
  <c r="D175" i="25" a="1"/>
  <c r="D175" i="25" s="1"/>
  <c r="E174" i="25" s="1" a="1"/>
  <c r="E174" i="25" s="1"/>
  <c r="C175" i="25" a="1"/>
  <c r="C175" i="25" s="1"/>
  <c r="E175" i="25" s="1" a="1"/>
  <c r="E175" i="25" s="1"/>
  <c r="D174" i="25" a="1"/>
  <c r="D174" i="25" s="1"/>
  <c r="C174" i="25" a="1"/>
  <c r="C174" i="25" s="1"/>
  <c r="D173" i="25" a="1"/>
  <c r="D173" i="25" s="1"/>
  <c r="C173" i="25" a="1"/>
  <c r="C173" i="25" s="1"/>
  <c r="D172" i="25" a="1"/>
  <c r="D172" i="25" s="1"/>
  <c r="C172" i="25" a="1"/>
  <c r="C172" i="25" s="1"/>
  <c r="D171" i="25" a="1"/>
  <c r="D171" i="25" s="1"/>
  <c r="C171" i="25" a="1"/>
  <c r="C171" i="25" s="1"/>
  <c r="E171" i="25" s="1" a="1"/>
  <c r="E171" i="25" s="1"/>
  <c r="D170" i="25" a="1"/>
  <c r="D170" i="25" s="1"/>
  <c r="C170" i="25" a="1"/>
  <c r="C170" i="25" s="1"/>
  <c r="E170" i="25" s="1" a="1"/>
  <c r="E170" i="25" s="1"/>
  <c r="E169" i="25" a="1"/>
  <c r="E169" i="25" s="1"/>
  <c r="D169" i="25" a="1"/>
  <c r="D169" i="25" s="1"/>
  <c r="C169" i="25" a="1"/>
  <c r="C169" i="25" s="1"/>
  <c r="D168" i="25" a="1"/>
  <c r="D168" i="25" s="1"/>
  <c r="C168" i="25" a="1"/>
  <c r="C168" i="25" s="1"/>
  <c r="E168" i="25" s="1" a="1"/>
  <c r="E168" i="25" s="1"/>
  <c r="E167" i="25" a="1"/>
  <c r="E167" i="25" s="1"/>
  <c r="D167" i="25" a="1"/>
  <c r="D167" i="25" s="1"/>
  <c r="C167" i="25" a="1"/>
  <c r="C167" i="25" s="1"/>
  <c r="D166" i="25" a="1"/>
  <c r="D166" i="25" s="1"/>
  <c r="E172" i="25" s="1" a="1"/>
  <c r="E172" i="25" s="1"/>
  <c r="C166" i="25" a="1"/>
  <c r="C166" i="25" s="1"/>
  <c r="E166" i="25" s="1" a="1"/>
  <c r="E166" i="25" s="1"/>
  <c r="D165" i="25" a="1"/>
  <c r="D165" i="25" s="1"/>
  <c r="C165" i="25" a="1"/>
  <c r="C165" i="25" s="1"/>
  <c r="E165" i="25" s="1" a="1"/>
  <c r="E165" i="25" s="1"/>
  <c r="E164" i="25" a="1"/>
  <c r="E164" i="25" s="1"/>
  <c r="D164" i="25" a="1"/>
  <c r="D164" i="25" s="1"/>
  <c r="C164" i="25" a="1"/>
  <c r="C164" i="25" s="1"/>
  <c r="D163" i="25" a="1"/>
  <c r="D163" i="25" s="1"/>
  <c r="C163" i="25" a="1"/>
  <c r="C163" i="25" s="1"/>
  <c r="E163" i="25" s="1" a="1"/>
  <c r="E163" i="25" s="1"/>
  <c r="D162" i="25" a="1"/>
  <c r="D162" i="25" s="1"/>
  <c r="E158" i="25" s="1" a="1"/>
  <c r="E158" i="25" s="1"/>
  <c r="C162" i="25" a="1"/>
  <c r="C162" i="25" s="1"/>
  <c r="E162" i="25" s="1" a="1"/>
  <c r="E162" i="25" s="1"/>
  <c r="D161" i="25" a="1"/>
  <c r="D161" i="25" s="1"/>
  <c r="C161" i="25" a="1"/>
  <c r="C161" i="25" s="1"/>
  <c r="E160" i="25" a="1"/>
  <c r="E160" i="25" s="1"/>
  <c r="D160" i="25" a="1"/>
  <c r="D160" i="25" s="1"/>
  <c r="E156" i="25" s="1" a="1"/>
  <c r="E156" i="25" s="1"/>
  <c r="C160" i="25" a="1"/>
  <c r="C160" i="25" s="1"/>
  <c r="D159" i="25" a="1"/>
  <c r="D159" i="25" s="1"/>
  <c r="E148" i="25" s="1" a="1"/>
  <c r="E148" i="25" s="1"/>
  <c r="C159" i="25" a="1"/>
  <c r="C159" i="25" s="1"/>
  <c r="D158" i="25" a="1"/>
  <c r="D158" i="25" s="1"/>
  <c r="C158" i="25" a="1"/>
  <c r="C158" i="25" s="1"/>
  <c r="D157" i="25" a="1"/>
  <c r="D157" i="25" s="1"/>
  <c r="C157" i="25" a="1"/>
  <c r="C157" i="25" s="1"/>
  <c r="D156" i="25" a="1"/>
  <c r="D156" i="25" s="1"/>
  <c r="C156" i="25" a="1"/>
  <c r="C156" i="25" s="1"/>
  <c r="D155" i="25" a="1"/>
  <c r="D155" i="25" s="1"/>
  <c r="C155" i="25" a="1"/>
  <c r="C155" i="25" s="1"/>
  <c r="E155" i="25" s="1" a="1"/>
  <c r="E155" i="25" s="1"/>
  <c r="D154" i="25" a="1"/>
  <c r="D154" i="25" s="1"/>
  <c r="E157" i="25" s="1" a="1"/>
  <c r="E157" i="25" s="1"/>
  <c r="C154" i="25" a="1"/>
  <c r="C154" i="25" s="1"/>
  <c r="E154" i="25" s="1" a="1"/>
  <c r="E154" i="25" s="1"/>
  <c r="D153" i="25" a="1"/>
  <c r="D153" i="25" s="1"/>
  <c r="C153" i="25" a="1"/>
  <c r="C153" i="25" s="1"/>
  <c r="D152" i="25" a="1"/>
  <c r="D152" i="25" s="1"/>
  <c r="C152" i="25" a="1"/>
  <c r="C152" i="25" s="1"/>
  <c r="E152" i="25" s="1" a="1"/>
  <c r="E152" i="25" s="1"/>
  <c r="E151" i="25" a="1"/>
  <c r="E151" i="25" s="1"/>
  <c r="D151" i="25" a="1"/>
  <c r="D151" i="25" s="1"/>
  <c r="C151" i="25" a="1"/>
  <c r="C151" i="25" s="1"/>
  <c r="D150" i="25" a="1"/>
  <c r="D150" i="25" s="1"/>
  <c r="E153" i="25" s="1" a="1"/>
  <c r="E153" i="25" s="1"/>
  <c r="C150" i="25" a="1"/>
  <c r="C150" i="25" s="1"/>
  <c r="E150" i="25" s="1" a="1"/>
  <c r="E150" i="25" s="1"/>
  <c r="D149" i="25" a="1"/>
  <c r="D149" i="25" s="1"/>
  <c r="C149" i="25" a="1"/>
  <c r="C149" i="25" s="1"/>
  <c r="E149" i="25" s="1" a="1"/>
  <c r="E149" i="25" s="1"/>
  <c r="D148" i="25" a="1"/>
  <c r="D148" i="25" s="1"/>
  <c r="C148" i="25" a="1"/>
  <c r="C148" i="25" s="1"/>
  <c r="D147" i="25" a="1"/>
  <c r="D147" i="25" s="1"/>
  <c r="C147" i="25" a="1"/>
  <c r="C147" i="25" s="1"/>
  <c r="E147" i="25" s="1" a="1"/>
  <c r="E147" i="25" s="1"/>
  <c r="D146" i="25" a="1"/>
  <c r="D146" i="25" s="1"/>
  <c r="E135" i="25" s="1" a="1"/>
  <c r="E135" i="25" s="1"/>
  <c r="C146" i="25" a="1"/>
  <c r="C146" i="25" s="1"/>
  <c r="D145" i="25" a="1"/>
  <c r="D145" i="25" s="1"/>
  <c r="C145" i="25" a="1"/>
  <c r="C145" i="25" s="1"/>
  <c r="E144" i="25" a="1"/>
  <c r="E144" i="25" s="1"/>
  <c r="D144" i="25" a="1"/>
  <c r="D144" i="25" s="1"/>
  <c r="C144" i="25" a="1"/>
  <c r="C144" i="25" s="1"/>
  <c r="D143" i="25" a="1"/>
  <c r="D143" i="25" s="1"/>
  <c r="C143" i="25" a="1"/>
  <c r="C143" i="25" s="1"/>
  <c r="E142" i="25" a="1"/>
  <c r="E142" i="25" s="1"/>
  <c r="D142" i="25" a="1"/>
  <c r="D142" i="25" s="1"/>
  <c r="C142" i="25" a="1"/>
  <c r="C142" i="25" s="1"/>
  <c r="D141" i="25" a="1"/>
  <c r="D141" i="25" s="1"/>
  <c r="C141" i="25" a="1"/>
  <c r="C141" i="25" s="1"/>
  <c r="E141" i="25" s="1" a="1"/>
  <c r="E141" i="25" s="1"/>
  <c r="D140" i="25" a="1"/>
  <c r="D140" i="25" s="1"/>
  <c r="C140" i="25" a="1"/>
  <c r="C140" i="25" s="1"/>
  <c r="D139" i="25" a="1"/>
  <c r="D139" i="25" s="1"/>
  <c r="C139" i="25" a="1"/>
  <c r="C139" i="25" s="1"/>
  <c r="D138" i="25" a="1"/>
  <c r="D138" i="25" s="1"/>
  <c r="C138" i="25" a="1"/>
  <c r="C138" i="25" s="1"/>
  <c r="E138" i="25" s="1" a="1"/>
  <c r="E138" i="25" s="1"/>
  <c r="E137" i="25" a="1"/>
  <c r="E137" i="25" s="1"/>
  <c r="D137" i="25" a="1"/>
  <c r="D137" i="25" s="1"/>
  <c r="C137" i="25" a="1"/>
  <c r="C137" i="25" s="1"/>
  <c r="D136" i="25" a="1"/>
  <c r="D136" i="25" s="1"/>
  <c r="E140" i="25" s="1" a="1"/>
  <c r="E140" i="25" s="1"/>
  <c r="C136" i="25" a="1"/>
  <c r="C136" i="25" s="1"/>
  <c r="E136" i="25" s="1" a="1"/>
  <c r="E136" i="25" s="1"/>
  <c r="D135" i="25" a="1"/>
  <c r="D135" i="25" s="1"/>
  <c r="C135" i="25" a="1"/>
  <c r="C135" i="25" s="1"/>
  <c r="D134" i="25" a="1"/>
  <c r="D134" i="25" s="1"/>
  <c r="C134" i="25" a="1"/>
  <c r="C134" i="25" s="1"/>
  <c r="E134" i="25" s="1" a="1"/>
  <c r="E134" i="25" s="1"/>
  <c r="D133" i="25" a="1"/>
  <c r="D133" i="25" s="1"/>
  <c r="C133" i="25" a="1"/>
  <c r="C133" i="25" s="1"/>
  <c r="E133" i="25" s="1" a="1"/>
  <c r="E133" i="25" s="1"/>
  <c r="D132" i="25" a="1"/>
  <c r="D132" i="25" s="1"/>
  <c r="C132" i="25" a="1"/>
  <c r="C132" i="25" s="1"/>
  <c r="E132" i="25" s="1" a="1"/>
  <c r="E132" i="25" s="1"/>
  <c r="D131" i="25" a="1"/>
  <c r="D131" i="25" s="1"/>
  <c r="C131" i="25" a="1"/>
  <c r="C131" i="25" s="1"/>
  <c r="D130" i="25" a="1"/>
  <c r="D130" i="25" s="1"/>
  <c r="C130" i="25" a="1"/>
  <c r="C130" i="25" s="1"/>
  <c r="E130" i="25" s="1" a="1"/>
  <c r="E130" i="25" s="1"/>
  <c r="D129" i="25" a="1"/>
  <c r="D129" i="25" s="1"/>
  <c r="C129" i="25" a="1"/>
  <c r="C129" i="25" s="1"/>
  <c r="E128" i="25" a="1"/>
  <c r="E128" i="25" s="1"/>
  <c r="D128" i="25" a="1"/>
  <c r="D128" i="25" s="1"/>
  <c r="C128" i="25" a="1"/>
  <c r="C128" i="25" s="1"/>
  <c r="D127" i="25" a="1"/>
  <c r="D127" i="25" s="1"/>
  <c r="C127" i="25" a="1"/>
  <c r="C127" i="25" s="1"/>
  <c r="E127" i="25" s="1" a="1"/>
  <c r="E127" i="25" s="1"/>
  <c r="D126" i="25" a="1"/>
  <c r="D126" i="25" s="1"/>
  <c r="C126" i="25" a="1"/>
  <c r="C126" i="25" s="1"/>
  <c r="D125" i="25" a="1"/>
  <c r="D125" i="25" s="1"/>
  <c r="C125" i="25" a="1"/>
  <c r="C125" i="25" s="1"/>
  <c r="E125" i="25" s="1" a="1"/>
  <c r="E125" i="25" s="1"/>
  <c r="E124" i="25" a="1"/>
  <c r="E124" i="25" s="1"/>
  <c r="D124" i="25" a="1"/>
  <c r="D124" i="25" s="1"/>
  <c r="C124" i="25" a="1"/>
  <c r="C124" i="25" s="1"/>
  <c r="D123" i="25" a="1"/>
  <c r="D123" i="25" s="1"/>
  <c r="E126" i="25" s="1" a="1"/>
  <c r="E126" i="25" s="1"/>
  <c r="C123" i="25" a="1"/>
  <c r="C123" i="25" s="1"/>
  <c r="D122" i="25" a="1"/>
  <c r="D122" i="25" s="1"/>
  <c r="C122" i="25" a="1"/>
  <c r="C122" i="25" s="1"/>
  <c r="E121" i="25" a="1"/>
  <c r="E121" i="25" s="1"/>
  <c r="D121" i="25" a="1"/>
  <c r="D121" i="25" s="1"/>
  <c r="C121" i="25" a="1"/>
  <c r="C121" i="25" s="1"/>
  <c r="D120" i="25" a="1"/>
  <c r="D120" i="25" s="1"/>
  <c r="C120" i="25" a="1"/>
  <c r="C120" i="25" s="1"/>
  <c r="E120" i="25" s="1" a="1"/>
  <c r="E120" i="25" s="1"/>
  <c r="D119" i="25" a="1"/>
  <c r="D119" i="25" s="1"/>
  <c r="C119" i="25" a="1"/>
  <c r="C119" i="25" s="1"/>
  <c r="D118" i="25" a="1"/>
  <c r="D118" i="25" s="1"/>
  <c r="C118" i="25" a="1"/>
  <c r="C118" i="25" s="1"/>
  <c r="E118" i="25" s="1" a="1"/>
  <c r="E118" i="25" s="1"/>
  <c r="E117" i="25" a="1"/>
  <c r="E117" i="25" s="1"/>
  <c r="D117" i="25" a="1"/>
  <c r="D117" i="25" s="1"/>
  <c r="C117" i="25" a="1"/>
  <c r="C117" i="25" s="1"/>
  <c r="E116" i="25" a="1"/>
  <c r="E116" i="25" s="1"/>
  <c r="D116" i="25" a="1"/>
  <c r="D116" i="25" s="1"/>
  <c r="C116" i="25" a="1"/>
  <c r="C116" i="25" s="1"/>
  <c r="D115" i="25" a="1"/>
  <c r="D115" i="25" s="1"/>
  <c r="C115" i="25" a="1"/>
  <c r="C115" i="25" s="1"/>
  <c r="E115" i="25" s="1" a="1"/>
  <c r="E115" i="25" s="1"/>
  <c r="D114" i="25" a="1"/>
  <c r="D114" i="25" s="1"/>
  <c r="C114" i="25" a="1"/>
  <c r="C114" i="25" s="1"/>
  <c r="D113" i="25" a="1"/>
  <c r="D113" i="25" s="1"/>
  <c r="C113" i="25" a="1"/>
  <c r="C113" i="25" s="1"/>
  <c r="D112" i="25" a="1"/>
  <c r="D112" i="25" s="1"/>
  <c r="C112" i="25" a="1"/>
  <c r="C112" i="25" s="1"/>
  <c r="D111" i="25" a="1"/>
  <c r="D111" i="25" s="1"/>
  <c r="E114" i="25" s="1" a="1"/>
  <c r="E114" i="25" s="1"/>
  <c r="C111" i="25" a="1"/>
  <c r="C111" i="25" s="1"/>
  <c r="D110" i="25" a="1"/>
  <c r="D110" i="25" s="1"/>
  <c r="C110" i="25" a="1"/>
  <c r="C110" i="25" s="1"/>
  <c r="D109" i="25" a="1"/>
  <c r="D109" i="25" s="1"/>
  <c r="C109" i="25" a="1"/>
  <c r="C109" i="25" s="1"/>
  <c r="D108" i="25" a="1"/>
  <c r="D108" i="25" s="1"/>
  <c r="C108" i="25" a="1"/>
  <c r="C108" i="25" s="1"/>
  <c r="E108" i="25" s="1" a="1"/>
  <c r="E108" i="25" s="1"/>
  <c r="D107" i="25" a="1"/>
  <c r="D107" i="25" s="1"/>
  <c r="C107" i="25" a="1"/>
  <c r="C107" i="25" s="1"/>
  <c r="D106" i="25" a="1"/>
  <c r="D106" i="25" s="1"/>
  <c r="C106" i="25" a="1"/>
  <c r="C106" i="25" s="1"/>
  <c r="D105" i="25" a="1"/>
  <c r="D105" i="25" s="1"/>
  <c r="C105" i="25" a="1"/>
  <c r="C105" i="25" s="1"/>
  <c r="E105" i="25" s="1" a="1"/>
  <c r="E105" i="25" s="1"/>
  <c r="D104" i="25" a="1"/>
  <c r="D104" i="25" s="1"/>
  <c r="E106" i="25" s="1" a="1"/>
  <c r="E106" i="25" s="1"/>
  <c r="C104" i="25" a="1"/>
  <c r="C104" i="25" s="1"/>
  <c r="E104" i="25" s="1" a="1"/>
  <c r="E104" i="25" s="1"/>
  <c r="D103" i="25" a="1"/>
  <c r="D103" i="25" s="1"/>
  <c r="C103" i="25" a="1"/>
  <c r="C103" i="25" s="1"/>
  <c r="D102" i="25" a="1"/>
  <c r="D102" i="25" s="1"/>
  <c r="C102" i="25" a="1"/>
  <c r="C102" i="25" s="1"/>
  <c r="D101" i="25" a="1"/>
  <c r="D101" i="25" s="1"/>
  <c r="C101" i="25" a="1"/>
  <c r="C101" i="25" s="1"/>
  <c r="E101" i="25" s="1" a="1"/>
  <c r="E101" i="25" s="1"/>
  <c r="D100" i="25" a="1"/>
  <c r="D100" i="25" s="1"/>
  <c r="C100" i="25" a="1"/>
  <c r="C100" i="25" s="1"/>
  <c r="D99" i="25" a="1"/>
  <c r="D99" i="25" s="1"/>
  <c r="C99" i="25" a="1"/>
  <c r="C99" i="25" s="1"/>
  <c r="E99" i="25" s="1" a="1"/>
  <c r="E99" i="25" s="1"/>
  <c r="D98" i="25" a="1"/>
  <c r="D98" i="25" s="1"/>
  <c r="C98" i="25" a="1"/>
  <c r="C98" i="25" s="1"/>
  <c r="E98" i="25" s="1" a="1"/>
  <c r="E98" i="25" s="1"/>
  <c r="D97" i="25" a="1"/>
  <c r="D97" i="25" s="1"/>
  <c r="C97" i="25" a="1"/>
  <c r="C97" i="25" s="1"/>
  <c r="D96" i="25" a="1"/>
  <c r="D96" i="25" s="1"/>
  <c r="C96" i="25" a="1"/>
  <c r="C96" i="25" s="1"/>
  <c r="E96" i="25" s="1" a="1"/>
  <c r="E96" i="25" s="1"/>
  <c r="D95" i="25" a="1"/>
  <c r="D95" i="25" s="1"/>
  <c r="C95" i="25" a="1"/>
  <c r="C95" i="25" s="1"/>
  <c r="D94" i="25" a="1"/>
  <c r="D94" i="25" s="1"/>
  <c r="C94" i="25" a="1"/>
  <c r="C94" i="25" s="1"/>
  <c r="E94" i="25" s="1" a="1"/>
  <c r="E94" i="25" s="1"/>
  <c r="D93" i="25" a="1"/>
  <c r="D93" i="25" s="1"/>
  <c r="C93" i="25" a="1"/>
  <c r="C93" i="25" s="1"/>
  <c r="D92" i="25" a="1"/>
  <c r="D92" i="25" s="1"/>
  <c r="C92" i="25" a="1"/>
  <c r="C92" i="25" s="1"/>
  <c r="E92" i="25" s="1" a="1"/>
  <c r="E92" i="25" s="1"/>
  <c r="D91" i="25" a="1"/>
  <c r="D91" i="25" s="1"/>
  <c r="C91" i="25" a="1"/>
  <c r="C91" i="25" s="1"/>
  <c r="D90" i="25" a="1"/>
  <c r="D90" i="25" s="1"/>
  <c r="C90" i="25" a="1"/>
  <c r="C90" i="25" s="1"/>
  <c r="D89" i="25" a="1"/>
  <c r="D89" i="25" s="1"/>
  <c r="C89" i="25" a="1"/>
  <c r="C89" i="25" s="1"/>
  <c r="E89" i="25" s="1" a="1"/>
  <c r="E89" i="25" s="1"/>
  <c r="D88" i="25" a="1"/>
  <c r="D88" i="25" s="1"/>
  <c r="E95" i="25" s="1" a="1"/>
  <c r="E95" i="25" s="1"/>
  <c r="C88" i="25" a="1"/>
  <c r="C88" i="25" s="1"/>
  <c r="E88" i="25" s="1" a="1"/>
  <c r="E88" i="25" s="1"/>
  <c r="D87" i="25" a="1"/>
  <c r="D87" i="25" s="1"/>
  <c r="C87" i="25" a="1"/>
  <c r="C87" i="25" s="1"/>
  <c r="D86" i="25" a="1"/>
  <c r="D86" i="25" s="1"/>
  <c r="C86" i="25" a="1"/>
  <c r="C86" i="25" s="1"/>
  <c r="D85" i="25" a="1"/>
  <c r="D85" i="25" s="1"/>
  <c r="C85" i="25" a="1"/>
  <c r="C85" i="25" s="1"/>
  <c r="E85" i="25" s="1" a="1"/>
  <c r="E85" i="25" s="1"/>
  <c r="D84" i="25" a="1"/>
  <c r="D84" i="25" s="1"/>
  <c r="C84" i="25" a="1"/>
  <c r="C84" i="25" s="1"/>
  <c r="E84" i="25" s="1" a="1"/>
  <c r="E84" i="25" s="1"/>
  <c r="D83" i="25" a="1"/>
  <c r="D83" i="25" s="1"/>
  <c r="C83" i="25" a="1"/>
  <c r="C83" i="25" s="1"/>
  <c r="E83" i="25" s="1" a="1"/>
  <c r="E83" i="25" s="1"/>
  <c r="D82" i="25" a="1"/>
  <c r="D82" i="25" s="1"/>
  <c r="C82" i="25" a="1"/>
  <c r="C82" i="25" s="1"/>
  <c r="D81" i="25" a="1"/>
  <c r="D81" i="25" s="1"/>
  <c r="C81" i="25" a="1"/>
  <c r="C81" i="25" s="1"/>
  <c r="D80" i="25" a="1"/>
  <c r="D80" i="25" s="1"/>
  <c r="C80" i="25" a="1"/>
  <c r="C80" i="25" s="1"/>
  <c r="D79" i="25" a="1"/>
  <c r="D79" i="25" s="1"/>
  <c r="C79" i="25" a="1"/>
  <c r="C79" i="25" s="1"/>
  <c r="D78" i="25" a="1"/>
  <c r="D78" i="25" s="1"/>
  <c r="C78" i="25" a="1"/>
  <c r="C78" i="25" s="1"/>
  <c r="E78" i="25" s="1" a="1"/>
  <c r="E78" i="25" s="1"/>
  <c r="D77" i="25" a="1"/>
  <c r="D77" i="25" s="1"/>
  <c r="C77" i="25" a="1"/>
  <c r="C77" i="25" s="1"/>
  <c r="E77" i="25" s="1" a="1"/>
  <c r="E77" i="25" s="1"/>
  <c r="D76" i="25" a="1"/>
  <c r="D76" i="25" s="1"/>
  <c r="C76" i="25" a="1"/>
  <c r="C76" i="25" s="1"/>
  <c r="E76" i="25" s="1" a="1"/>
  <c r="E76" i="25" s="1"/>
  <c r="D75" i="25" a="1"/>
  <c r="D75" i="25" s="1"/>
  <c r="C75" i="25" a="1"/>
  <c r="C75" i="25" s="1"/>
  <c r="E75" i="25" s="1" a="1"/>
  <c r="E75" i="25" s="1"/>
  <c r="D74" i="25" a="1"/>
  <c r="D74" i="25" s="1"/>
  <c r="E79" i="25" s="1" a="1"/>
  <c r="E79" i="25" s="1"/>
  <c r="C74" i="25" a="1"/>
  <c r="C74" i="25" s="1"/>
  <c r="D73" i="25" a="1"/>
  <c r="D73" i="25" s="1"/>
  <c r="C73" i="25" a="1"/>
  <c r="C73" i="25" s="1"/>
  <c r="E73" i="25" s="1" a="1"/>
  <c r="E73" i="25" s="1"/>
  <c r="D72" i="25" a="1"/>
  <c r="D72" i="25" s="1"/>
  <c r="C72" i="25" a="1"/>
  <c r="C72" i="25" s="1"/>
  <c r="D71" i="25" a="1"/>
  <c r="D71" i="25" s="1"/>
  <c r="C71" i="25" a="1"/>
  <c r="C71" i="25" s="1"/>
  <c r="E71" i="25" s="1" a="1"/>
  <c r="E71" i="25" s="1"/>
  <c r="D70" i="25" a="1"/>
  <c r="D70" i="25" s="1"/>
  <c r="C70" i="25" a="1"/>
  <c r="C70" i="25" s="1"/>
  <c r="D69" i="25" a="1"/>
  <c r="D69" i="25" s="1"/>
  <c r="C69" i="25" a="1"/>
  <c r="C69" i="25" s="1"/>
  <c r="E69" i="25" s="1" a="1"/>
  <c r="E69" i="25" s="1"/>
  <c r="D68" i="25" a="1"/>
  <c r="D68" i="25" s="1"/>
  <c r="C68" i="25" a="1"/>
  <c r="C68" i="25" s="1"/>
  <c r="D67" i="25" a="1"/>
  <c r="D67" i="25" s="1"/>
  <c r="C67" i="25" a="1"/>
  <c r="C67" i="25" s="1"/>
  <c r="E67" i="25" s="1" a="1"/>
  <c r="E67" i="25" s="1"/>
  <c r="D66" i="25" a="1"/>
  <c r="D66" i="25" s="1"/>
  <c r="C66" i="25" a="1"/>
  <c r="C66" i="25" s="1"/>
  <c r="D65" i="25" a="1"/>
  <c r="D65" i="25" s="1"/>
  <c r="C65" i="25" a="1"/>
  <c r="C65" i="25" s="1"/>
  <c r="D64" i="25" a="1"/>
  <c r="D64" i="25" s="1"/>
  <c r="C64" i="25" a="1"/>
  <c r="C64" i="25" s="1"/>
  <c r="D63" i="25" a="1"/>
  <c r="D63" i="25" s="1"/>
  <c r="C63" i="25" a="1"/>
  <c r="C63" i="25" s="1"/>
  <c r="E63" i="25" s="1" a="1"/>
  <c r="E63" i="25" s="1"/>
  <c r="D62" i="25" a="1"/>
  <c r="D62" i="25" s="1"/>
  <c r="C62" i="25" a="1"/>
  <c r="C62" i="25" s="1"/>
  <c r="D61" i="25" a="1"/>
  <c r="D61" i="25" s="1"/>
  <c r="C61" i="25" a="1"/>
  <c r="C61" i="25" s="1"/>
  <c r="D60" i="25" a="1"/>
  <c r="D60" i="25" s="1"/>
  <c r="C60" i="25" a="1"/>
  <c r="C60" i="25" s="1"/>
  <c r="D59" i="25" a="1"/>
  <c r="D59" i="25" s="1"/>
  <c r="C59" i="25" a="1"/>
  <c r="C59" i="25" s="1"/>
  <c r="D58" i="25" a="1"/>
  <c r="D58" i="25" s="1"/>
  <c r="C58" i="25" a="1"/>
  <c r="C58" i="25" s="1"/>
  <c r="D57" i="25" a="1"/>
  <c r="D57" i="25" s="1"/>
  <c r="C57" i="25" a="1"/>
  <c r="C57" i="25" s="1"/>
  <c r="D56" i="25" a="1"/>
  <c r="D56" i="25" s="1"/>
  <c r="C56" i="25" a="1"/>
  <c r="C56" i="25" s="1"/>
  <c r="D55" i="25" a="1"/>
  <c r="D55" i="25" s="1"/>
  <c r="C55" i="25" a="1"/>
  <c r="C55" i="25" s="1"/>
  <c r="E55" i="25" s="1" a="1"/>
  <c r="E55" i="25" s="1"/>
  <c r="D54" i="25" a="1"/>
  <c r="D54" i="25" s="1"/>
  <c r="C54" i="25" a="1"/>
  <c r="C54" i="25" s="1"/>
  <c r="D53" i="25" a="1"/>
  <c r="D53" i="25" s="1"/>
  <c r="C53" i="25" a="1"/>
  <c r="C53" i="25" s="1"/>
  <c r="E53" i="25" s="1" a="1"/>
  <c r="E53" i="25" s="1"/>
  <c r="D52" i="25" a="1"/>
  <c r="D52" i="25" s="1"/>
  <c r="C52" i="25" a="1"/>
  <c r="C52" i="25" s="1"/>
  <c r="E52" i="25" s="1" a="1"/>
  <c r="E52" i="25" s="1"/>
  <c r="D51" i="25" a="1"/>
  <c r="D51" i="25" s="1"/>
  <c r="C51" i="25" a="1"/>
  <c r="C51" i="25" s="1"/>
  <c r="E51" i="25" s="1" a="1"/>
  <c r="E51" i="25" s="1"/>
  <c r="D50" i="25" a="1"/>
  <c r="D50" i="25" s="1"/>
  <c r="C50" i="25" a="1"/>
  <c r="C50" i="25" s="1"/>
  <c r="D49" i="25" a="1"/>
  <c r="D49" i="25" s="1"/>
  <c r="C49" i="25" a="1"/>
  <c r="C49" i="25" s="1"/>
  <c r="D48" i="25" a="1"/>
  <c r="D48" i="25" s="1"/>
  <c r="C48" i="25" a="1"/>
  <c r="C48" i="25" s="1"/>
  <c r="E47" i="25" a="1"/>
  <c r="E47" i="25" s="1"/>
  <c r="D47" i="25" a="1"/>
  <c r="D47" i="25" s="1"/>
  <c r="C47" i="25" a="1"/>
  <c r="C47" i="25" s="1"/>
  <c r="D46" i="25" a="1"/>
  <c r="D46" i="25" s="1"/>
  <c r="C46" i="25" a="1"/>
  <c r="C46" i="25" s="1"/>
  <c r="D45" i="25" a="1"/>
  <c r="D45" i="25" s="1"/>
  <c r="C45" i="25" a="1"/>
  <c r="C45" i="25" s="1"/>
  <c r="D44" i="25" a="1"/>
  <c r="D44" i="25" s="1"/>
  <c r="C44" i="25" a="1"/>
  <c r="C44" i="25" s="1"/>
  <c r="D43" i="25" a="1"/>
  <c r="D43" i="25" s="1"/>
  <c r="C43" i="25" a="1"/>
  <c r="C43" i="25" s="1"/>
  <c r="E43" i="25" s="1" a="1"/>
  <c r="E43" i="25" s="1"/>
  <c r="D42" i="25" a="1"/>
  <c r="D42" i="25" s="1"/>
  <c r="C42" i="25" a="1"/>
  <c r="C42" i="25" s="1"/>
  <c r="D41" i="25" a="1"/>
  <c r="D41" i="25" s="1"/>
  <c r="C41" i="25" a="1"/>
  <c r="C41" i="25" s="1"/>
  <c r="D40" i="25" a="1"/>
  <c r="D40" i="25" s="1"/>
  <c r="C40" i="25" a="1"/>
  <c r="C40" i="25" s="1"/>
  <c r="E40" i="25" s="1" a="1"/>
  <c r="E40" i="25" s="1"/>
  <c r="D39" i="25" a="1"/>
  <c r="D39" i="25" s="1"/>
  <c r="C39" i="25" a="1"/>
  <c r="C39" i="25" s="1"/>
  <c r="D38" i="25" a="1"/>
  <c r="D38" i="25" s="1"/>
  <c r="C38" i="25" a="1"/>
  <c r="C38" i="25" s="1"/>
  <c r="E38" i="25" s="1" a="1"/>
  <c r="E38" i="25" s="1"/>
  <c r="D37" i="25" a="1"/>
  <c r="D37" i="25" s="1"/>
  <c r="C37" i="25" a="1"/>
  <c r="C37" i="25" s="1"/>
  <c r="D36" i="25" a="1"/>
  <c r="D36" i="25" s="1"/>
  <c r="C36" i="25" a="1"/>
  <c r="C36" i="25" s="1"/>
  <c r="E36" i="25" s="1" a="1"/>
  <c r="E36" i="25" s="1"/>
  <c r="D35" i="25" a="1"/>
  <c r="D35" i="25" s="1"/>
  <c r="C35" i="25" a="1"/>
  <c r="C35" i="25" s="1"/>
  <c r="D34" i="25" a="1"/>
  <c r="D34" i="25" s="1"/>
  <c r="C34" i="25" a="1"/>
  <c r="C34" i="25" s="1"/>
  <c r="D33" i="25" a="1"/>
  <c r="D33" i="25" s="1"/>
  <c r="C33" i="25" a="1"/>
  <c r="C33" i="25" s="1"/>
  <c r="D32" i="25" a="1"/>
  <c r="D32" i="25" s="1"/>
  <c r="C32" i="25" a="1"/>
  <c r="C32" i="25" s="1"/>
  <c r="D31" i="25" a="1"/>
  <c r="D31" i="25" s="1"/>
  <c r="C31" i="25" a="1"/>
  <c r="C31" i="25" s="1"/>
  <c r="D30" i="25" a="1"/>
  <c r="D30" i="25" s="1"/>
  <c r="C30" i="25" a="1"/>
  <c r="C30" i="25" s="1"/>
  <c r="D29" i="25" a="1"/>
  <c r="D29" i="25" s="1"/>
  <c r="C29" i="25" a="1"/>
  <c r="C29" i="25" s="1"/>
  <c r="D28" i="25" a="1"/>
  <c r="D28" i="25" s="1"/>
  <c r="C28" i="25" a="1"/>
  <c r="C28" i="25" s="1"/>
  <c r="D27" i="25" a="1"/>
  <c r="D27" i="25" s="1"/>
  <c r="C27" i="25" a="1"/>
  <c r="C27" i="25" s="1"/>
  <c r="D26" i="25" a="1"/>
  <c r="D26" i="25" s="1"/>
  <c r="C26" i="25" a="1"/>
  <c r="C26" i="25" s="1"/>
  <c r="D25" i="25" a="1"/>
  <c r="D25" i="25" s="1"/>
  <c r="C25" i="25" a="1"/>
  <c r="C25" i="25" s="1"/>
  <c r="D24" i="25" a="1"/>
  <c r="D24" i="25" s="1"/>
  <c r="C24" i="25" a="1"/>
  <c r="C24" i="25" s="1"/>
  <c r="D23" i="25" a="1"/>
  <c r="D23" i="25" s="1"/>
  <c r="C23" i="25" a="1"/>
  <c r="C23" i="25" s="1"/>
  <c r="D22" i="25" a="1"/>
  <c r="D22" i="25" s="1"/>
  <c r="C22" i="25" a="1"/>
  <c r="C22" i="25" s="1"/>
  <c r="D21" i="25" a="1"/>
  <c r="D21" i="25" s="1"/>
  <c r="C21" i="25" a="1"/>
  <c r="C21" i="25" s="1"/>
  <c r="D20" i="25" a="1"/>
  <c r="D20" i="25" s="1"/>
  <c r="C20" i="25" a="1"/>
  <c r="C20" i="25" s="1"/>
  <c r="D19" i="25" a="1"/>
  <c r="D19" i="25" s="1"/>
  <c r="C19" i="25" a="1"/>
  <c r="C19" i="25" s="1"/>
  <c r="D18" i="25" a="1"/>
  <c r="D18" i="25" s="1"/>
  <c r="C18" i="25" a="1"/>
  <c r="C18" i="25" s="1"/>
  <c r="E18" i="25" s="1" a="1"/>
  <c r="E18" i="25" s="1"/>
  <c r="D17" i="25" a="1"/>
  <c r="D17" i="25" s="1"/>
  <c r="C17" i="25" a="1"/>
  <c r="C17" i="25" s="1"/>
  <c r="D16" i="25" a="1"/>
  <c r="D16" i="25" s="1"/>
  <c r="C16" i="25" a="1"/>
  <c r="C16" i="25" s="1"/>
  <c r="D15" i="25" a="1"/>
  <c r="D15" i="25" s="1"/>
  <c r="C15" i="25" a="1"/>
  <c r="C15" i="25" s="1"/>
  <c r="D14" i="25" a="1"/>
  <c r="D14" i="25" s="1"/>
  <c r="C14" i="25" a="1"/>
  <c r="C14" i="25" s="1"/>
  <c r="D13" i="25" a="1"/>
  <c r="D13" i="25" s="1"/>
  <c r="C13" i="25" a="1"/>
  <c r="C13" i="25" s="1"/>
  <c r="D12" i="25" a="1"/>
  <c r="D12" i="25" s="1"/>
  <c r="C12" i="25" a="1"/>
  <c r="C12" i="25" s="1"/>
  <c r="D11" i="25" a="1"/>
  <c r="D11" i="25" s="1"/>
  <c r="C11" i="25" a="1"/>
  <c r="C11" i="25" s="1"/>
  <c r="D10" i="25" a="1"/>
  <c r="D10" i="25" s="1"/>
  <c r="C10" i="25" a="1"/>
  <c r="C10" i="25" s="1"/>
  <c r="D9" i="25" a="1"/>
  <c r="D9" i="25" s="1"/>
  <c r="C9" i="25" a="1"/>
  <c r="C9" i="25" s="1"/>
  <c r="E9" i="25" s="1" a="1"/>
  <c r="E9" i="25" s="1"/>
  <c r="D8" i="25" a="1"/>
  <c r="D8" i="25" s="1"/>
  <c r="C8" i="25" a="1"/>
  <c r="C8" i="25" s="1"/>
  <c r="D7" i="25" a="1"/>
  <c r="D7" i="25" s="1"/>
  <c r="C7" i="25" a="1"/>
  <c r="C7" i="25" s="1"/>
  <c r="D6" i="25" a="1"/>
  <c r="D6" i="25" s="1"/>
  <c r="C6" i="25" a="1"/>
  <c r="C6" i="25" s="1"/>
  <c r="E6" i="25" s="1" a="1"/>
  <c r="E6" i="25" s="1"/>
  <c r="D5" i="25" a="1"/>
  <c r="D5" i="25" s="1"/>
  <c r="C5" i="25" a="1"/>
  <c r="C5" i="25" s="1"/>
  <c r="E5" i="25" s="1" a="1"/>
  <c r="E5" i="25" s="1"/>
  <c r="D4" i="25" a="1"/>
  <c r="D4" i="25" s="1"/>
  <c r="C4" i="25" a="1"/>
  <c r="C4" i="25" s="1"/>
  <c r="D3" i="25" a="1"/>
  <c r="D3" i="25" s="1"/>
  <c r="C3" i="25" a="1"/>
  <c r="C3" i="25" s="1"/>
  <c r="T90" i="6"/>
  <c r="AG9" i="22" s="1"/>
  <c r="T89" i="6"/>
  <c r="AG7" i="22" s="1"/>
  <c r="T88" i="6"/>
  <c r="T87" i="6"/>
  <c r="E56" i="25" l="1" a="1"/>
  <c r="E56" i="25" s="1"/>
  <c r="E64" i="25" a="1"/>
  <c r="E64" i="25" s="1"/>
  <c r="E68" i="25" a="1"/>
  <c r="E68" i="25" s="1"/>
  <c r="E86" i="25" a="1"/>
  <c r="E86" i="25" s="1"/>
  <c r="E90" i="25" a="1"/>
  <c r="E90" i="25" s="1"/>
  <c r="E59" i="25" a="1"/>
  <c r="E59" i="25" s="1"/>
  <c r="E102" i="25" a="1"/>
  <c r="E102" i="25" s="1"/>
  <c r="E109" i="25" a="1"/>
  <c r="E109" i="25" s="1"/>
  <c r="E45" i="25" a="1"/>
  <c r="E45" i="25" s="1"/>
  <c r="E49" i="25" a="1"/>
  <c r="E49" i="25" s="1"/>
  <c r="E57" i="25" a="1"/>
  <c r="E57" i="25" s="1"/>
  <c r="E61" i="25" a="1"/>
  <c r="E61" i="25" s="1"/>
  <c r="E74" i="25" a="1"/>
  <c r="E74" i="25" s="1"/>
  <c r="E110" i="25" a="1"/>
  <c r="E110" i="25" s="1"/>
  <c r="E46" i="25" a="1"/>
  <c r="E46" i="25" s="1"/>
  <c r="E100" i="25" a="1"/>
  <c r="E100" i="25" s="1"/>
  <c r="E111" i="25" a="1"/>
  <c r="E111" i="25" s="1"/>
  <c r="E39" i="25" a="1"/>
  <c r="E39" i="25" s="1"/>
  <c r="E54" i="25" a="1"/>
  <c r="E54" i="25" s="1"/>
  <c r="E58" i="25" a="1"/>
  <c r="E58" i="25" s="1"/>
  <c r="E66" i="25" a="1"/>
  <c r="E66" i="25" s="1"/>
  <c r="E70" i="25" a="1"/>
  <c r="E70" i="25" s="1"/>
  <c r="E103" i="25" a="1"/>
  <c r="E103" i="25" s="1"/>
  <c r="E112" i="25" a="1"/>
  <c r="E112" i="25" s="1"/>
  <c r="E44" i="25" a="1"/>
  <c r="E44" i="25" s="1"/>
  <c r="E93" i="25" a="1"/>
  <c r="E93" i="25" s="1"/>
  <c r="E97" i="25" a="1"/>
  <c r="E97" i="25" s="1"/>
  <c r="E50" i="25" a="1"/>
  <c r="E50" i="25" s="1"/>
  <c r="E42" i="25" a="1"/>
  <c r="E42" i="25" s="1"/>
  <c r="E48" i="25" a="1"/>
  <c r="E48" i="25" s="1"/>
  <c r="E37" i="25" a="1"/>
  <c r="E37" i="25" s="1"/>
  <c r="E15" i="25" a="1"/>
  <c r="E15" i="25" s="1"/>
  <c r="E4" i="25" a="1"/>
  <c r="E4" i="25" s="1"/>
  <c r="E12" i="25" a="1"/>
  <c r="E12" i="25" s="1"/>
  <c r="E20" i="25" a="1"/>
  <c r="E20" i="25" s="1"/>
  <c r="E16" i="25" a="1"/>
  <c r="E16" i="25" s="1"/>
  <c r="E24" i="25" a="1"/>
  <c r="E24" i="25" s="1"/>
  <c r="E8" i="25" a="1"/>
  <c r="E8" i="25" s="1"/>
  <c r="E13" i="25" a="1"/>
  <c r="E13" i="25" s="1"/>
  <c r="E17" i="25" a="1"/>
  <c r="E17" i="25" s="1"/>
  <c r="E21" i="25" a="1"/>
  <c r="E21" i="25" s="1"/>
  <c r="E29" i="25" a="1"/>
  <c r="E29" i="25" s="1"/>
  <c r="E33" i="25" a="1"/>
  <c r="E33" i="25" s="1"/>
  <c r="E26" i="25" a="1"/>
  <c r="E26" i="25" s="1"/>
  <c r="E30" i="25" a="1"/>
  <c r="E30" i="25" s="1"/>
  <c r="E34" i="25" a="1"/>
  <c r="E34" i="25" s="1"/>
  <c r="E22" i="25" a="1"/>
  <c r="E22" i="25" s="1"/>
  <c r="E82" i="25" a="1"/>
  <c r="E82" i="25" s="1"/>
  <c r="E14" i="25" a="1"/>
  <c r="E14" i="25" s="1"/>
  <c r="E11" i="25" a="1"/>
  <c r="E11" i="25" s="1"/>
  <c r="E19" i="25" a="1"/>
  <c r="E19" i="25" s="1"/>
  <c r="E23" i="25" a="1"/>
  <c r="E23" i="25" s="1"/>
  <c r="E27" i="25" a="1"/>
  <c r="E27" i="25" s="1"/>
  <c r="E31" i="25" a="1"/>
  <c r="E31" i="25" s="1"/>
  <c r="E35" i="25" a="1"/>
  <c r="E35" i="25" s="1"/>
  <c r="E41" i="25" a="1"/>
  <c r="E41" i="25" s="1"/>
  <c r="E60" i="25" a="1"/>
  <c r="E60" i="25" s="1"/>
  <c r="E10" i="25" a="1"/>
  <c r="E10" i="25" s="1"/>
  <c r="E7" i="25" a="1"/>
  <c r="E7" i="25" s="1"/>
  <c r="E72" i="25" a="1"/>
  <c r="E72" i="25" s="1"/>
  <c r="E80" i="25" a="1"/>
  <c r="E80" i="25" s="1"/>
  <c r="E87" i="25" a="1"/>
  <c r="E87" i="25" s="1"/>
  <c r="E91" i="25" a="1"/>
  <c r="E91" i="25" s="1"/>
  <c r="E107" i="25" a="1"/>
  <c r="E107" i="25" s="1"/>
  <c r="E28" i="25" a="1"/>
  <c r="E28" i="25" s="1"/>
  <c r="E119" i="25" a="1"/>
  <c r="E119" i="25" s="1"/>
  <c r="E32" i="25" a="1"/>
  <c r="E32" i="25" s="1"/>
  <c r="E25" i="25" a="1"/>
  <c r="E25" i="25" s="1"/>
  <c r="E62" i="25" a="1"/>
  <c r="E62" i="25" s="1"/>
  <c r="E65" i="25" a="1"/>
  <c r="E65" i="25" s="1"/>
  <c r="E81" i="25" a="1"/>
  <c r="E81" i="25" s="1"/>
  <c r="E139" i="25" a="1"/>
  <c r="E139" i="25" s="1"/>
  <c r="E173" i="25" a="1"/>
  <c r="E173" i="25" s="1"/>
  <c r="E187" i="25" a="1"/>
  <c r="E187" i="25" s="1"/>
  <c r="E218" i="25" a="1"/>
  <c r="E218" i="25" s="1"/>
  <c r="E113" i="25" a="1"/>
  <c r="E113" i="25" s="1"/>
  <c r="E122" i="25" a="1"/>
  <c r="E122" i="25" s="1"/>
  <c r="E129" i="25" a="1"/>
  <c r="E129" i="25" s="1"/>
  <c r="E196" i="25" a="1"/>
  <c r="E196" i="25" s="1"/>
  <c r="E219" i="25" a="1"/>
  <c r="E219" i="25" s="1"/>
  <c r="E123" i="25" a="1"/>
  <c r="E123" i="25" s="1"/>
  <c r="E145" i="25" a="1"/>
  <c r="E145" i="25" s="1"/>
  <c r="E177" i="25" a="1"/>
  <c r="E177" i="25" s="1"/>
  <c r="E202" i="25" a="1"/>
  <c r="E202" i="25" s="1"/>
  <c r="E143" i="25" a="1"/>
  <c r="E143" i="25" s="1"/>
  <c r="E161" i="25" a="1"/>
  <c r="E161" i="25" s="1"/>
  <c r="E194" i="25" a="1"/>
  <c r="E194" i="25" s="1"/>
  <c r="E131" i="25" a="1"/>
  <c r="E131" i="25" s="1"/>
  <c r="E146" i="25" a="1"/>
  <c r="E146" i="25" s="1"/>
  <c r="E159" i="25" a="1"/>
  <c r="E159" i="25" s="1"/>
  <c r="E178" i="25" a="1"/>
  <c r="E178" i="25" s="1"/>
  <c r="E181" i="25" a="1"/>
  <c r="E181" i="25" s="1"/>
  <c r="E203" i="25" a="1"/>
  <c r="E203" i="25" s="1"/>
  <c r="E226" i="25" a="1"/>
  <c r="E226" i="25" s="1"/>
  <c r="E3" i="25" a="1"/>
  <c r="E3" i="25" s="1"/>
  <c r="O35" i="1" l="1"/>
  <c r="N35" i="1"/>
  <c r="U3" i="1" l="1"/>
  <c r="K3" i="1"/>
  <c r="V19" i="1" s="1"/>
  <c r="W3" i="6"/>
  <c r="W7" i="6" s="1"/>
  <c r="W2" i="6"/>
  <c r="W6" i="6" s="1"/>
  <c r="J2" i="24"/>
  <c r="A28" i="24"/>
  <c r="A29" i="24"/>
  <c r="J14" i="24"/>
  <c r="B126" i="24"/>
  <c r="C126" i="24" s="1"/>
  <c r="B140" i="24"/>
  <c r="C140" i="24" s="1"/>
  <c r="B154" i="24"/>
  <c r="C154" i="24" s="1"/>
  <c r="B168" i="24"/>
  <c r="C168" i="24" s="1"/>
  <c r="B182" i="24"/>
  <c r="C182" i="24" s="1"/>
  <c r="B196" i="24"/>
  <c r="C196" i="24" s="1"/>
  <c r="B210" i="24"/>
  <c r="C210" i="24" s="1"/>
  <c r="B224" i="24"/>
  <c r="C224" i="24" s="1"/>
  <c r="B56" i="24"/>
  <c r="C56" i="24" s="1"/>
  <c r="B70" i="24"/>
  <c r="C70" i="24" s="1"/>
  <c r="B84" i="24"/>
  <c r="C84" i="24" s="1"/>
  <c r="B98" i="24"/>
  <c r="C98" i="24" s="1"/>
  <c r="B112" i="24"/>
  <c r="C112" i="24" s="1"/>
  <c r="B42" i="24"/>
  <c r="C42" i="24" s="1"/>
  <c r="B28" i="24"/>
  <c r="C28" i="24" s="1"/>
  <c r="A42" i="24" l="1"/>
  <c r="J28" i="24"/>
  <c r="A43" i="24"/>
  <c r="J29" i="24"/>
  <c r="B17" i="27"/>
  <c r="B14" i="24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J42" i="24" l="1"/>
  <c r="A56" i="24"/>
  <c r="A57" i="24"/>
  <c r="J43" i="24"/>
  <c r="C14" i="24"/>
  <c r="A70" i="24" l="1"/>
  <c r="J56" i="24"/>
  <c r="A71" i="24"/>
  <c r="J57" i="24"/>
  <c r="B18" i="35"/>
  <c r="B17" i="35"/>
  <c r="B16" i="35"/>
  <c r="B15" i="35"/>
  <c r="B14" i="35"/>
  <c r="B13" i="35"/>
  <c r="B12" i="35"/>
  <c r="B11" i="35"/>
  <c r="B10" i="35"/>
  <c r="B9" i="35"/>
  <c r="B8" i="35"/>
  <c r="B7" i="35"/>
  <c r="B6" i="35"/>
  <c r="B5" i="35"/>
  <c r="B4" i="35"/>
  <c r="B3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C2" i="35"/>
  <c r="A84" i="24" l="1"/>
  <c r="J70" i="24"/>
  <c r="A85" i="24"/>
  <c r="J71" i="24"/>
  <c r="D65" i="35"/>
  <c r="D144" i="35"/>
  <c r="D128" i="35"/>
  <c r="D120" i="35"/>
  <c r="D152" i="35"/>
  <c r="D136" i="35"/>
  <c r="D160" i="35"/>
  <c r="D168" i="35"/>
  <c r="D175" i="35"/>
  <c r="D96" i="35"/>
  <c r="D104" i="35"/>
  <c r="D112" i="35"/>
  <c r="D58" i="35"/>
  <c r="D73" i="35"/>
  <c r="D81" i="35"/>
  <c r="D97" i="35"/>
  <c r="D105" i="35"/>
  <c r="D113" i="35"/>
  <c r="D121" i="35"/>
  <c r="D129" i="35"/>
  <c r="D137" i="35"/>
  <c r="D145" i="35"/>
  <c r="D153" i="35"/>
  <c r="D161" i="35"/>
  <c r="D169" i="35"/>
  <c r="D52" i="35"/>
  <c r="D74" i="35"/>
  <c r="D98" i="35"/>
  <c r="D106" i="35"/>
  <c r="D114" i="35"/>
  <c r="D122" i="35"/>
  <c r="D130" i="35"/>
  <c r="D138" i="35"/>
  <c r="D146" i="35"/>
  <c r="D154" i="35"/>
  <c r="D162" i="35"/>
  <c r="D170" i="35"/>
  <c r="D68" i="35"/>
  <c r="D91" i="35"/>
  <c r="D99" i="35"/>
  <c r="D107" i="35"/>
  <c r="D115" i="35"/>
  <c r="D123" i="35"/>
  <c r="D131" i="35"/>
  <c r="D139" i="35"/>
  <c r="D147" i="35"/>
  <c r="D155" i="35"/>
  <c r="D163" i="35"/>
  <c r="D171" i="35"/>
  <c r="D46" i="35"/>
  <c r="D54" i="35"/>
  <c r="D84" i="35"/>
  <c r="D92" i="35"/>
  <c r="D100" i="35"/>
  <c r="D108" i="35"/>
  <c r="D116" i="35"/>
  <c r="D124" i="35"/>
  <c r="D132" i="35"/>
  <c r="D140" i="35"/>
  <c r="D148" i="35"/>
  <c r="D156" i="35"/>
  <c r="D164" i="35"/>
  <c r="D172" i="35"/>
  <c r="D40" i="35"/>
  <c r="D55" i="35"/>
  <c r="D70" i="35"/>
  <c r="D93" i="35"/>
  <c r="D101" i="35"/>
  <c r="D109" i="35"/>
  <c r="D117" i="35"/>
  <c r="D125" i="35"/>
  <c r="D133" i="35"/>
  <c r="D141" i="35"/>
  <c r="D149" i="35"/>
  <c r="D157" i="35"/>
  <c r="D165" i="35"/>
  <c r="D173" i="35"/>
  <c r="D56" i="35"/>
  <c r="D63" i="35"/>
  <c r="D71" i="35"/>
  <c r="D78" i="35"/>
  <c r="D94" i="35"/>
  <c r="D102" i="35"/>
  <c r="D110" i="35"/>
  <c r="D118" i="35"/>
  <c r="D126" i="35"/>
  <c r="D134" i="35"/>
  <c r="D142" i="35"/>
  <c r="D150" i="35"/>
  <c r="D158" i="35"/>
  <c r="D166" i="35"/>
  <c r="D174" i="35"/>
  <c r="D41" i="35"/>
  <c r="D49" i="35"/>
  <c r="D72" i="35"/>
  <c r="D79" i="35"/>
  <c r="D95" i="35"/>
  <c r="D103" i="35"/>
  <c r="D111" i="35"/>
  <c r="D119" i="35"/>
  <c r="D127" i="35"/>
  <c r="D135" i="35"/>
  <c r="D143" i="35"/>
  <c r="D151" i="35"/>
  <c r="D159" i="35"/>
  <c r="D167" i="35"/>
  <c r="A98" i="24" l="1"/>
  <c r="J84" i="24"/>
  <c r="A99" i="24"/>
  <c r="J85" i="24"/>
  <c r="AM62" i="26"/>
  <c r="AN62" i="26"/>
  <c r="AO62" i="26"/>
  <c r="AP62" i="26"/>
  <c r="AQ62" i="26"/>
  <c r="AR62" i="26"/>
  <c r="AS62" i="26"/>
  <c r="AT62" i="26"/>
  <c r="AU62" i="26"/>
  <c r="AV62" i="26"/>
  <c r="AW62" i="26"/>
  <c r="AX62" i="26"/>
  <c r="AL62" i="26"/>
  <c r="A112" i="24" l="1"/>
  <c r="J98" i="24"/>
  <c r="A113" i="24"/>
  <c r="J99" i="24"/>
  <c r="AC13" i="1"/>
  <c r="S13" i="1"/>
  <c r="AA13" i="1"/>
  <c r="Z13" i="1"/>
  <c r="Y13" i="1"/>
  <c r="A126" i="24" l="1"/>
  <c r="J112" i="24"/>
  <c r="A127" i="24"/>
  <c r="J113" i="24"/>
  <c r="Q13" i="1"/>
  <c r="P13" i="1"/>
  <c r="O13" i="1"/>
  <c r="AT70" i="24" l="1"/>
  <c r="AT98" i="24"/>
  <c r="AT56" i="24"/>
  <c r="AT42" i="24"/>
  <c r="AT84" i="24"/>
  <c r="AT28" i="24"/>
  <c r="AT112" i="24"/>
  <c r="AT14" i="24"/>
  <c r="A140" i="24"/>
  <c r="J126" i="24"/>
  <c r="A141" i="24"/>
  <c r="J127" i="24"/>
  <c r="A154" i="24" l="1"/>
  <c r="J140" i="24"/>
  <c r="A155" i="24"/>
  <c r="J141" i="24"/>
  <c r="A168" i="24" l="1"/>
  <c r="J154" i="24"/>
  <c r="A169" i="24"/>
  <c r="J155" i="24"/>
  <c r="J5" i="24"/>
  <c r="A182" i="24" l="1"/>
  <c r="J168" i="24"/>
  <c r="A183" i="24"/>
  <c r="J169" i="24"/>
  <c r="A196" i="24" l="1"/>
  <c r="J182" i="24"/>
  <c r="A197" i="24"/>
  <c r="J183" i="24"/>
  <c r="A210" i="24" l="1"/>
  <c r="J196" i="24"/>
  <c r="A211" i="24"/>
  <c r="J197" i="24"/>
  <c r="A224" i="24" l="1"/>
  <c r="J210" i="24"/>
  <c r="J211" i="24"/>
  <c r="A225" i="24"/>
  <c r="AC2" i="24"/>
  <c r="J224" i="24" l="1"/>
  <c r="AT196" i="24" s="1"/>
  <c r="AP196" i="24" a="1"/>
  <c r="AP196" i="24" s="1"/>
  <c r="AT182" i="24"/>
  <c r="AT224" i="24"/>
  <c r="J225" i="24"/>
  <c r="G2" i="19"/>
  <c r="AP168" i="24" l="1" a="1"/>
  <c r="AP168" i="24" s="1"/>
  <c r="AP154" i="24" a="1"/>
  <c r="AP154" i="24" s="1"/>
  <c r="AP126" i="24" a="1"/>
  <c r="AP126" i="24" s="1"/>
  <c r="AT154" i="24"/>
  <c r="AT210" i="24"/>
  <c r="AT140" i="24"/>
  <c r="AP210" i="24" a="1"/>
  <c r="AP210" i="24" s="1"/>
  <c r="AP98" i="24" a="1"/>
  <c r="AP98" i="24" s="1"/>
  <c r="AP224" i="24" a="1"/>
  <c r="AP224" i="24" s="1"/>
  <c r="AP182" i="24" a="1"/>
  <c r="AP182" i="24" s="1"/>
  <c r="AT126" i="24"/>
  <c r="AT168" i="24"/>
  <c r="AP140" i="24" a="1"/>
  <c r="AP140" i="24" s="1"/>
  <c r="AP70" i="24" a="1"/>
  <c r="AP70" i="24" s="1"/>
  <c r="AP42" i="24" a="1"/>
  <c r="AP42" i="24" s="1"/>
  <c r="AP28" i="24" a="1"/>
  <c r="AP28" i="24" s="1"/>
  <c r="AP14" i="24" a="1"/>
  <c r="AP14" i="24" s="1"/>
  <c r="AP56" i="24" a="1"/>
  <c r="AP56" i="24" s="1"/>
  <c r="AP84" i="24" a="1"/>
  <c r="AP84" i="24" s="1"/>
  <c r="AP112" i="24" a="1"/>
  <c r="AP112" i="24" s="1"/>
  <c r="B225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27" i="24"/>
  <c r="B141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55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69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83" i="24"/>
  <c r="B211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13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13" i="24"/>
  <c r="B12" i="24"/>
  <c r="B11" i="24"/>
  <c r="B10" i="24"/>
  <c r="B9" i="24"/>
  <c r="B8" i="24"/>
  <c r="B7" i="24"/>
  <c r="B6" i="24"/>
  <c r="B5" i="24"/>
  <c r="B4" i="24"/>
  <c r="B3" i="24"/>
  <c r="B2" i="24"/>
  <c r="B15" i="24"/>
  <c r="B57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C17" i="27" l="1" a="1"/>
  <c r="C17" i="27" s="1"/>
  <c r="H16" i="24"/>
  <c r="H86" i="24"/>
  <c r="H156" i="24"/>
  <c r="H114" i="24"/>
  <c r="H184" i="24"/>
  <c r="H72" i="24"/>
  <c r="H128" i="24"/>
  <c r="H44" i="24"/>
  <c r="H100" i="24"/>
  <c r="H170" i="24"/>
  <c r="H212" i="24"/>
  <c r="H58" i="24"/>
  <c r="H142" i="24"/>
  <c r="H30" i="24"/>
  <c r="H198" i="24"/>
  <c r="C43" i="24"/>
  <c r="C51" i="24"/>
  <c r="C80" i="24"/>
  <c r="C97" i="24"/>
  <c r="C106" i="24"/>
  <c r="C193" i="24"/>
  <c r="C211" i="24"/>
  <c r="C176" i="24"/>
  <c r="C166" i="24"/>
  <c r="C136" i="24"/>
  <c r="C124" i="24"/>
  <c r="C218" i="24"/>
  <c r="C41" i="24"/>
  <c r="C50" i="24"/>
  <c r="C209" i="24"/>
  <c r="C123" i="24"/>
  <c r="C25" i="24"/>
  <c r="C26" i="24"/>
  <c r="C52" i="24"/>
  <c r="C64" i="24"/>
  <c r="C81" i="24"/>
  <c r="C99" i="24"/>
  <c r="C107" i="24"/>
  <c r="C194" i="24"/>
  <c r="C183" i="24"/>
  <c r="C177" i="24"/>
  <c r="C167" i="24"/>
  <c r="C148" i="24"/>
  <c r="C137" i="24"/>
  <c r="C125" i="24"/>
  <c r="C219" i="24"/>
  <c r="C165" i="24"/>
  <c r="C155" i="24"/>
  <c r="C135" i="24"/>
  <c r="C27" i="24"/>
  <c r="C36" i="24"/>
  <c r="C53" i="24"/>
  <c r="C65" i="24"/>
  <c r="C82" i="24"/>
  <c r="C108" i="24"/>
  <c r="C195" i="24"/>
  <c r="C204" i="24"/>
  <c r="C178" i="24"/>
  <c r="C169" i="24"/>
  <c r="C149" i="24"/>
  <c r="C138" i="24"/>
  <c r="C220" i="24"/>
  <c r="C71" i="24"/>
  <c r="C79" i="24"/>
  <c r="C96" i="24"/>
  <c r="C54" i="24"/>
  <c r="C66" i="24"/>
  <c r="C83" i="24"/>
  <c r="C92" i="24"/>
  <c r="C109" i="24"/>
  <c r="C197" i="24"/>
  <c r="C205" i="24"/>
  <c r="C179" i="24"/>
  <c r="C150" i="24"/>
  <c r="C139" i="24"/>
  <c r="C221" i="24"/>
  <c r="C24" i="24"/>
  <c r="C192" i="24"/>
  <c r="C29" i="24"/>
  <c r="C37" i="24"/>
  <c r="C38" i="24"/>
  <c r="C55" i="24"/>
  <c r="C67" i="24"/>
  <c r="C85" i="24"/>
  <c r="C93" i="24"/>
  <c r="C110" i="24"/>
  <c r="C206" i="24"/>
  <c r="C180" i="24"/>
  <c r="C162" i="24"/>
  <c r="C151" i="24"/>
  <c r="C141" i="24"/>
  <c r="C120" i="24"/>
  <c r="C222" i="24"/>
  <c r="C23" i="24"/>
  <c r="C22" i="24"/>
  <c r="C39" i="24"/>
  <c r="C57" i="24"/>
  <c r="C68" i="24"/>
  <c r="C94" i="24"/>
  <c r="C111" i="24"/>
  <c r="C190" i="24"/>
  <c r="C207" i="24"/>
  <c r="C181" i="24"/>
  <c r="C163" i="24"/>
  <c r="C152" i="24"/>
  <c r="C127" i="24"/>
  <c r="C121" i="24"/>
  <c r="C223" i="24"/>
  <c r="C40" i="24"/>
  <c r="C69" i="24"/>
  <c r="C78" i="24"/>
  <c r="C95" i="24"/>
  <c r="C113" i="24"/>
  <c r="C191" i="24"/>
  <c r="C208" i="24"/>
  <c r="C164" i="24"/>
  <c r="C153" i="24"/>
  <c r="C134" i="24"/>
  <c r="C122" i="24"/>
  <c r="B23" i="27"/>
  <c r="H2" i="24"/>
  <c r="C10" i="24"/>
  <c r="C11" i="24"/>
  <c r="C12" i="24"/>
  <c r="C13" i="24"/>
  <c r="C8" i="24"/>
  <c r="C15" i="24"/>
  <c r="C9" i="24"/>
  <c r="AK76" i="26"/>
  <c r="B36" i="27"/>
  <c r="AK72" i="26"/>
  <c r="B32" i="27"/>
  <c r="AK66" i="26"/>
  <c r="B26" i="27"/>
  <c r="AK68" i="26"/>
  <c r="B28" i="27"/>
  <c r="AK70" i="26"/>
  <c r="B30" i="27"/>
  <c r="AK75" i="26"/>
  <c r="B35" i="27"/>
  <c r="AK78" i="26"/>
  <c r="B38" i="27"/>
  <c r="AK64" i="26"/>
  <c r="B24" i="27"/>
  <c r="AK67" i="26"/>
  <c r="B27" i="27"/>
  <c r="AK73" i="26"/>
  <c r="B33" i="27"/>
  <c r="AK65" i="26"/>
  <c r="B25" i="27"/>
  <c r="AK77" i="26"/>
  <c r="B37" i="27"/>
  <c r="AK69" i="26"/>
  <c r="B29" i="27"/>
  <c r="AK74" i="26"/>
  <c r="B34" i="27"/>
  <c r="AK71" i="26"/>
  <c r="B31" i="27"/>
  <c r="AK63" i="26"/>
  <c r="AL63" i="26" s="1" a="1"/>
  <c r="AL63" i="26" s="1"/>
  <c r="C62" i="24"/>
  <c r="C88" i="24"/>
  <c r="C105" i="24"/>
  <c r="C201" i="24"/>
  <c r="C175" i="24"/>
  <c r="C157" i="24"/>
  <c r="C146" i="24"/>
  <c r="C115" i="24"/>
  <c r="C217" i="24"/>
  <c r="C34" i="24"/>
  <c r="C63" i="24"/>
  <c r="C89" i="24"/>
  <c r="C185" i="24"/>
  <c r="C202" i="24"/>
  <c r="C158" i="24"/>
  <c r="C147" i="24"/>
  <c r="C116" i="24"/>
  <c r="C18" i="24"/>
  <c r="C4" i="24"/>
  <c r="C73" i="24"/>
  <c r="C90" i="24"/>
  <c r="C186" i="24"/>
  <c r="C203" i="24"/>
  <c r="C159" i="24"/>
  <c r="C129" i="24"/>
  <c r="C117" i="24"/>
  <c r="C33" i="24"/>
  <c r="C35" i="24"/>
  <c r="C19" i="24"/>
  <c r="C45" i="24"/>
  <c r="C5" i="24"/>
  <c r="C74" i="24"/>
  <c r="C91" i="24"/>
  <c r="C187" i="24"/>
  <c r="C160" i="24"/>
  <c r="C130" i="24"/>
  <c r="C118" i="24"/>
  <c r="C20" i="24"/>
  <c r="C6" i="24"/>
  <c r="C101" i="24"/>
  <c r="C188" i="24"/>
  <c r="C171" i="24"/>
  <c r="C161" i="24"/>
  <c r="C131" i="24"/>
  <c r="C119" i="24"/>
  <c r="C213" i="24"/>
  <c r="C75" i="24"/>
  <c r="C21" i="24"/>
  <c r="C47" i="24"/>
  <c r="C7" i="24"/>
  <c r="C59" i="24"/>
  <c r="C76" i="24"/>
  <c r="C102" i="24"/>
  <c r="C189" i="24"/>
  <c r="C172" i="24"/>
  <c r="C143" i="24"/>
  <c r="C132" i="24"/>
  <c r="C214" i="24"/>
  <c r="C48" i="24"/>
  <c r="C60" i="24"/>
  <c r="C77" i="24"/>
  <c r="C103" i="24"/>
  <c r="C199" i="24"/>
  <c r="C173" i="24"/>
  <c r="C144" i="24"/>
  <c r="C133" i="24"/>
  <c r="C215" i="24"/>
  <c r="C46" i="24"/>
  <c r="C31" i="24"/>
  <c r="C32" i="24"/>
  <c r="C49" i="24"/>
  <c r="C61" i="24"/>
  <c r="C87" i="24"/>
  <c r="C104" i="24"/>
  <c r="C200" i="24"/>
  <c r="C174" i="24"/>
  <c r="C145" i="24"/>
  <c r="C216" i="24"/>
  <c r="B36" i="6"/>
  <c r="B49" i="6"/>
  <c r="B41" i="6"/>
  <c r="B45" i="6"/>
  <c r="B39" i="6"/>
  <c r="B37" i="6"/>
  <c r="B43" i="6"/>
  <c r="B48" i="6"/>
  <c r="B51" i="6"/>
  <c r="B40" i="6"/>
  <c r="B46" i="6"/>
  <c r="B38" i="6"/>
  <c r="B50" i="6"/>
  <c r="B42" i="6"/>
  <c r="B47" i="6"/>
  <c r="B44" i="6"/>
  <c r="C3" i="24"/>
  <c r="C225" i="24"/>
  <c r="C72" i="24"/>
  <c r="C128" i="24"/>
  <c r="C2" i="24"/>
  <c r="C44" i="24"/>
  <c r="C100" i="24"/>
  <c r="C170" i="24"/>
  <c r="C212" i="24"/>
  <c r="C58" i="24"/>
  <c r="C142" i="24"/>
  <c r="C30" i="24"/>
  <c r="C198" i="24"/>
  <c r="C86" i="24"/>
  <c r="C184" i="24"/>
  <c r="C156" i="24"/>
  <c r="C114" i="24"/>
  <c r="C16" i="24"/>
  <c r="C17" i="24"/>
  <c r="J15" i="24"/>
  <c r="J13" i="24"/>
  <c r="J12" i="24"/>
  <c r="J11" i="24"/>
  <c r="J10" i="24"/>
  <c r="J9" i="24"/>
  <c r="J8" i="24"/>
  <c r="J7" i="24"/>
  <c r="J6" i="24"/>
  <c r="J4" i="24"/>
  <c r="J3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20" i="25"/>
  <c r="B20" i="25"/>
  <c r="F20" i="25" l="1"/>
  <c r="I20" i="25" s="1"/>
  <c r="J17" i="24"/>
  <c r="A31" i="24"/>
  <c r="J25" i="24"/>
  <c r="A39" i="24"/>
  <c r="J18" i="24"/>
  <c r="A32" i="24"/>
  <c r="J26" i="24"/>
  <c r="A40" i="24"/>
  <c r="J19" i="24"/>
  <c r="A33" i="24"/>
  <c r="J27" i="24"/>
  <c r="A41" i="24"/>
  <c r="A34" i="24"/>
  <c r="J20" i="24"/>
  <c r="A37" i="24"/>
  <c r="J23" i="24"/>
  <c r="J21" i="24"/>
  <c r="A35" i="24"/>
  <c r="A36" i="24"/>
  <c r="J22" i="24"/>
  <c r="A30" i="24"/>
  <c r="J16" i="24"/>
  <c r="AL64" i="26" a="1"/>
  <c r="AL64" i="26" s="1"/>
  <c r="A38" i="24"/>
  <c r="J24" i="24"/>
  <c r="AT141" i="24"/>
  <c r="AT197" i="24"/>
  <c r="AT169" i="24"/>
  <c r="AT127" i="24"/>
  <c r="AT211" i="24"/>
  <c r="AT225" i="24"/>
  <c r="AT155" i="24"/>
  <c r="AT183" i="24"/>
  <c r="AT113" i="24"/>
  <c r="AT85" i="24"/>
  <c r="AP113" i="24" a="1"/>
  <c r="AP113" i="24" s="1"/>
  <c r="AT99" i="24"/>
  <c r="AP85" i="24" a="1"/>
  <c r="AP85" i="24" s="1"/>
  <c r="AP43" i="24" a="1"/>
  <c r="AP43" i="24" s="1"/>
  <c r="AT71" i="24"/>
  <c r="AT43" i="24"/>
  <c r="AT29" i="24"/>
  <c r="AT57" i="24"/>
  <c r="AP29" i="24" a="1"/>
  <c r="AP29" i="24" s="1"/>
  <c r="AP141" i="24" a="1"/>
  <c r="AP141" i="24" s="1"/>
  <c r="AP155" i="24" a="1"/>
  <c r="AP155" i="24" s="1"/>
  <c r="AP211" i="24" a="1"/>
  <c r="AP211" i="24" s="1"/>
  <c r="AP99" i="24" a="1"/>
  <c r="AP99" i="24" s="1"/>
  <c r="AP71" i="24" a="1"/>
  <c r="AP71" i="24" s="1"/>
  <c r="AP169" i="24" a="1"/>
  <c r="AP169" i="24" s="1"/>
  <c r="AP183" i="24" a="1"/>
  <c r="AP183" i="24" s="1"/>
  <c r="AP225" i="24" a="1"/>
  <c r="AP225" i="24" s="1"/>
  <c r="AP57" i="24" a="1"/>
  <c r="AP57" i="24" s="1"/>
  <c r="D17" i="27" s="1" a="1"/>
  <c r="D17" i="27" s="1"/>
  <c r="AP197" i="24" a="1"/>
  <c r="AP197" i="24" s="1"/>
  <c r="AP127" i="24" a="1"/>
  <c r="AP127" i="24" s="1"/>
  <c r="AC14" i="24"/>
  <c r="AC15" i="24"/>
  <c r="AC13" i="24"/>
  <c r="AC12" i="24"/>
  <c r="AC11" i="24"/>
  <c r="AC3" i="24"/>
  <c r="AC10" i="24"/>
  <c r="AC9" i="24"/>
  <c r="AC8" i="24"/>
  <c r="AC7" i="24"/>
  <c r="AC6" i="24"/>
  <c r="AC5" i="24"/>
  <c r="AC4" i="24"/>
  <c r="B3" i="25"/>
  <c r="F3" i="25" s="1"/>
  <c r="B4" i="25"/>
  <c r="F4" i="25" s="1"/>
  <c r="B5" i="25"/>
  <c r="F5" i="25" s="1"/>
  <c r="B6" i="25"/>
  <c r="F6" i="25" s="1"/>
  <c r="B7" i="25"/>
  <c r="F7" i="25" s="1"/>
  <c r="B8" i="25"/>
  <c r="F8" i="25" s="1"/>
  <c r="B9" i="25"/>
  <c r="F9" i="25" s="1"/>
  <c r="B10" i="25"/>
  <c r="F10" i="25" s="1"/>
  <c r="B11" i="25"/>
  <c r="F11" i="25" s="1"/>
  <c r="B12" i="25"/>
  <c r="F12" i="25" s="1"/>
  <c r="B13" i="25"/>
  <c r="F13" i="25" s="1"/>
  <c r="B14" i="25"/>
  <c r="F14" i="25" s="1"/>
  <c r="B15" i="25"/>
  <c r="F15" i="25" s="1"/>
  <c r="B16" i="25"/>
  <c r="F16" i="25" s="1"/>
  <c r="B17" i="25"/>
  <c r="F17" i="25" s="1"/>
  <c r="B18" i="25"/>
  <c r="F18" i="25" s="1"/>
  <c r="B19" i="25"/>
  <c r="F19" i="25" s="1"/>
  <c r="I19" i="25" s="1"/>
  <c r="B21" i="25"/>
  <c r="F21" i="25" s="1"/>
  <c r="I21" i="25" s="1"/>
  <c r="B22" i="25"/>
  <c r="F22" i="25" s="1"/>
  <c r="I22" i="25" s="1"/>
  <c r="B23" i="25"/>
  <c r="F23" i="25" s="1"/>
  <c r="I23" i="25" s="1"/>
  <c r="B24" i="25"/>
  <c r="F24" i="25" s="1"/>
  <c r="I24" i="25" s="1"/>
  <c r="B25" i="25"/>
  <c r="F25" i="25" s="1"/>
  <c r="I25" i="25" s="1"/>
  <c r="B26" i="25"/>
  <c r="F26" i="25" s="1"/>
  <c r="I26" i="25" s="1"/>
  <c r="B27" i="25"/>
  <c r="F27" i="25" s="1"/>
  <c r="I27" i="25" s="1"/>
  <c r="B28" i="25"/>
  <c r="F28" i="25" s="1"/>
  <c r="I28" i="25" s="1"/>
  <c r="B29" i="25"/>
  <c r="F29" i="25" s="1"/>
  <c r="I29" i="25" s="1"/>
  <c r="B30" i="25"/>
  <c r="F30" i="25" s="1"/>
  <c r="I30" i="25" s="1"/>
  <c r="B31" i="25"/>
  <c r="F31" i="25" s="1"/>
  <c r="I31" i="25" s="1"/>
  <c r="B32" i="25"/>
  <c r="F32" i="25" s="1"/>
  <c r="I32" i="25" s="1"/>
  <c r="B33" i="25"/>
  <c r="F33" i="25" s="1"/>
  <c r="I33" i="25" s="1"/>
  <c r="B34" i="25"/>
  <c r="F34" i="25" s="1"/>
  <c r="I34" i="25" s="1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L17" i="24" l="1"/>
  <c r="L3" i="24"/>
  <c r="E199" i="24" a="1"/>
  <c r="E199" i="24" s="1"/>
  <c r="F199" i="24" s="1"/>
  <c r="E31" i="24" a="1"/>
  <c r="E31" i="24" s="1"/>
  <c r="F31" i="24" s="1"/>
  <c r="E185" i="24" a="1"/>
  <c r="E185" i="24" s="1"/>
  <c r="E129" i="24" a="1"/>
  <c r="E129" i="24" s="1"/>
  <c r="E44" i="24" a="1"/>
  <c r="E44" i="24" s="1"/>
  <c r="F44" i="24" s="1"/>
  <c r="E58" i="24" a="1"/>
  <c r="E58" i="24" s="1"/>
  <c r="F58" i="24" s="1"/>
  <c r="E16" i="24" a="1"/>
  <c r="E16" i="24" s="1"/>
  <c r="E184" i="24" a="1"/>
  <c r="E184" i="24" s="1"/>
  <c r="F184" i="24" s="1"/>
  <c r="V184" i="24" s="1"/>
  <c r="E213" i="24" a="1"/>
  <c r="E213" i="24" s="1"/>
  <c r="F213" i="24" s="1"/>
  <c r="E100" i="24" a="1"/>
  <c r="E100" i="24" s="1"/>
  <c r="E142" i="24" a="1"/>
  <c r="E142" i="24" s="1"/>
  <c r="E2" i="24" a="1"/>
  <c r="E2" i="24" s="1"/>
  <c r="E17" i="24" a="1"/>
  <c r="E17" i="24" s="1"/>
  <c r="F17" i="24" s="1"/>
  <c r="E73" i="24" a="1"/>
  <c r="E73" i="24" s="1"/>
  <c r="F73" i="24" s="1"/>
  <c r="E86" i="24" a="1"/>
  <c r="E86" i="24" s="1"/>
  <c r="F86" i="24" s="1"/>
  <c r="E3" i="24" a="1"/>
  <c r="E3" i="24" s="1"/>
  <c r="E87" i="24" a="1"/>
  <c r="E87" i="24" s="1"/>
  <c r="F87" i="24" s="1"/>
  <c r="E157" i="24" a="1"/>
  <c r="E157" i="24" s="1"/>
  <c r="F157" i="24" s="1"/>
  <c r="E101" i="24" a="1"/>
  <c r="E101" i="24" s="1"/>
  <c r="F101" i="24" s="1"/>
  <c r="E143" i="24" a="1"/>
  <c r="E143" i="24" s="1"/>
  <c r="F143" i="24" s="1"/>
  <c r="E72" i="24" a="1"/>
  <c r="E72" i="24" s="1"/>
  <c r="F72" i="24" s="1"/>
  <c r="V72" i="24" s="1"/>
  <c r="E170" i="24" a="1"/>
  <c r="E170" i="24" s="1"/>
  <c r="F170" i="24" s="1"/>
  <c r="V170" i="24" s="1"/>
  <c r="E30" i="24" a="1"/>
  <c r="E30" i="24" s="1"/>
  <c r="F30" i="24" s="1"/>
  <c r="V30" i="24" s="1"/>
  <c r="E45" i="24" a="1"/>
  <c r="E45" i="24" s="1"/>
  <c r="F45" i="24" s="1"/>
  <c r="E156" i="24" a="1"/>
  <c r="E156" i="24" s="1"/>
  <c r="F156" i="24" s="1"/>
  <c r="E115" i="24" a="1"/>
  <c r="E115" i="24" s="1"/>
  <c r="F115" i="24" s="1"/>
  <c r="E171" i="24" a="1"/>
  <c r="E171" i="24" s="1"/>
  <c r="F171" i="24" s="1"/>
  <c r="E128" i="24" a="1"/>
  <c r="E128" i="24" s="1"/>
  <c r="F128" i="24" s="1"/>
  <c r="E212" i="24" a="1"/>
  <c r="E212" i="24" s="1"/>
  <c r="F212" i="24" s="1"/>
  <c r="E198" i="24" a="1"/>
  <c r="E198" i="24" s="1"/>
  <c r="F198" i="24" s="1"/>
  <c r="V198" i="24" s="1"/>
  <c r="E59" i="24" a="1"/>
  <c r="E59" i="24" s="1"/>
  <c r="F59" i="24" s="1"/>
  <c r="E114" i="24" a="1"/>
  <c r="E114" i="24" s="1"/>
  <c r="F114" i="24" s="1"/>
  <c r="V114" i="24" s="1"/>
  <c r="A54" i="24"/>
  <c r="J40" i="24"/>
  <c r="A53" i="24"/>
  <c r="J39" i="24"/>
  <c r="AC18" i="24"/>
  <c r="AC20" i="24"/>
  <c r="AC29" i="24"/>
  <c r="AC17" i="24"/>
  <c r="AC24" i="24"/>
  <c r="AC19" i="24"/>
  <c r="AC22" i="24"/>
  <c r="AC27" i="24"/>
  <c r="AC21" i="24"/>
  <c r="AC23" i="24"/>
  <c r="AC25" i="24"/>
  <c r="AC16" i="24"/>
  <c r="AC28" i="24"/>
  <c r="AC26" i="24"/>
  <c r="A50" i="24"/>
  <c r="J36" i="24"/>
  <c r="A51" i="24"/>
  <c r="J37" i="24"/>
  <c r="A55" i="24"/>
  <c r="J41" i="24"/>
  <c r="A49" i="24"/>
  <c r="J35" i="24"/>
  <c r="A44" i="24"/>
  <c r="J30" i="24"/>
  <c r="AL65" i="26" a="1"/>
  <c r="AL65" i="26" s="1"/>
  <c r="J32" i="24"/>
  <c r="A46" i="24"/>
  <c r="L31" i="24"/>
  <c r="A45" i="24"/>
  <c r="J31" i="24"/>
  <c r="A48" i="24"/>
  <c r="J34" i="24"/>
  <c r="A47" i="24"/>
  <c r="J33" i="24"/>
  <c r="A52" i="24"/>
  <c r="J38" i="24"/>
  <c r="F129" i="24"/>
  <c r="F2" i="24"/>
  <c r="V2" i="24" s="1"/>
  <c r="F16" i="24"/>
  <c r="F100" i="24"/>
  <c r="V100" i="24" s="1"/>
  <c r="F185" i="24"/>
  <c r="F142" i="24"/>
  <c r="K17" i="24"/>
  <c r="K3" i="24"/>
  <c r="K31" i="24"/>
  <c r="K30" i="24"/>
  <c r="K16" i="24"/>
  <c r="K2" i="24"/>
  <c r="V199" i="24" l="1"/>
  <c r="V73" i="24"/>
  <c r="V31" i="24"/>
  <c r="V171" i="24"/>
  <c r="V185" i="24"/>
  <c r="K44" i="24"/>
  <c r="AD44" i="24" s="1"/>
  <c r="K45" i="24"/>
  <c r="A58" i="24"/>
  <c r="J44" i="24"/>
  <c r="A69" i="24"/>
  <c r="J55" i="24"/>
  <c r="A64" i="24"/>
  <c r="J50" i="24"/>
  <c r="A66" i="24"/>
  <c r="J52" i="24"/>
  <c r="A62" i="24"/>
  <c r="J48" i="24"/>
  <c r="A60" i="24"/>
  <c r="J46" i="24"/>
  <c r="A67" i="24"/>
  <c r="J53" i="24"/>
  <c r="A63" i="24"/>
  <c r="J49" i="24"/>
  <c r="A65" i="24"/>
  <c r="J51" i="24"/>
  <c r="A59" i="24"/>
  <c r="K59" i="24" s="1"/>
  <c r="J45" i="24"/>
  <c r="L45" i="24"/>
  <c r="AC39" i="24"/>
  <c r="AC34" i="24"/>
  <c r="AC42" i="24"/>
  <c r="AC41" i="24"/>
  <c r="AC31" i="24"/>
  <c r="AC37" i="24"/>
  <c r="AC30" i="24"/>
  <c r="AC33" i="24"/>
  <c r="AC40" i="24"/>
  <c r="AC43" i="24"/>
  <c r="AC35" i="24"/>
  <c r="AC36" i="24"/>
  <c r="AC38" i="24"/>
  <c r="AC32" i="24"/>
  <c r="J47" i="24"/>
  <c r="A61" i="24"/>
  <c r="K58" i="24"/>
  <c r="AD58" i="24" s="1"/>
  <c r="A68" i="24"/>
  <c r="J54" i="24"/>
  <c r="X44" i="24"/>
  <c r="Y44" i="24" s="1"/>
  <c r="X128" i="24"/>
  <c r="Y128" i="24" s="1"/>
  <c r="X143" i="24"/>
  <c r="Y143" i="24" s="1"/>
  <c r="X142" i="24"/>
  <c r="Y142" i="24" s="1"/>
  <c r="X58" i="24"/>
  <c r="Y58" i="24" s="1"/>
  <c r="X16" i="24"/>
  <c r="Y16" i="24" s="1"/>
  <c r="X212" i="24"/>
  <c r="Y212" i="24" s="1"/>
  <c r="X156" i="24"/>
  <c r="Y156" i="24" s="1"/>
  <c r="X86" i="24"/>
  <c r="Y86" i="24" s="1"/>
  <c r="U30" i="24"/>
  <c r="X30" i="24" s="1"/>
  <c r="Y30" i="24" s="1"/>
  <c r="S30" i="24"/>
  <c r="AD31" i="24"/>
  <c r="AE30" i="24"/>
  <c r="AD30" i="24"/>
  <c r="AE31" i="24"/>
  <c r="S31" i="24"/>
  <c r="U31" i="24"/>
  <c r="U17" i="24"/>
  <c r="X17" i="24" s="1"/>
  <c r="Y17" i="24" s="1"/>
  <c r="AE17" i="24"/>
  <c r="S17" i="24"/>
  <c r="U16" i="24"/>
  <c r="S16" i="24"/>
  <c r="AD16" i="24"/>
  <c r="AF16" i="24" s="1"/>
  <c r="AD17" i="24"/>
  <c r="AF17" i="24" s="1"/>
  <c r="AE16" i="24"/>
  <c r="AL66" i="26" a="1"/>
  <c r="AL66" i="26" s="1"/>
  <c r="C16" i="27" a="1"/>
  <c r="C16" i="27" s="1"/>
  <c r="F3" i="24"/>
  <c r="U2" i="24"/>
  <c r="X2" i="24" s="1"/>
  <c r="Y2" i="24" s="1"/>
  <c r="AE2" i="24"/>
  <c r="AD2" i="24"/>
  <c r="AD3" i="24"/>
  <c r="S2" i="24"/>
  <c r="S3" i="24"/>
  <c r="U3" i="24"/>
  <c r="AE3" i="24"/>
  <c r="V16" i="24" l="1"/>
  <c r="V17" i="24" s="1"/>
  <c r="W17" i="24" s="1"/>
  <c r="V3" i="24"/>
  <c r="W3" i="24" s="1"/>
  <c r="X3" i="24"/>
  <c r="Y3" i="24" s="1"/>
  <c r="X31" i="24"/>
  <c r="Y31" i="24" s="1"/>
  <c r="AD45" i="24"/>
  <c r="S45" i="24"/>
  <c r="AE44" i="24"/>
  <c r="S44" i="24"/>
  <c r="U44" i="24"/>
  <c r="U45" i="24"/>
  <c r="X45" i="24" s="1"/>
  <c r="Y45" i="24" s="1"/>
  <c r="AE45" i="24"/>
  <c r="AF31" i="24"/>
  <c r="AD59" i="24"/>
  <c r="AF30" i="24"/>
  <c r="J59" i="24"/>
  <c r="L59" i="24"/>
  <c r="A73" i="24"/>
  <c r="A77" i="24"/>
  <c r="J63" i="24"/>
  <c r="A81" i="24"/>
  <c r="J67" i="24"/>
  <c r="A83" i="24"/>
  <c r="J69" i="24"/>
  <c r="A74" i="24"/>
  <c r="J60" i="24"/>
  <c r="A80" i="24"/>
  <c r="J66" i="24"/>
  <c r="A79" i="24"/>
  <c r="J65" i="24"/>
  <c r="A78" i="24"/>
  <c r="J64" i="24"/>
  <c r="AC44" i="24"/>
  <c r="AC45" i="24"/>
  <c r="AC54" i="24"/>
  <c r="AC51" i="24"/>
  <c r="AC50" i="24"/>
  <c r="AC56" i="24"/>
  <c r="AC57" i="24"/>
  <c r="AC55" i="24"/>
  <c r="AC48" i="24"/>
  <c r="AC47" i="24"/>
  <c r="AC46" i="24"/>
  <c r="AC52" i="24"/>
  <c r="AC53" i="24"/>
  <c r="AC49" i="24"/>
  <c r="A75" i="24"/>
  <c r="J61" i="24"/>
  <c r="J58" i="24"/>
  <c r="A72" i="24"/>
  <c r="J62" i="24"/>
  <c r="A76" i="24"/>
  <c r="A82" i="24"/>
  <c r="J68" i="24"/>
  <c r="AA16" i="24"/>
  <c r="AB16" i="24" s="1"/>
  <c r="Z17" i="24"/>
  <c r="Z16" i="24"/>
  <c r="T30" i="24"/>
  <c r="T31" i="24"/>
  <c r="W30" i="24"/>
  <c r="Z31" i="24"/>
  <c r="W31" i="24"/>
  <c r="AA30" i="24"/>
  <c r="AB30" i="24" s="1"/>
  <c r="Z30" i="24"/>
  <c r="T16" i="24"/>
  <c r="T17" i="24"/>
  <c r="AL67" i="26" a="1"/>
  <c r="AL67" i="26" s="1"/>
  <c r="AF2" i="24"/>
  <c r="D25" i="35"/>
  <c r="D29" i="35"/>
  <c r="D35" i="35"/>
  <c r="W2" i="24"/>
  <c r="Z2" i="24"/>
  <c r="Z3" i="24"/>
  <c r="T3" i="24"/>
  <c r="T2" i="24"/>
  <c r="AA2" i="24"/>
  <c r="AB2" i="24" s="1"/>
  <c r="V44" i="24" l="1"/>
  <c r="V45" i="24" s="1"/>
  <c r="W45" i="24" s="1"/>
  <c r="W16" i="24"/>
  <c r="AA44" i="24"/>
  <c r="AB44" i="24" s="1"/>
  <c r="T45" i="24"/>
  <c r="Z44" i="24"/>
  <c r="R44" i="24" s="1"/>
  <c r="T44" i="24"/>
  <c r="Z45" i="24"/>
  <c r="R45" i="24" s="1"/>
  <c r="R3" i="24"/>
  <c r="R2" i="24"/>
  <c r="AC58" i="24"/>
  <c r="AC60" i="24"/>
  <c r="AC59" i="24"/>
  <c r="AC66" i="24"/>
  <c r="AC65" i="24"/>
  <c r="AC69" i="24"/>
  <c r="AC62" i="24"/>
  <c r="AC67" i="24"/>
  <c r="AC61" i="24"/>
  <c r="AC71" i="24"/>
  <c r="AC64" i="24"/>
  <c r="AC70" i="24"/>
  <c r="AC68" i="24"/>
  <c r="AC63" i="24"/>
  <c r="U58" i="24"/>
  <c r="AE58" i="24"/>
  <c r="S58" i="24"/>
  <c r="J75" i="24"/>
  <c r="A89" i="24"/>
  <c r="A95" i="24"/>
  <c r="J81" i="24"/>
  <c r="A93" i="24"/>
  <c r="J79" i="24"/>
  <c r="J74" i="24"/>
  <c r="A88" i="24"/>
  <c r="J76" i="24"/>
  <c r="A90" i="24"/>
  <c r="AF45" i="24"/>
  <c r="S59" i="24"/>
  <c r="U59" i="24"/>
  <c r="AE59" i="24"/>
  <c r="AF44" i="24"/>
  <c r="A91" i="24"/>
  <c r="J77" i="24"/>
  <c r="A96" i="24"/>
  <c r="J82" i="24"/>
  <c r="J72" i="24"/>
  <c r="A86" i="24"/>
  <c r="K72" i="24"/>
  <c r="A94" i="24"/>
  <c r="J80" i="24"/>
  <c r="A97" i="24"/>
  <c r="J83" i="24"/>
  <c r="A92" i="24"/>
  <c r="J78" i="24"/>
  <c r="J73" i="24"/>
  <c r="A87" i="24"/>
  <c r="L73" i="24"/>
  <c r="K73" i="24"/>
  <c r="AA45" i="24"/>
  <c r="AA17" i="24"/>
  <c r="AB17" i="24" s="1"/>
  <c r="R17" i="24"/>
  <c r="R16" i="24"/>
  <c r="R31" i="24"/>
  <c r="R30" i="24"/>
  <c r="AA31" i="24"/>
  <c r="AB31" i="24" s="1"/>
  <c r="AL68" i="26" a="1"/>
  <c r="AL68" i="26" s="1"/>
  <c r="AA3" i="24"/>
  <c r="AB3" i="24" s="1"/>
  <c r="R2" i="19"/>
  <c r="Q2" i="19"/>
  <c r="P2" i="19"/>
  <c r="O2" i="19"/>
  <c r="N2" i="19"/>
  <c r="M2" i="19"/>
  <c r="L2" i="19"/>
  <c r="K2" i="19"/>
  <c r="J2" i="19"/>
  <c r="I2" i="19"/>
  <c r="H2" i="19"/>
  <c r="F2" i="19"/>
  <c r="E2" i="19"/>
  <c r="D2" i="19"/>
  <c r="C2" i="19"/>
  <c r="B18" i="19"/>
  <c r="B17" i="19"/>
  <c r="B16" i="19"/>
  <c r="B15" i="19"/>
  <c r="B14" i="19"/>
  <c r="B13" i="19"/>
  <c r="B12" i="19"/>
  <c r="B11" i="19"/>
  <c r="B10" i="19"/>
  <c r="B9" i="19"/>
  <c r="B8" i="19"/>
  <c r="B6" i="19"/>
  <c r="B5" i="19"/>
  <c r="B4" i="19"/>
  <c r="B3" i="19"/>
  <c r="B7" i="19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V58" i="24" l="1"/>
  <c r="V59" i="24" s="1"/>
  <c r="AB45" i="24"/>
  <c r="W44" i="24"/>
  <c r="X59" i="24"/>
  <c r="Y59" i="24" s="1"/>
  <c r="F44" i="25"/>
  <c r="I44" i="25" s="1"/>
  <c r="H44" i="25"/>
  <c r="F37" i="25"/>
  <c r="I37" i="25" s="1"/>
  <c r="H37" i="25"/>
  <c r="F39" i="25"/>
  <c r="I39" i="25" s="1"/>
  <c r="H39" i="25"/>
  <c r="F47" i="25"/>
  <c r="I47" i="25" s="1"/>
  <c r="H63" i="25" s="1"/>
  <c r="H47" i="25"/>
  <c r="F45" i="25"/>
  <c r="I45" i="25" s="1"/>
  <c r="H61" i="25" s="1"/>
  <c r="H45" i="25"/>
  <c r="F38" i="25"/>
  <c r="I38" i="25" s="1"/>
  <c r="H38" i="25"/>
  <c r="F46" i="25"/>
  <c r="I46" i="25" s="1"/>
  <c r="H62" i="25" s="1"/>
  <c r="H46" i="25"/>
  <c r="F40" i="25"/>
  <c r="I40" i="25" s="1"/>
  <c r="H40" i="25"/>
  <c r="F48" i="25"/>
  <c r="I48" i="25" s="1"/>
  <c r="H48" i="25"/>
  <c r="F36" i="25"/>
  <c r="I36" i="25" s="1"/>
  <c r="H36" i="25"/>
  <c r="F41" i="25"/>
  <c r="I41" i="25" s="1"/>
  <c r="H41" i="25"/>
  <c r="F49" i="25"/>
  <c r="I49" i="25" s="1"/>
  <c r="H65" i="25" s="1"/>
  <c r="H49" i="25"/>
  <c r="F42" i="25"/>
  <c r="I42" i="25" s="1"/>
  <c r="H58" i="25" s="1"/>
  <c r="H42" i="25"/>
  <c r="F50" i="25"/>
  <c r="I50" i="25" s="1"/>
  <c r="H66" i="25" s="1"/>
  <c r="H50" i="25"/>
  <c r="F43" i="25"/>
  <c r="I43" i="25" s="1"/>
  <c r="H59" i="25" s="1"/>
  <c r="H43" i="25"/>
  <c r="A111" i="24"/>
  <c r="J97" i="24"/>
  <c r="AA58" i="24"/>
  <c r="AB58" i="24" s="1"/>
  <c r="Z58" i="24"/>
  <c r="Z59" i="24"/>
  <c r="T58" i="24"/>
  <c r="T59" i="24"/>
  <c r="A109" i="24"/>
  <c r="J95" i="24"/>
  <c r="J87" i="24"/>
  <c r="A101" i="24"/>
  <c r="L87" i="24"/>
  <c r="K87" i="24"/>
  <c r="A108" i="24"/>
  <c r="J94" i="24"/>
  <c r="AD72" i="24"/>
  <c r="AD73" i="24"/>
  <c r="A107" i="24"/>
  <c r="J93" i="24"/>
  <c r="A110" i="24"/>
  <c r="J96" i="24"/>
  <c r="J90" i="24"/>
  <c r="A104" i="24"/>
  <c r="A102" i="24"/>
  <c r="J88" i="24"/>
  <c r="J89" i="24"/>
  <c r="A103" i="24"/>
  <c r="AE73" i="24"/>
  <c r="S73" i="24"/>
  <c r="U73" i="24"/>
  <c r="J86" i="24"/>
  <c r="A100" i="24"/>
  <c r="K86" i="24"/>
  <c r="A105" i="24"/>
  <c r="J91" i="24"/>
  <c r="AF59" i="24"/>
  <c r="A106" i="24"/>
  <c r="J92" i="24"/>
  <c r="AC73" i="24"/>
  <c r="AC74" i="24"/>
  <c r="AC72" i="24"/>
  <c r="AC81" i="24"/>
  <c r="AC79" i="24"/>
  <c r="AC80" i="24"/>
  <c r="AC82" i="24"/>
  <c r="AC76" i="24"/>
  <c r="AC83" i="24"/>
  <c r="AC77" i="24"/>
  <c r="AC84" i="24"/>
  <c r="AC78" i="24"/>
  <c r="AC85" i="24"/>
  <c r="AC75" i="24"/>
  <c r="U72" i="24"/>
  <c r="S72" i="24"/>
  <c r="AE72" i="24"/>
  <c r="AF58" i="24"/>
  <c r="AL69" i="26" a="1"/>
  <c r="AL69" i="26" s="1"/>
  <c r="D198" i="19"/>
  <c r="D234" i="19"/>
  <c r="D344" i="19"/>
  <c r="D392" i="19"/>
  <c r="D424" i="19"/>
  <c r="D432" i="19"/>
  <c r="D425" i="19"/>
  <c r="D239" i="19"/>
  <c r="D310" i="19"/>
  <c r="D433" i="19"/>
  <c r="D430" i="19"/>
  <c r="D241" i="19"/>
  <c r="D426" i="19"/>
  <c r="D434" i="19"/>
  <c r="D427" i="19"/>
  <c r="D436" i="19"/>
  <c r="D437" i="19"/>
  <c r="D242" i="19"/>
  <c r="D435" i="19"/>
  <c r="D438" i="19"/>
  <c r="D262" i="19"/>
  <c r="D340" i="19"/>
  <c r="D388" i="19"/>
  <c r="D428" i="19"/>
  <c r="D429" i="19"/>
  <c r="D431" i="19"/>
  <c r="D70" i="19"/>
  <c r="D73" i="19"/>
  <c r="D105" i="19"/>
  <c r="D135" i="19"/>
  <c r="D137" i="19"/>
  <c r="D153" i="19"/>
  <c r="D72" i="19"/>
  <c r="A58" i="25"/>
  <c r="A66" i="25"/>
  <c r="A60" i="25"/>
  <c r="A61" i="25"/>
  <c r="A54" i="25"/>
  <c r="A62" i="25"/>
  <c r="A55" i="25"/>
  <c r="A63" i="25"/>
  <c r="A56" i="25"/>
  <c r="A64" i="25"/>
  <c r="A59" i="25"/>
  <c r="A52" i="25"/>
  <c r="A53" i="25"/>
  <c r="A57" i="25"/>
  <c r="A65" i="25"/>
  <c r="A35" i="25"/>
  <c r="W58" i="24" l="1"/>
  <c r="W59" i="24"/>
  <c r="X72" i="24"/>
  <c r="Y72" i="24" s="1"/>
  <c r="X73" i="24"/>
  <c r="Y73" i="24" s="1"/>
  <c r="AA59" i="24"/>
  <c r="AB59" i="24" s="1"/>
  <c r="G37" i="25"/>
  <c r="G44" i="25"/>
  <c r="H54" i="25"/>
  <c r="L46" i="24"/>
  <c r="H55" i="25"/>
  <c r="L60" i="24"/>
  <c r="H57" i="25"/>
  <c r="L88" i="24"/>
  <c r="F58" i="25"/>
  <c r="I58" i="25" s="1"/>
  <c r="G40" i="25"/>
  <c r="F57" i="25"/>
  <c r="I57" i="25" s="1"/>
  <c r="F62" i="25"/>
  <c r="I62" i="25" s="1"/>
  <c r="F53" i="25"/>
  <c r="I53" i="25" s="1"/>
  <c r="G42" i="25"/>
  <c r="H56" i="25"/>
  <c r="L74" i="24"/>
  <c r="G45" i="25"/>
  <c r="F52" i="25"/>
  <c r="I52" i="25" s="1"/>
  <c r="G36" i="25"/>
  <c r="F35" i="25"/>
  <c r="I35" i="25" s="1"/>
  <c r="H35" i="25"/>
  <c r="F63" i="25"/>
  <c r="I63" i="25" s="1"/>
  <c r="G63" i="25" s="1"/>
  <c r="F65" i="25"/>
  <c r="I65" i="25" s="1"/>
  <c r="F55" i="25"/>
  <c r="I55" i="25" s="1"/>
  <c r="F54" i="25"/>
  <c r="I54" i="25" s="1"/>
  <c r="F59" i="25"/>
  <c r="I59" i="25" s="1"/>
  <c r="G59" i="25" s="1"/>
  <c r="F60" i="25"/>
  <c r="I60" i="25" s="1"/>
  <c r="H76" i="25" s="1"/>
  <c r="G43" i="25"/>
  <c r="H52" i="25"/>
  <c r="L18" i="24"/>
  <c r="G46" i="25"/>
  <c r="H53" i="25"/>
  <c r="L32" i="24"/>
  <c r="F56" i="25"/>
  <c r="I56" i="25" s="1"/>
  <c r="F61" i="25"/>
  <c r="I61" i="25" s="1"/>
  <c r="F64" i="25"/>
  <c r="I64" i="25" s="1"/>
  <c r="H80" i="25" s="1"/>
  <c r="F66" i="25"/>
  <c r="I66" i="25" s="1"/>
  <c r="G49" i="25"/>
  <c r="G47" i="25"/>
  <c r="G48" i="25"/>
  <c r="G50" i="25"/>
  <c r="H64" i="25"/>
  <c r="G38" i="25"/>
  <c r="H60" i="25"/>
  <c r="G41" i="25"/>
  <c r="G39" i="25"/>
  <c r="E46" i="24" a="1"/>
  <c r="E46" i="24" s="1"/>
  <c r="F46" i="24" s="1"/>
  <c r="E102" i="24" a="1"/>
  <c r="E102" i="24" s="1"/>
  <c r="E116" i="24" a="1"/>
  <c r="E116" i="24" s="1"/>
  <c r="E144" i="24" a="1"/>
  <c r="E144" i="24" s="1"/>
  <c r="F144" i="24" s="1"/>
  <c r="E88" i="24" a="1"/>
  <c r="E88" i="24" s="1"/>
  <c r="F88" i="24" s="1"/>
  <c r="E18" i="24" a="1"/>
  <c r="E18" i="24" s="1"/>
  <c r="E200" i="24" a="1"/>
  <c r="E200" i="24" s="1"/>
  <c r="F200" i="24" s="1"/>
  <c r="E74" i="24" a="1"/>
  <c r="E74" i="24" s="1"/>
  <c r="F74" i="24" s="1"/>
  <c r="E186" i="24" a="1"/>
  <c r="E186" i="24" s="1"/>
  <c r="F186" i="24" s="1"/>
  <c r="E4" i="24" a="1"/>
  <c r="E4" i="24" s="1"/>
  <c r="E158" i="24" a="1"/>
  <c r="E158" i="24" s="1"/>
  <c r="F158" i="24" s="1"/>
  <c r="E130" i="24" a="1"/>
  <c r="E130" i="24" s="1"/>
  <c r="F130" i="24" s="1"/>
  <c r="E60" i="24" a="1"/>
  <c r="E60" i="24" s="1"/>
  <c r="F60" i="24" s="1"/>
  <c r="V60" i="24" s="1"/>
  <c r="E214" i="24" a="1"/>
  <c r="E214" i="24" s="1"/>
  <c r="E32" i="24" a="1"/>
  <c r="E32" i="24" s="1"/>
  <c r="F32" i="24" s="1"/>
  <c r="E172" i="24" a="1"/>
  <c r="E172" i="24" s="1"/>
  <c r="F172" i="24" s="1"/>
  <c r="V172" i="24" s="1"/>
  <c r="AN70" i="26" a="1"/>
  <c r="AN70" i="26" s="1"/>
  <c r="T73" i="24"/>
  <c r="T72" i="24"/>
  <c r="AA73" i="24"/>
  <c r="J104" i="24"/>
  <c r="AT62" i="24" s="1"/>
  <c r="A118" i="24"/>
  <c r="A114" i="24"/>
  <c r="J100" i="24"/>
  <c r="AT16" i="24" s="1"/>
  <c r="AL70" i="26" a="1"/>
  <c r="AL70" i="26" s="1"/>
  <c r="K100" i="24"/>
  <c r="J101" i="24"/>
  <c r="L101" i="24"/>
  <c r="O31" i="24" s="1"/>
  <c r="A115" i="24"/>
  <c r="K101" i="24"/>
  <c r="AC86" i="24"/>
  <c r="AC88" i="24"/>
  <c r="AC87" i="24"/>
  <c r="AC95" i="24"/>
  <c r="AC89" i="24"/>
  <c r="AC97" i="24"/>
  <c r="AC99" i="24"/>
  <c r="AC92" i="24"/>
  <c r="AC91" i="24"/>
  <c r="AC98" i="24"/>
  <c r="AC96" i="24"/>
  <c r="AC94" i="24"/>
  <c r="AC93" i="24"/>
  <c r="AC90" i="24"/>
  <c r="S86" i="24"/>
  <c r="U86" i="24"/>
  <c r="AE86" i="24"/>
  <c r="J103" i="24"/>
  <c r="AT47" i="24" s="1"/>
  <c r="A117" i="24"/>
  <c r="Z72" i="24"/>
  <c r="AA72" i="24"/>
  <c r="AB72" i="24" s="1"/>
  <c r="W73" i="24"/>
  <c r="Z73" i="24"/>
  <c r="W72" i="24"/>
  <c r="A119" i="24"/>
  <c r="J105" i="24"/>
  <c r="AT63" i="24" s="1"/>
  <c r="A124" i="24"/>
  <c r="J110" i="24"/>
  <c r="AT26" i="24" s="1"/>
  <c r="AF73" i="24"/>
  <c r="A122" i="24"/>
  <c r="J108" i="24"/>
  <c r="S87" i="24"/>
  <c r="U87" i="24"/>
  <c r="X87" i="24" s="1"/>
  <c r="Y87" i="24" s="1"/>
  <c r="AE87" i="24"/>
  <c r="R59" i="24"/>
  <c r="AF72" i="24"/>
  <c r="R58" i="24"/>
  <c r="A120" i="24"/>
  <c r="J106" i="24"/>
  <c r="AT64" i="24" s="1"/>
  <c r="AD87" i="24"/>
  <c r="AD86" i="24"/>
  <c r="J102" i="24"/>
  <c r="AT88" i="24" s="1"/>
  <c r="A116" i="24"/>
  <c r="L102" i="24"/>
  <c r="A121" i="24"/>
  <c r="J107" i="24"/>
  <c r="AT51" i="24" s="1"/>
  <c r="A123" i="24"/>
  <c r="J109" i="24"/>
  <c r="A125" i="24"/>
  <c r="J111" i="24"/>
  <c r="AN69" i="26" a="1"/>
  <c r="AN69" i="26" s="1"/>
  <c r="AN66" i="26" a="1"/>
  <c r="AN66" i="26" s="1"/>
  <c r="AN68" i="26" a="1"/>
  <c r="AN68" i="26" s="1"/>
  <c r="AN65" i="26" a="1"/>
  <c r="AN65" i="26" s="1"/>
  <c r="AN64" i="26" a="1"/>
  <c r="AN64" i="26" s="1"/>
  <c r="AN67" i="26" a="1"/>
  <c r="AN67" i="26" s="1"/>
  <c r="K32" i="24"/>
  <c r="K18" i="24"/>
  <c r="F18" i="24"/>
  <c r="F116" i="24"/>
  <c r="F102" i="24"/>
  <c r="F214" i="24"/>
  <c r="K102" i="24"/>
  <c r="K88" i="24"/>
  <c r="K4" i="24"/>
  <c r="K74" i="24"/>
  <c r="K60" i="24"/>
  <c r="K46" i="24"/>
  <c r="A79" i="25"/>
  <c r="A77" i="25"/>
  <c r="A75" i="25"/>
  <c r="A71" i="25"/>
  <c r="A76" i="25"/>
  <c r="A73" i="25"/>
  <c r="A81" i="25"/>
  <c r="A80" i="25"/>
  <c r="A78" i="25"/>
  <c r="A69" i="25"/>
  <c r="A82" i="25"/>
  <c r="A70" i="25"/>
  <c r="A72" i="25"/>
  <c r="A51" i="25"/>
  <c r="A68" i="25"/>
  <c r="A74" i="25"/>
  <c r="V86" i="24" l="1"/>
  <c r="V87" i="24" s="1"/>
  <c r="W87" i="24" s="1"/>
  <c r="H71" i="25"/>
  <c r="L61" i="24"/>
  <c r="H74" i="25"/>
  <c r="G58" i="25"/>
  <c r="L103" i="24"/>
  <c r="H77" i="25"/>
  <c r="G61" i="25"/>
  <c r="H72" i="25"/>
  <c r="L75" i="24"/>
  <c r="H69" i="25"/>
  <c r="L33" i="24"/>
  <c r="H81" i="25"/>
  <c r="G65" i="25"/>
  <c r="H51" i="25"/>
  <c r="L4" i="24"/>
  <c r="O46" i="24" s="1"/>
  <c r="H78" i="25"/>
  <c r="G62" i="25"/>
  <c r="H68" i="25"/>
  <c r="L19" i="24"/>
  <c r="F70" i="25"/>
  <c r="I70" i="25" s="1"/>
  <c r="F71" i="25"/>
  <c r="I71" i="25" s="1"/>
  <c r="F82" i="25"/>
  <c r="I82" i="25" s="1"/>
  <c r="H98" i="25" s="1"/>
  <c r="F75" i="25"/>
  <c r="I75" i="25" s="1"/>
  <c r="L118" i="24" s="1"/>
  <c r="F69" i="25"/>
  <c r="I69" i="25" s="1"/>
  <c r="F77" i="25"/>
  <c r="I77" i="25" s="1"/>
  <c r="H93" i="25" s="1"/>
  <c r="H70" i="25"/>
  <c r="L47" i="24"/>
  <c r="G35" i="25"/>
  <c r="G56" i="25"/>
  <c r="K61" i="24"/>
  <c r="AE61" i="24" s="1"/>
  <c r="F51" i="25"/>
  <c r="I51" i="25" s="1"/>
  <c r="F73" i="25"/>
  <c r="I73" i="25" s="1"/>
  <c r="F78" i="25"/>
  <c r="I78" i="25" s="1"/>
  <c r="H94" i="25" s="1"/>
  <c r="F79" i="25"/>
  <c r="I79" i="25" s="1"/>
  <c r="G64" i="25"/>
  <c r="G52" i="25"/>
  <c r="G55" i="25"/>
  <c r="F74" i="25"/>
  <c r="I74" i="25" s="1"/>
  <c r="F80" i="25"/>
  <c r="I80" i="25" s="1"/>
  <c r="G80" i="25" s="1"/>
  <c r="F68" i="25"/>
  <c r="I68" i="25" s="1"/>
  <c r="F81" i="25"/>
  <c r="I81" i="25" s="1"/>
  <c r="H97" i="25" s="1"/>
  <c r="G54" i="25"/>
  <c r="F72" i="25"/>
  <c r="I72" i="25" s="1"/>
  <c r="F76" i="25"/>
  <c r="I76" i="25" s="1"/>
  <c r="H82" i="25"/>
  <c r="H75" i="25"/>
  <c r="H79" i="25"/>
  <c r="H73" i="25"/>
  <c r="L89" i="24"/>
  <c r="G57" i="25"/>
  <c r="G66" i="25"/>
  <c r="G60" i="25"/>
  <c r="G53" i="25"/>
  <c r="N86" i="24"/>
  <c r="E117" i="24" a="1"/>
  <c r="E117" i="24" s="1"/>
  <c r="F117" i="24" s="1"/>
  <c r="E61" i="24" a="1"/>
  <c r="E61" i="24" s="1"/>
  <c r="F61" i="24" s="1"/>
  <c r="V61" i="24" s="1"/>
  <c r="E131" i="24" a="1"/>
  <c r="E131" i="24" s="1"/>
  <c r="E187" i="24" a="1"/>
  <c r="E187" i="24" s="1"/>
  <c r="E145" i="24" a="1"/>
  <c r="E145" i="24" s="1"/>
  <c r="F145" i="24" s="1"/>
  <c r="E159" i="24" a="1"/>
  <c r="E159" i="24" s="1"/>
  <c r="E103" i="24" a="1"/>
  <c r="E103" i="24" s="1"/>
  <c r="E89" i="24" a="1"/>
  <c r="E89" i="24" s="1"/>
  <c r="F89" i="24" s="1"/>
  <c r="E47" i="24" a="1"/>
  <c r="E47" i="24" s="1"/>
  <c r="F47" i="24" s="1"/>
  <c r="X47" i="24" s="1"/>
  <c r="Y47" i="24" s="1"/>
  <c r="E173" i="24" a="1"/>
  <c r="E173" i="24" s="1"/>
  <c r="F173" i="24" s="1"/>
  <c r="E33" i="24" a="1"/>
  <c r="E33" i="24" s="1"/>
  <c r="E5" i="24" a="1"/>
  <c r="E5" i="24" s="1"/>
  <c r="E19" i="24" a="1"/>
  <c r="E19" i="24" s="1"/>
  <c r="F19" i="24" s="1"/>
  <c r="E215" i="24" a="1"/>
  <c r="E215" i="24" s="1"/>
  <c r="E75" i="24" a="1"/>
  <c r="E75" i="24" s="1"/>
  <c r="E201" i="24" a="1"/>
  <c r="E201" i="24" s="1"/>
  <c r="F201" i="24" s="1"/>
  <c r="AT34" i="24"/>
  <c r="N58" i="24"/>
  <c r="AT76" i="24"/>
  <c r="AT90" i="24"/>
  <c r="AT104" i="24"/>
  <c r="AT48" i="24"/>
  <c r="N30" i="24"/>
  <c r="AT33" i="24"/>
  <c r="K116" i="24"/>
  <c r="AT49" i="24"/>
  <c r="AT103" i="24"/>
  <c r="N16" i="24"/>
  <c r="AT91" i="24"/>
  <c r="AT77" i="24"/>
  <c r="R72" i="24"/>
  <c r="R73" i="24"/>
  <c r="AF87" i="24"/>
  <c r="O87" i="24"/>
  <c r="AT92" i="24"/>
  <c r="AB73" i="24"/>
  <c r="AT20" i="24"/>
  <c r="AF86" i="24"/>
  <c r="AT75" i="24"/>
  <c r="AT35" i="24"/>
  <c r="AT74" i="24"/>
  <c r="AT110" i="24"/>
  <c r="A131" i="24"/>
  <c r="J117" i="24"/>
  <c r="L117" i="24"/>
  <c r="AT50" i="24"/>
  <c r="AT78" i="24"/>
  <c r="AT36" i="24"/>
  <c r="A138" i="24"/>
  <c r="J124" i="24"/>
  <c r="AT89" i="24"/>
  <c r="AT61" i="24"/>
  <c r="AT19" i="24"/>
  <c r="S101" i="24"/>
  <c r="AE101" i="24"/>
  <c r="U101" i="24"/>
  <c r="AT101" i="24"/>
  <c r="AT87" i="24"/>
  <c r="AT59" i="24"/>
  <c r="AT73" i="24"/>
  <c r="AT17" i="24"/>
  <c r="AT31" i="24"/>
  <c r="J118" i="24"/>
  <c r="A132" i="24"/>
  <c r="AT37" i="24"/>
  <c r="A133" i="24"/>
  <c r="J119" i="24"/>
  <c r="AD100" i="24"/>
  <c r="AD101" i="24"/>
  <c r="AT80" i="24"/>
  <c r="AT108" i="24"/>
  <c r="AT66" i="24"/>
  <c r="AT24" i="24"/>
  <c r="AT52" i="24"/>
  <c r="AT18" i="24"/>
  <c r="AT106" i="24"/>
  <c r="AT94" i="24"/>
  <c r="AC102" i="24"/>
  <c r="AU46" i="24" s="1"/>
  <c r="AC100" i="24"/>
  <c r="AG58" i="24" s="1"/>
  <c r="AC101" i="24"/>
  <c r="AG45" i="24" s="1"/>
  <c r="AC103" i="24"/>
  <c r="AU33" i="24" s="1"/>
  <c r="AC105" i="24"/>
  <c r="AG63" i="24" s="1"/>
  <c r="AC110" i="24"/>
  <c r="AG26" i="24" s="1"/>
  <c r="AC107" i="24"/>
  <c r="AG93" i="24" s="1"/>
  <c r="AC104" i="24"/>
  <c r="AG104" i="24" s="1"/>
  <c r="AC111" i="24"/>
  <c r="AU41" i="24" s="1"/>
  <c r="AC109" i="24"/>
  <c r="AG95" i="24" s="1"/>
  <c r="AC112" i="24"/>
  <c r="AG98" i="24" s="1"/>
  <c r="AC108" i="24"/>
  <c r="AG94" i="24" s="1"/>
  <c r="AC106" i="24"/>
  <c r="AU36" i="24" s="1"/>
  <c r="AC113" i="24"/>
  <c r="AG99" i="24" s="1"/>
  <c r="U100" i="24"/>
  <c r="AE100" i="24"/>
  <c r="S100" i="24"/>
  <c r="AT30" i="24"/>
  <c r="AT72" i="24"/>
  <c r="AT58" i="24"/>
  <c r="AT46" i="24"/>
  <c r="AT39" i="24"/>
  <c r="AT95" i="24"/>
  <c r="AT25" i="24"/>
  <c r="AT109" i="24"/>
  <c r="AT81" i="24"/>
  <c r="AT67" i="24"/>
  <c r="AT53" i="24"/>
  <c r="A130" i="24"/>
  <c r="K130" i="24" s="1"/>
  <c r="L116" i="24"/>
  <c r="J116" i="24"/>
  <c r="A135" i="24"/>
  <c r="J121" i="24"/>
  <c r="AT60" i="24"/>
  <c r="AT32" i="24"/>
  <c r="AT102" i="24"/>
  <c r="A134" i="24"/>
  <c r="J120" i="24"/>
  <c r="AT22" i="24"/>
  <c r="AN71" i="26" a="1"/>
  <c r="AN71" i="26" s="1"/>
  <c r="AT68" i="24"/>
  <c r="A139" i="24"/>
  <c r="J125" i="24"/>
  <c r="AT27" i="24"/>
  <c r="AT69" i="24"/>
  <c r="AT83" i="24"/>
  <c r="AT41" i="24"/>
  <c r="AT97" i="24"/>
  <c r="AT111" i="24"/>
  <c r="AT55" i="24"/>
  <c r="A136" i="24"/>
  <c r="J122" i="24"/>
  <c r="AT21" i="24"/>
  <c r="J114" i="24"/>
  <c r="A128" i="24"/>
  <c r="AL71" i="26" a="1"/>
  <c r="AL71" i="26" s="1"/>
  <c r="K114" i="24"/>
  <c r="N44" i="24"/>
  <c r="AT86" i="24"/>
  <c r="AT105" i="24"/>
  <c r="A137" i="24"/>
  <c r="J123" i="24"/>
  <c r="AT96" i="24"/>
  <c r="AA86" i="24"/>
  <c r="AB86" i="24" s="1"/>
  <c r="Z86" i="24"/>
  <c r="Z87" i="24"/>
  <c r="J115" i="24"/>
  <c r="L115" i="24"/>
  <c r="A129" i="24"/>
  <c r="K115" i="24"/>
  <c r="AT79" i="24"/>
  <c r="AO72" i="26" a="1"/>
  <c r="AO72" i="26" s="1"/>
  <c r="AO71" i="26" a="1"/>
  <c r="AO71" i="26" s="1"/>
  <c r="AT38" i="24"/>
  <c r="AT23" i="24"/>
  <c r="T86" i="24"/>
  <c r="T87" i="24"/>
  <c r="O73" i="24"/>
  <c r="O17" i="24"/>
  <c r="O45" i="24"/>
  <c r="O101" i="24"/>
  <c r="AT44" i="24"/>
  <c r="N72" i="24"/>
  <c r="X46" i="24"/>
  <c r="Y46" i="24" s="1"/>
  <c r="X74" i="24"/>
  <c r="Y74" i="24" s="1"/>
  <c r="X32" i="24"/>
  <c r="Y32" i="24" s="1"/>
  <c r="X144" i="24"/>
  <c r="Y144" i="24" s="1"/>
  <c r="X88" i="24"/>
  <c r="Y88" i="24" s="1"/>
  <c r="X18" i="24"/>
  <c r="Y18" i="24" s="1"/>
  <c r="S88" i="24"/>
  <c r="U88" i="24"/>
  <c r="AE88" i="24"/>
  <c r="AD88" i="24"/>
  <c r="AF88" i="24" s="1"/>
  <c r="AE32" i="24"/>
  <c r="U32" i="24"/>
  <c r="S32" i="24"/>
  <c r="AD32" i="24"/>
  <c r="AF32" i="24" s="1"/>
  <c r="AO68" i="26" a="1"/>
  <c r="AO68" i="26" s="1"/>
  <c r="S46" i="24"/>
  <c r="U46" i="24"/>
  <c r="AE46" i="24"/>
  <c r="AD46" i="24"/>
  <c r="AF46" i="24" s="1"/>
  <c r="AO65" i="26" a="1"/>
  <c r="AO65" i="26" s="1"/>
  <c r="S74" i="24"/>
  <c r="AE74" i="24"/>
  <c r="U74" i="24"/>
  <c r="AD74" i="24"/>
  <c r="AF74" i="24" s="1"/>
  <c r="AO67" i="26" a="1"/>
  <c r="AO67" i="26" s="1"/>
  <c r="AO70" i="26" a="1"/>
  <c r="AO70" i="26" s="1"/>
  <c r="AE102" i="24"/>
  <c r="U102" i="24"/>
  <c r="S102" i="24"/>
  <c r="AD102" i="24"/>
  <c r="AO69" i="26" a="1"/>
  <c r="AO69" i="26" s="1"/>
  <c r="AO64" i="26" a="1"/>
  <c r="AO64" i="26" s="1"/>
  <c r="S18" i="24"/>
  <c r="AE18" i="24"/>
  <c r="U18" i="24"/>
  <c r="AD18" i="24"/>
  <c r="AF18" i="24" s="1"/>
  <c r="AO66" i="26" a="1"/>
  <c r="AO66" i="26" s="1"/>
  <c r="U60" i="24"/>
  <c r="X60" i="24" s="1"/>
  <c r="Y60" i="24" s="1"/>
  <c r="AE60" i="24"/>
  <c r="S60" i="24"/>
  <c r="AD60" i="24"/>
  <c r="AF60" i="24" s="1"/>
  <c r="N102" i="24"/>
  <c r="N88" i="24"/>
  <c r="N74" i="24"/>
  <c r="N60" i="24"/>
  <c r="N46" i="24"/>
  <c r="N32" i="24"/>
  <c r="N18" i="24"/>
  <c r="AN63" i="26" a="1"/>
  <c r="AN63" i="26" s="1"/>
  <c r="AT15" i="24"/>
  <c r="AT13" i="24"/>
  <c r="F4" i="24"/>
  <c r="X4" i="24" s="1"/>
  <c r="Y4" i="24" s="1"/>
  <c r="A67" i="25"/>
  <c r="AT11" i="24"/>
  <c r="AT9" i="24"/>
  <c r="AT10" i="24"/>
  <c r="AT8" i="24"/>
  <c r="AT7" i="24"/>
  <c r="K90" i="24"/>
  <c r="K76" i="24"/>
  <c r="AT6" i="24"/>
  <c r="F103" i="24"/>
  <c r="K117" i="24"/>
  <c r="F215" i="24"/>
  <c r="F33" i="24"/>
  <c r="X33" i="24" s="1"/>
  <c r="Y33" i="24" s="1"/>
  <c r="F5" i="24"/>
  <c r="K131" i="24"/>
  <c r="K89" i="24"/>
  <c r="F159" i="24"/>
  <c r="F75" i="24"/>
  <c r="K75" i="24"/>
  <c r="F187" i="24"/>
  <c r="F131" i="24"/>
  <c r="A90" i="25"/>
  <c r="A86" i="25"/>
  <c r="A96" i="25"/>
  <c r="A87" i="25"/>
  <c r="S4" i="24"/>
  <c r="U4" i="24"/>
  <c r="AE4" i="24"/>
  <c r="AD4" i="24"/>
  <c r="K5" i="24"/>
  <c r="A85" i="25"/>
  <c r="A89" i="25"/>
  <c r="A93" i="25"/>
  <c r="K103" i="24"/>
  <c r="A88" i="25"/>
  <c r="A94" i="25"/>
  <c r="A92" i="25"/>
  <c r="A95" i="25"/>
  <c r="K19" i="24"/>
  <c r="K33" i="24"/>
  <c r="A84" i="25"/>
  <c r="A98" i="25"/>
  <c r="A97" i="25"/>
  <c r="A91" i="25"/>
  <c r="K47" i="24"/>
  <c r="W86" i="24" l="1"/>
  <c r="V74" i="24"/>
  <c r="V75" i="24" s="1"/>
  <c r="V101" i="24"/>
  <c r="V102" i="24" s="1"/>
  <c r="W102" i="24" s="1"/>
  <c r="V88" i="24"/>
  <c r="V89" i="24" s="1"/>
  <c r="V46" i="24"/>
  <c r="W46" i="24" s="1"/>
  <c r="V32" i="24"/>
  <c r="V4" i="24"/>
  <c r="W4" i="24" s="1"/>
  <c r="V18" i="24"/>
  <c r="V19" i="24" s="1"/>
  <c r="S61" i="24"/>
  <c r="AD61" i="24"/>
  <c r="AF61" i="24" s="1"/>
  <c r="U61" i="24"/>
  <c r="X102" i="24"/>
  <c r="Y102" i="24" s="1"/>
  <c r="X101" i="24"/>
  <c r="Y101" i="24" s="1"/>
  <c r="X100" i="24"/>
  <c r="Y100" i="24" s="1"/>
  <c r="AA87" i="24"/>
  <c r="AB87" i="24" s="1"/>
  <c r="G73" i="25"/>
  <c r="G75" i="25"/>
  <c r="O32" i="24"/>
  <c r="O74" i="24"/>
  <c r="O60" i="24"/>
  <c r="O102" i="24"/>
  <c r="H88" i="25"/>
  <c r="L76" i="24"/>
  <c r="H84" i="25"/>
  <c r="L20" i="24"/>
  <c r="H87" i="25"/>
  <c r="L62" i="24"/>
  <c r="H86" i="25"/>
  <c r="L48" i="24"/>
  <c r="H90" i="25"/>
  <c r="L104" i="24"/>
  <c r="H85" i="25"/>
  <c r="L34" i="24"/>
  <c r="F96" i="25"/>
  <c r="I96" i="25" s="1"/>
  <c r="H112" i="25" s="1"/>
  <c r="H67" i="25"/>
  <c r="L5" i="24"/>
  <c r="G51" i="25"/>
  <c r="G77" i="25"/>
  <c r="G82" i="25"/>
  <c r="F67" i="25"/>
  <c r="I67" i="25" s="1"/>
  <c r="H92" i="25"/>
  <c r="H95" i="25"/>
  <c r="G81" i="25"/>
  <c r="G76" i="25"/>
  <c r="K20" i="24"/>
  <c r="U20" i="24" s="1"/>
  <c r="H96" i="25"/>
  <c r="H91" i="25"/>
  <c r="F97" i="25"/>
  <c r="I97" i="25" s="1"/>
  <c r="G97" i="25" s="1"/>
  <c r="F92" i="25"/>
  <c r="I92" i="25" s="1"/>
  <c r="F84" i="25"/>
  <c r="I84" i="25" s="1"/>
  <c r="F88" i="25"/>
  <c r="I88" i="25" s="1"/>
  <c r="F90" i="25"/>
  <c r="I90" i="25" s="1"/>
  <c r="A83" i="25"/>
  <c r="F93" i="25"/>
  <c r="I93" i="25" s="1"/>
  <c r="G68" i="25"/>
  <c r="G69" i="25"/>
  <c r="F98" i="25"/>
  <c r="I98" i="25" s="1"/>
  <c r="F94" i="25"/>
  <c r="I94" i="25" s="1"/>
  <c r="G94" i="25" s="1"/>
  <c r="F86" i="25"/>
  <c r="I86" i="25" s="1"/>
  <c r="L49" i="24" s="1"/>
  <c r="K104" i="24"/>
  <c r="U104" i="24" s="1"/>
  <c r="G74" i="25"/>
  <c r="F89" i="25"/>
  <c r="I89" i="25" s="1"/>
  <c r="L91" i="24" s="1"/>
  <c r="F91" i="25"/>
  <c r="I91" i="25" s="1"/>
  <c r="L119" i="24" s="1"/>
  <c r="F95" i="25"/>
  <c r="I95" i="25" s="1"/>
  <c r="F85" i="25"/>
  <c r="I85" i="25" s="1"/>
  <c r="F87" i="25"/>
  <c r="I87" i="25" s="1"/>
  <c r="L63" i="24" s="1"/>
  <c r="K118" i="24"/>
  <c r="AE118" i="24" s="1"/>
  <c r="K34" i="24"/>
  <c r="AE34" i="24" s="1"/>
  <c r="H89" i="25"/>
  <c r="L90" i="24"/>
  <c r="G70" i="25"/>
  <c r="G78" i="25"/>
  <c r="G72" i="25"/>
  <c r="G79" i="25"/>
  <c r="G71" i="25"/>
  <c r="AU22" i="24"/>
  <c r="AU29" i="24"/>
  <c r="AG71" i="24"/>
  <c r="E34" i="24" a="1"/>
  <c r="E34" i="24" s="1"/>
  <c r="F34" i="24" s="1"/>
  <c r="E188" i="24" a="1"/>
  <c r="E188" i="24" s="1"/>
  <c r="F188" i="24" s="1"/>
  <c r="E6" i="24" a="1"/>
  <c r="E6" i="24" s="1"/>
  <c r="F6" i="24" s="1"/>
  <c r="E20" i="24" a="1"/>
  <c r="E20" i="24" s="1"/>
  <c r="F20" i="24" s="1"/>
  <c r="E147" i="24" a="1"/>
  <c r="E147" i="24" s="1"/>
  <c r="F147" i="24" s="1"/>
  <c r="E202" i="24" a="1"/>
  <c r="E202" i="24" s="1"/>
  <c r="F202" i="24" s="1"/>
  <c r="E119" i="24" a="1"/>
  <c r="E119" i="24" s="1"/>
  <c r="F119" i="24" s="1"/>
  <c r="E90" i="24" a="1"/>
  <c r="E90" i="24" s="1"/>
  <c r="F90" i="24" s="1"/>
  <c r="E62" i="24" a="1"/>
  <c r="E62" i="24" s="1"/>
  <c r="F62" i="24" s="1"/>
  <c r="E133" i="24" a="1"/>
  <c r="E133" i="24" s="1"/>
  <c r="F133" i="24" s="1"/>
  <c r="E203" i="24" a="1"/>
  <c r="E203" i="24" s="1"/>
  <c r="F203" i="24" s="1"/>
  <c r="E189" i="24" a="1"/>
  <c r="E189" i="24" s="1"/>
  <c r="F189" i="24" s="1"/>
  <c r="E63" i="24" a="1"/>
  <c r="E63" i="24" s="1"/>
  <c r="E160" i="24" a="1"/>
  <c r="E160" i="24" s="1"/>
  <c r="F160" i="24" s="1"/>
  <c r="E104" i="24" a="1"/>
  <c r="E104" i="24" s="1"/>
  <c r="F104" i="24" s="1"/>
  <c r="X104" i="24" s="1"/>
  <c r="Y104" i="24" s="1"/>
  <c r="E7" i="24" a="1"/>
  <c r="E7" i="24" s="1"/>
  <c r="E21" i="24" a="1"/>
  <c r="E21" i="24" s="1"/>
  <c r="E77" i="24" a="1"/>
  <c r="E77" i="24" s="1"/>
  <c r="F77" i="24" s="1"/>
  <c r="K62" i="24"/>
  <c r="AD62" i="24" s="1"/>
  <c r="AF62" i="24" s="1"/>
  <c r="E175" i="24" a="1"/>
  <c r="E175" i="24" s="1"/>
  <c r="E174" i="24" a="1"/>
  <c r="E174" i="24" s="1"/>
  <c r="F174" i="24" s="1"/>
  <c r="E161" i="24" a="1"/>
  <c r="E161" i="24" s="1"/>
  <c r="F161" i="24" s="1"/>
  <c r="E35" i="24" a="1"/>
  <c r="E35" i="24" s="1"/>
  <c r="F35" i="24" s="1"/>
  <c r="E146" i="24" a="1"/>
  <c r="E146" i="24" s="1"/>
  <c r="F146" i="24" s="1"/>
  <c r="K48" i="24"/>
  <c r="AE48" i="24" s="1"/>
  <c r="E48" i="24" a="1"/>
  <c r="E48" i="24" s="1"/>
  <c r="F48" i="24" s="1"/>
  <c r="E49" i="24" a="1"/>
  <c r="E49" i="24" s="1"/>
  <c r="F49" i="24" s="1"/>
  <c r="E76" i="24" a="1"/>
  <c r="E76" i="24" s="1"/>
  <c r="F76" i="24" s="1"/>
  <c r="E132" i="24" a="1"/>
  <c r="E132" i="24" s="1"/>
  <c r="F132" i="24" s="1"/>
  <c r="E105" i="24" a="1"/>
  <c r="E105" i="24" s="1"/>
  <c r="E91" i="24" a="1"/>
  <c r="E91" i="24" s="1"/>
  <c r="F91" i="24" s="1"/>
  <c r="E118" i="24" a="1"/>
  <c r="E118" i="24" s="1"/>
  <c r="F118" i="24" s="1"/>
  <c r="E216" i="24" a="1"/>
  <c r="E216" i="24" s="1"/>
  <c r="F216" i="24" s="1"/>
  <c r="AG12" i="24"/>
  <c r="AG96" i="24"/>
  <c r="AG54" i="24"/>
  <c r="AU17" i="24"/>
  <c r="AG73" i="24"/>
  <c r="AH73" i="24" s="1"/>
  <c r="AG17" i="24"/>
  <c r="AH17" i="24" s="1"/>
  <c r="AG87" i="24"/>
  <c r="AH87" i="24" s="1"/>
  <c r="K132" i="24"/>
  <c r="AP72" i="26" a="1"/>
  <c r="AP72" i="26" s="1"/>
  <c r="AH45" i="24"/>
  <c r="AH58" i="24"/>
  <c r="X5" i="24"/>
  <c r="Y5" i="24" s="1"/>
  <c r="AG27" i="24"/>
  <c r="AU27" i="24"/>
  <c r="AG88" i="24"/>
  <c r="AG20" i="24"/>
  <c r="AG62" i="24"/>
  <c r="AF102" i="24"/>
  <c r="AU90" i="24"/>
  <c r="AU76" i="24"/>
  <c r="AU48" i="24"/>
  <c r="AG74" i="24"/>
  <c r="AG34" i="24"/>
  <c r="AG76" i="24"/>
  <c r="AU88" i="24"/>
  <c r="AG48" i="24"/>
  <c r="AU78" i="24"/>
  <c r="AG35" i="24"/>
  <c r="AG49" i="24"/>
  <c r="R86" i="24"/>
  <c r="R87" i="24"/>
  <c r="AU83" i="24"/>
  <c r="AU72" i="24"/>
  <c r="AG41" i="24"/>
  <c r="AG16" i="24"/>
  <c r="AG86" i="24"/>
  <c r="AH86" i="24" s="1"/>
  <c r="AG83" i="24"/>
  <c r="AU97" i="24"/>
  <c r="AG69" i="24"/>
  <c r="AU111" i="24"/>
  <c r="AG97" i="24"/>
  <c r="AU106" i="24"/>
  <c r="AU21" i="24"/>
  <c r="AG77" i="24"/>
  <c r="AG22" i="24"/>
  <c r="AU105" i="24"/>
  <c r="AG92" i="24"/>
  <c r="AU49" i="24"/>
  <c r="AG91" i="24"/>
  <c r="AU107" i="24"/>
  <c r="AU75" i="24"/>
  <c r="AG47" i="24"/>
  <c r="AU63" i="24"/>
  <c r="AG82" i="24"/>
  <c r="AU40" i="24"/>
  <c r="AG23" i="24"/>
  <c r="AU37" i="24"/>
  <c r="AG37" i="24"/>
  <c r="AG19" i="24"/>
  <c r="AG52" i="24"/>
  <c r="AG10" i="24"/>
  <c r="AG38" i="24"/>
  <c r="AU94" i="24"/>
  <c r="AU19" i="24"/>
  <c r="AG66" i="24"/>
  <c r="AU47" i="24"/>
  <c r="AG33" i="24"/>
  <c r="AG80" i="24"/>
  <c r="AD116" i="24"/>
  <c r="AG46" i="24"/>
  <c r="AG61" i="24"/>
  <c r="AG32" i="24"/>
  <c r="AU20" i="24"/>
  <c r="AF101" i="24"/>
  <c r="AU80" i="24"/>
  <c r="AG109" i="24"/>
  <c r="AU53" i="24"/>
  <c r="AU81" i="24"/>
  <c r="AG53" i="24"/>
  <c r="AG39" i="24"/>
  <c r="AU67" i="24"/>
  <c r="AU39" i="24"/>
  <c r="AG67" i="24"/>
  <c r="AU95" i="24"/>
  <c r="AG81" i="24"/>
  <c r="AU109" i="24"/>
  <c r="AU25" i="24"/>
  <c r="AG101" i="24"/>
  <c r="AU45" i="24"/>
  <c r="AG59" i="24"/>
  <c r="AU73" i="24"/>
  <c r="AU87" i="24"/>
  <c r="AU31" i="24"/>
  <c r="AF100" i="24"/>
  <c r="AG89" i="24"/>
  <c r="AE116" i="24"/>
  <c r="J129" i="24"/>
  <c r="A143" i="24"/>
  <c r="L129" i="24"/>
  <c r="K129" i="24"/>
  <c r="A150" i="24"/>
  <c r="J136" i="24"/>
  <c r="J130" i="24"/>
  <c r="A144" i="24"/>
  <c r="L130" i="24"/>
  <c r="AN72" i="26" a="1"/>
  <c r="AN72" i="26" s="1"/>
  <c r="T100" i="24"/>
  <c r="T101" i="24"/>
  <c r="AG111" i="24"/>
  <c r="AG55" i="24"/>
  <c r="AG100" i="24"/>
  <c r="AG44" i="24"/>
  <c r="AU30" i="24"/>
  <c r="AU44" i="24"/>
  <c r="AG30" i="24"/>
  <c r="AU100" i="24"/>
  <c r="AU86" i="24"/>
  <c r="AU58" i="24"/>
  <c r="AU16" i="24"/>
  <c r="AG72" i="24"/>
  <c r="AG24" i="24"/>
  <c r="AU62" i="24"/>
  <c r="AA101" i="24"/>
  <c r="AC127" i="24"/>
  <c r="U116" i="24"/>
  <c r="A151" i="24"/>
  <c r="J137" i="24"/>
  <c r="AG102" i="24"/>
  <c r="AU102" i="24"/>
  <c r="AG60" i="24"/>
  <c r="AG18" i="24"/>
  <c r="AU32" i="24"/>
  <c r="AU60" i="24"/>
  <c r="AU108" i="24"/>
  <c r="AG31" i="24"/>
  <c r="AU101" i="24"/>
  <c r="AG90" i="24"/>
  <c r="S116" i="24"/>
  <c r="U115" i="24"/>
  <c r="AE115" i="24"/>
  <c r="S115" i="24"/>
  <c r="AD114" i="24"/>
  <c r="AD115" i="24"/>
  <c r="A148" i="24"/>
  <c r="J134" i="24"/>
  <c r="A149" i="24"/>
  <c r="J135" i="24"/>
  <c r="AA100" i="24"/>
  <c r="AB100" i="24" s="1"/>
  <c r="Z101" i="24"/>
  <c r="W100" i="24"/>
  <c r="Z100" i="24"/>
  <c r="AG107" i="24"/>
  <c r="AG51" i="24"/>
  <c r="AU65" i="24"/>
  <c r="AU79" i="24"/>
  <c r="AG65" i="24"/>
  <c r="AU93" i="24"/>
  <c r="AU51" i="24"/>
  <c r="AU23" i="24"/>
  <c r="AG79" i="24"/>
  <c r="AG112" i="24"/>
  <c r="AU70" i="24"/>
  <c r="AG14" i="24"/>
  <c r="AG42" i="24"/>
  <c r="AG84" i="24"/>
  <c r="AU112" i="24"/>
  <c r="AU98" i="24"/>
  <c r="AU56" i="24"/>
  <c r="AG28" i="24"/>
  <c r="AG56" i="24"/>
  <c r="AU14" i="24"/>
  <c r="AU28" i="24"/>
  <c r="AU84" i="24"/>
  <c r="A153" i="24"/>
  <c r="J139" i="24"/>
  <c r="AG113" i="24"/>
  <c r="AU113" i="24"/>
  <c r="AU43" i="24"/>
  <c r="AU99" i="24"/>
  <c r="AG29" i="24"/>
  <c r="AG57" i="24"/>
  <c r="AG43" i="24"/>
  <c r="AG85" i="24"/>
  <c r="AU71" i="24"/>
  <c r="AU57" i="24"/>
  <c r="AU85" i="24"/>
  <c r="AG110" i="24"/>
  <c r="AU26" i="24"/>
  <c r="AG68" i="24"/>
  <c r="AU110" i="24"/>
  <c r="AU68" i="24"/>
  <c r="AG40" i="24"/>
  <c r="AU82" i="24"/>
  <c r="A147" i="24"/>
  <c r="J133" i="24"/>
  <c r="J132" i="24"/>
  <c r="A146" i="24"/>
  <c r="L132" i="24"/>
  <c r="A152" i="24"/>
  <c r="J138" i="24"/>
  <c r="AC117" i="24"/>
  <c r="A142" i="24"/>
  <c r="J128" i="24"/>
  <c r="AL72" i="26" a="1"/>
  <c r="AL72" i="26" s="1"/>
  <c r="K128" i="24"/>
  <c r="AG106" i="24"/>
  <c r="AU64" i="24"/>
  <c r="AG36" i="24"/>
  <c r="AU50" i="24"/>
  <c r="AU92" i="24"/>
  <c r="AG78" i="24"/>
  <c r="AG64" i="24"/>
  <c r="AG50" i="24"/>
  <c r="AG105" i="24"/>
  <c r="AU77" i="24"/>
  <c r="AC115" i="24"/>
  <c r="AC114" i="24"/>
  <c r="AC116" i="24"/>
  <c r="AC118" i="24"/>
  <c r="AC121" i="24"/>
  <c r="AC125" i="24"/>
  <c r="AC122" i="24"/>
  <c r="AC126" i="24"/>
  <c r="AC123" i="24"/>
  <c r="AC119" i="24"/>
  <c r="AC120" i="24"/>
  <c r="AC124" i="24"/>
  <c r="U114" i="24"/>
  <c r="S114" i="24"/>
  <c r="AE114" i="24"/>
  <c r="AG108" i="24"/>
  <c r="AU38" i="24"/>
  <c r="AU24" i="24"/>
  <c r="AU66" i="24"/>
  <c r="AU52" i="24"/>
  <c r="AG103" i="24"/>
  <c r="AU61" i="24"/>
  <c r="AG75" i="24"/>
  <c r="AU103" i="24"/>
  <c r="AU104" i="24"/>
  <c r="AU91" i="24"/>
  <c r="L131" i="24"/>
  <c r="A145" i="24"/>
  <c r="K145" i="24" s="1"/>
  <c r="J131" i="24"/>
  <c r="S131" i="24" s="1"/>
  <c r="X103" i="24"/>
  <c r="Y103" i="24" s="1"/>
  <c r="X34" i="24"/>
  <c r="Y34" i="24" s="1"/>
  <c r="AD76" i="24"/>
  <c r="AF76" i="24" s="1"/>
  <c r="AE90" i="24"/>
  <c r="S90" i="24"/>
  <c r="U90" i="24"/>
  <c r="AA60" i="24"/>
  <c r="AB60" i="24" s="1"/>
  <c r="W60" i="24"/>
  <c r="W61" i="24"/>
  <c r="Z60" i="24"/>
  <c r="AD75" i="24"/>
  <c r="AF75" i="24" s="1"/>
  <c r="AE33" i="24"/>
  <c r="S33" i="24"/>
  <c r="T33" i="24" s="1"/>
  <c r="U33" i="24"/>
  <c r="AA33" i="24" s="1"/>
  <c r="AP69" i="26" a="1"/>
  <c r="AP69" i="26" s="1"/>
  <c r="T18" i="24"/>
  <c r="T102" i="24"/>
  <c r="AE19" i="24"/>
  <c r="S19" i="24"/>
  <c r="U19" i="24"/>
  <c r="Z19" i="24" s="1"/>
  <c r="AP70" i="26" a="1"/>
  <c r="AP70" i="26" s="1"/>
  <c r="AA102" i="24"/>
  <c r="Z102" i="24"/>
  <c r="AA74" i="24"/>
  <c r="AB74" i="24" s="1"/>
  <c r="Z74" i="24"/>
  <c r="W74" i="24"/>
  <c r="T32" i="24"/>
  <c r="AE47" i="24"/>
  <c r="S47" i="24"/>
  <c r="T47" i="24" s="1"/>
  <c r="U47" i="24"/>
  <c r="Z47" i="24" s="1"/>
  <c r="AP66" i="26" a="1"/>
  <c r="AP66" i="26" s="1"/>
  <c r="AP71" i="26" a="1"/>
  <c r="AP71" i="26" s="1"/>
  <c r="AE75" i="24"/>
  <c r="S75" i="24"/>
  <c r="T75" i="24" s="1"/>
  <c r="U75" i="24"/>
  <c r="AA75" i="24" s="1"/>
  <c r="AP68" i="26" a="1"/>
  <c r="AP68" i="26" s="1"/>
  <c r="AP65" i="26" a="1"/>
  <c r="AP65" i="26" s="1"/>
  <c r="AA32" i="24"/>
  <c r="AB32" i="24" s="1"/>
  <c r="W32" i="24"/>
  <c r="Z32" i="24"/>
  <c r="AD117" i="24"/>
  <c r="AD90" i="24"/>
  <c r="AF90" i="24" s="1"/>
  <c r="S117" i="24"/>
  <c r="AE117" i="24"/>
  <c r="U117" i="24"/>
  <c r="AD19" i="24"/>
  <c r="AF19" i="24" s="1"/>
  <c r="T74" i="24"/>
  <c r="AA46" i="24"/>
  <c r="AB46" i="24" s="1"/>
  <c r="Z46" i="24"/>
  <c r="AD103" i="24"/>
  <c r="AF103" i="24" s="1"/>
  <c r="AE103" i="24"/>
  <c r="S103" i="24"/>
  <c r="T103" i="24" s="1"/>
  <c r="U103" i="24"/>
  <c r="T46" i="24"/>
  <c r="AD89" i="24"/>
  <c r="AF89" i="24" s="1"/>
  <c r="U89" i="24"/>
  <c r="S89" i="24"/>
  <c r="T89" i="24" s="1"/>
  <c r="AE89" i="24"/>
  <c r="T60" i="24"/>
  <c r="T61" i="24"/>
  <c r="AD47" i="24"/>
  <c r="AF47" i="24" s="1"/>
  <c r="AD33" i="24"/>
  <c r="AF33" i="24" s="1"/>
  <c r="Z88" i="24"/>
  <c r="AP67" i="26" a="1"/>
  <c r="AP67" i="26" s="1"/>
  <c r="AE76" i="24"/>
  <c r="S76" i="24"/>
  <c r="U76" i="24"/>
  <c r="V76" i="24" s="1"/>
  <c r="AA18" i="24"/>
  <c r="AB18" i="24" s="1"/>
  <c r="Z18" i="24"/>
  <c r="T88" i="24"/>
  <c r="N103" i="24"/>
  <c r="N89" i="24"/>
  <c r="N75" i="24"/>
  <c r="N61" i="24"/>
  <c r="N47" i="24"/>
  <c r="N33" i="24"/>
  <c r="N19" i="24"/>
  <c r="AO63" i="26" a="1"/>
  <c r="AO63" i="26" s="1"/>
  <c r="AU15" i="24"/>
  <c r="AG15" i="24"/>
  <c r="K7" i="24"/>
  <c r="AE7" i="24" s="1"/>
  <c r="K6" i="24"/>
  <c r="AU13" i="24"/>
  <c r="AG13" i="24"/>
  <c r="K49" i="24"/>
  <c r="K91" i="24"/>
  <c r="K133" i="24"/>
  <c r="K35" i="24"/>
  <c r="K105" i="24"/>
  <c r="K21" i="24"/>
  <c r="K63" i="24"/>
  <c r="K119" i="24"/>
  <c r="K77" i="24"/>
  <c r="AD77" i="24" s="1"/>
  <c r="K147" i="24"/>
  <c r="AU12" i="24"/>
  <c r="AG11" i="24"/>
  <c r="AU11" i="24"/>
  <c r="AD5" i="24"/>
  <c r="AU9" i="24"/>
  <c r="AU8" i="24"/>
  <c r="Z4" i="24"/>
  <c r="AG8" i="24"/>
  <c r="AA4" i="24"/>
  <c r="AB4" i="24" s="1"/>
  <c r="AG7" i="24"/>
  <c r="AU7" i="24"/>
  <c r="F7" i="24"/>
  <c r="F21" i="24"/>
  <c r="F63" i="24"/>
  <c r="F105" i="24"/>
  <c r="F175" i="24"/>
  <c r="A110" i="25"/>
  <c r="A109" i="25"/>
  <c r="S5" i="24"/>
  <c r="T5" i="24" s="1"/>
  <c r="U5" i="24"/>
  <c r="V5" i="24" s="1"/>
  <c r="AE5" i="24"/>
  <c r="A112" i="25"/>
  <c r="A114" i="25"/>
  <c r="A111" i="25"/>
  <c r="T4" i="24"/>
  <c r="A102" i="25"/>
  <c r="A107" i="25"/>
  <c r="A104" i="25"/>
  <c r="A105" i="25"/>
  <c r="A100" i="25"/>
  <c r="A108" i="25"/>
  <c r="A103" i="25"/>
  <c r="A99" i="25"/>
  <c r="A113" i="25"/>
  <c r="A101" i="25"/>
  <c r="A106" i="25"/>
  <c r="AG5" i="24"/>
  <c r="AU5" i="24"/>
  <c r="B8" i="27"/>
  <c r="B16" i="27"/>
  <c r="B15" i="27"/>
  <c r="B14" i="27"/>
  <c r="B13" i="27"/>
  <c r="B12" i="27"/>
  <c r="B11" i="27"/>
  <c r="B10" i="27"/>
  <c r="B9" i="27"/>
  <c r="B7" i="27"/>
  <c r="B6" i="27"/>
  <c r="B5" i="27"/>
  <c r="B4" i="27"/>
  <c r="K37" i="27" a="1"/>
  <c r="K37" i="27" s="1"/>
  <c r="W101" i="24" l="1"/>
  <c r="W18" i="24"/>
  <c r="W88" i="24"/>
  <c r="W89" i="24"/>
  <c r="V104" i="24"/>
  <c r="V105" i="24" s="1"/>
  <c r="V6" i="24"/>
  <c r="V7" i="24" s="1"/>
  <c r="V20" i="24"/>
  <c r="W20" i="24" s="1"/>
  <c r="X62" i="24"/>
  <c r="Y62" i="24" s="1"/>
  <c r="V116" i="24"/>
  <c r="V117" i="24" s="1"/>
  <c r="V115" i="24"/>
  <c r="W115" i="24" s="1"/>
  <c r="V33" i="24"/>
  <c r="V103" i="24"/>
  <c r="W103" i="24" s="1"/>
  <c r="V90" i="24"/>
  <c r="V91" i="24" s="1"/>
  <c r="V47" i="24"/>
  <c r="V48" i="24" s="1"/>
  <c r="V49" i="24" s="1"/>
  <c r="Z61" i="24"/>
  <c r="R61" i="24" s="1"/>
  <c r="X61" i="24"/>
  <c r="Y61" i="24" s="1"/>
  <c r="AA88" i="24"/>
  <c r="AB88" i="24" s="1"/>
  <c r="AA76" i="24"/>
  <c r="X117" i="24"/>
  <c r="Y117" i="24" s="1"/>
  <c r="X19" i="24"/>
  <c r="Y19" i="24" s="1"/>
  <c r="X75" i="24"/>
  <c r="Y75" i="24" s="1"/>
  <c r="X118" i="24"/>
  <c r="Y118" i="24" s="1"/>
  <c r="X76" i="24"/>
  <c r="Y76" i="24" s="1"/>
  <c r="X90" i="24"/>
  <c r="Y90" i="24" s="1"/>
  <c r="X20" i="24"/>
  <c r="Y20" i="24" s="1"/>
  <c r="AA61" i="24"/>
  <c r="AB61" i="24" s="1"/>
  <c r="X115" i="24"/>
  <c r="Y115" i="24" s="1"/>
  <c r="X114" i="24"/>
  <c r="Y114" i="24" s="1"/>
  <c r="X116" i="24"/>
  <c r="Y116" i="24" s="1"/>
  <c r="X89" i="24"/>
  <c r="Y89" i="24" s="1"/>
  <c r="S34" i="24"/>
  <c r="T34" i="24" s="1"/>
  <c r="AD34" i="24"/>
  <c r="AF34" i="24" s="1"/>
  <c r="U34" i="24"/>
  <c r="V34" i="24" s="1"/>
  <c r="V35" i="24" s="1"/>
  <c r="X21" i="24"/>
  <c r="Y21" i="24" s="1"/>
  <c r="S118" i="24"/>
  <c r="T118" i="24" s="1"/>
  <c r="U118" i="24"/>
  <c r="S20" i="24"/>
  <c r="T20" i="24" s="1"/>
  <c r="AD20" i="24"/>
  <c r="AF20" i="24" s="1"/>
  <c r="AE20" i="24"/>
  <c r="AD118" i="24"/>
  <c r="AF118" i="24" s="1"/>
  <c r="H106" i="25"/>
  <c r="L105" i="24"/>
  <c r="H101" i="25"/>
  <c r="L35" i="24"/>
  <c r="H114" i="25"/>
  <c r="G98" i="25"/>
  <c r="H104" i="25"/>
  <c r="L77" i="24"/>
  <c r="H100" i="25"/>
  <c r="L21" i="24"/>
  <c r="H108" i="25"/>
  <c r="L133" i="24"/>
  <c r="H83" i="25"/>
  <c r="AQ63" i="26" s="1" a="1"/>
  <c r="AQ63" i="26" s="1"/>
  <c r="L6" i="24"/>
  <c r="O104" i="24" s="1"/>
  <c r="AE104" i="24"/>
  <c r="G89" i="25"/>
  <c r="G96" i="25"/>
  <c r="G85" i="25"/>
  <c r="G87" i="25"/>
  <c r="G91" i="25"/>
  <c r="F107" i="25"/>
  <c r="I107" i="25" s="1"/>
  <c r="H107" i="25"/>
  <c r="F113" i="25"/>
  <c r="I113" i="25" s="1"/>
  <c r="H113" i="25"/>
  <c r="F102" i="25"/>
  <c r="I102" i="25" s="1"/>
  <c r="H102" i="25"/>
  <c r="F109" i="25"/>
  <c r="I109" i="25" s="1"/>
  <c r="H125" i="25" s="1"/>
  <c r="S104" i="24"/>
  <c r="T104" i="24" s="1"/>
  <c r="AD104" i="24"/>
  <c r="AF104" i="24" s="1"/>
  <c r="H109" i="25"/>
  <c r="G90" i="25"/>
  <c r="G84" i="25"/>
  <c r="F83" i="25"/>
  <c r="I83" i="25" s="1"/>
  <c r="O103" i="24"/>
  <c r="O75" i="24"/>
  <c r="O61" i="24"/>
  <c r="O19" i="24"/>
  <c r="O47" i="24"/>
  <c r="G93" i="25"/>
  <c r="F106" i="25"/>
  <c r="I106" i="25" s="1"/>
  <c r="L106" i="24" s="1"/>
  <c r="F104" i="25"/>
  <c r="I104" i="25" s="1"/>
  <c r="F99" i="25"/>
  <c r="I99" i="25" s="1"/>
  <c r="F110" i="25"/>
  <c r="I110" i="25" s="1"/>
  <c r="H126" i="25" s="1"/>
  <c r="H110" i="25"/>
  <c r="F103" i="25"/>
  <c r="I103" i="25" s="1"/>
  <c r="H103" i="25"/>
  <c r="F111" i="25"/>
  <c r="I111" i="25" s="1"/>
  <c r="H111" i="25"/>
  <c r="G95" i="25"/>
  <c r="G67" i="25"/>
  <c r="AP63" i="26" a="1"/>
  <c r="AP63" i="26" s="1"/>
  <c r="F101" i="25"/>
  <c r="I101" i="25" s="1"/>
  <c r="F108" i="25"/>
  <c r="I108" i="25" s="1"/>
  <c r="F114" i="25"/>
  <c r="I114" i="25" s="1"/>
  <c r="H130" i="25" s="1"/>
  <c r="F100" i="25"/>
  <c r="I100" i="25" s="1"/>
  <c r="F112" i="25"/>
  <c r="I112" i="25" s="1"/>
  <c r="G92" i="25"/>
  <c r="G86" i="25"/>
  <c r="F105" i="25"/>
  <c r="I105" i="25" s="1"/>
  <c r="H105" i="25"/>
  <c r="E217" i="24" a="1"/>
  <c r="E217" i="24" s="1"/>
  <c r="F217" i="24" s="1"/>
  <c r="O33" i="24"/>
  <c r="G88" i="25"/>
  <c r="U62" i="24"/>
  <c r="Z62" i="24" s="1"/>
  <c r="S62" i="24"/>
  <c r="T62" i="24" s="1"/>
  <c r="AE62" i="24"/>
  <c r="AQ73" i="26" a="1"/>
  <c r="AQ73" i="26" s="1"/>
  <c r="X77" i="24"/>
  <c r="Y77" i="24" s="1"/>
  <c r="AB33" i="24"/>
  <c r="AD48" i="24"/>
  <c r="AF48" i="24" s="1"/>
  <c r="S48" i="24"/>
  <c r="T48" i="24" s="1"/>
  <c r="U48" i="24"/>
  <c r="Z48" i="24" s="1"/>
  <c r="E190" i="24" a="1"/>
  <c r="E190" i="24" s="1"/>
  <c r="F190" i="24" s="1"/>
  <c r="E218" i="24" a="1"/>
  <c r="E218" i="24" s="1"/>
  <c r="F218" i="24" s="1"/>
  <c r="E148" i="24" a="1"/>
  <c r="E148" i="24" s="1"/>
  <c r="F148" i="24" s="1"/>
  <c r="E22" i="24" a="1"/>
  <c r="E22" i="24" s="1"/>
  <c r="F22" i="24" s="1"/>
  <c r="E50" i="24" a="1"/>
  <c r="E50" i="24" s="1"/>
  <c r="F50" i="24" s="1"/>
  <c r="E120" i="24" a="1"/>
  <c r="E120" i="24" s="1"/>
  <c r="F120" i="24" s="1"/>
  <c r="E64" i="24" a="1"/>
  <c r="E64" i="24" s="1"/>
  <c r="E162" i="24" a="1"/>
  <c r="E162" i="24" s="1"/>
  <c r="F162" i="24" s="1"/>
  <c r="E92" i="24" a="1"/>
  <c r="E92" i="24" s="1"/>
  <c r="F92" i="24" s="1"/>
  <c r="E78" i="24" a="1"/>
  <c r="E78" i="24" s="1"/>
  <c r="F78" i="24" s="1"/>
  <c r="E134" i="24" a="1"/>
  <c r="E134" i="24" s="1"/>
  <c r="F134" i="24" s="1"/>
  <c r="E106" i="24" a="1"/>
  <c r="E106" i="24" s="1"/>
  <c r="F106" i="24" s="1"/>
  <c r="E176" i="24" a="1"/>
  <c r="E176" i="24" s="1"/>
  <c r="F176" i="24" s="1"/>
  <c r="E36" i="24" a="1"/>
  <c r="E36" i="24" s="1"/>
  <c r="F36" i="24" s="1"/>
  <c r="E204" i="24" a="1"/>
  <c r="E204" i="24" s="1"/>
  <c r="F204" i="24" s="1"/>
  <c r="AF116" i="24"/>
  <c r="AD132" i="24"/>
  <c r="AH31" i="24"/>
  <c r="AH59" i="24"/>
  <c r="AH30" i="24"/>
  <c r="AH16" i="24"/>
  <c r="AH72" i="24"/>
  <c r="AH44" i="24"/>
  <c r="AH47" i="24"/>
  <c r="AH60" i="24"/>
  <c r="AH101" i="24"/>
  <c r="AH88" i="24"/>
  <c r="AH32" i="24"/>
  <c r="AH19" i="24"/>
  <c r="AH46" i="24"/>
  <c r="AH74" i="24"/>
  <c r="AH18" i="24"/>
  <c r="AH102" i="24"/>
  <c r="AH100" i="24"/>
  <c r="K146" i="24"/>
  <c r="R100" i="24"/>
  <c r="R4" i="24"/>
  <c r="AD131" i="24"/>
  <c r="AF117" i="24"/>
  <c r="Z116" i="24"/>
  <c r="AB101" i="24"/>
  <c r="AB102" i="24" s="1"/>
  <c r="AE131" i="24"/>
  <c r="U131" i="24"/>
  <c r="Z115" i="24"/>
  <c r="AA114" i="24"/>
  <c r="AB114" i="24" s="1"/>
  <c r="Z114" i="24"/>
  <c r="W114" i="24"/>
  <c r="J142" i="24"/>
  <c r="A156" i="24"/>
  <c r="AL73" i="26" a="1"/>
  <c r="AL73" i="26" s="1"/>
  <c r="K142" i="24"/>
  <c r="A162" i="24"/>
  <c r="J148" i="24"/>
  <c r="AE129" i="24"/>
  <c r="S129" i="24"/>
  <c r="U129" i="24"/>
  <c r="U132" i="24"/>
  <c r="AA132" i="24" s="1"/>
  <c r="J144" i="24"/>
  <c r="A158" i="24"/>
  <c r="L144" i="24"/>
  <c r="AN73" i="26" a="1"/>
  <c r="AN73" i="26" s="1"/>
  <c r="K144" i="24"/>
  <c r="AE132" i="24"/>
  <c r="AD128" i="24"/>
  <c r="AD129" i="24"/>
  <c r="AD130" i="24"/>
  <c r="R101" i="24"/>
  <c r="U130" i="24"/>
  <c r="S130" i="24"/>
  <c r="AE130" i="24"/>
  <c r="T115" i="24"/>
  <c r="T114" i="24"/>
  <c r="S132" i="24"/>
  <c r="T116" i="24"/>
  <c r="A166" i="24"/>
  <c r="J152" i="24"/>
  <c r="A161" i="24"/>
  <c r="K161" i="24" s="1"/>
  <c r="L147" i="24"/>
  <c r="J147" i="24"/>
  <c r="A167" i="24"/>
  <c r="J153" i="24"/>
  <c r="A163" i="24"/>
  <c r="J149" i="24"/>
  <c r="AF115" i="24"/>
  <c r="A165" i="24"/>
  <c r="J151" i="24"/>
  <c r="A164" i="24"/>
  <c r="J150" i="24"/>
  <c r="AC128" i="24"/>
  <c r="AC129" i="24"/>
  <c r="AC130" i="24"/>
  <c r="AC139" i="24"/>
  <c r="AC141" i="24"/>
  <c r="AC131" i="24"/>
  <c r="AC132" i="24"/>
  <c r="AC140" i="24"/>
  <c r="AC138" i="24"/>
  <c r="AC136" i="24"/>
  <c r="AC137" i="24"/>
  <c r="AC133" i="24"/>
  <c r="AC135" i="24"/>
  <c r="AC134" i="24"/>
  <c r="S128" i="24"/>
  <c r="AE128" i="24"/>
  <c r="U128" i="24"/>
  <c r="AF114" i="24"/>
  <c r="L145" i="24"/>
  <c r="J145" i="24"/>
  <c r="A159" i="24"/>
  <c r="AO73" i="26" a="1"/>
  <c r="AO73" i="26" s="1"/>
  <c r="L146" i="24"/>
  <c r="J146" i="24"/>
  <c r="A160" i="24"/>
  <c r="J143" i="24"/>
  <c r="A157" i="24"/>
  <c r="L143" i="24"/>
  <c r="K143" i="24"/>
  <c r="AA103" i="24"/>
  <c r="AB103" i="24" s="1"/>
  <c r="Z33" i="24"/>
  <c r="W19" i="24"/>
  <c r="Z20" i="24"/>
  <c r="Z89" i="24"/>
  <c r="Z90" i="24"/>
  <c r="AB75" i="24"/>
  <c r="T19" i="24"/>
  <c r="T90" i="24"/>
  <c r="W75" i="24"/>
  <c r="AF77" i="24"/>
  <c r="AD119" i="24"/>
  <c r="R18" i="24"/>
  <c r="AD91" i="24"/>
  <c r="AD35" i="24"/>
  <c r="U77" i="24"/>
  <c r="S77" i="24"/>
  <c r="AE77" i="24"/>
  <c r="S119" i="24"/>
  <c r="U119" i="24"/>
  <c r="X119" i="24" s="1"/>
  <c r="Y119" i="24" s="1"/>
  <c r="AE119" i="24"/>
  <c r="S91" i="24"/>
  <c r="T91" i="24" s="1"/>
  <c r="U91" i="24"/>
  <c r="X91" i="24" s="1"/>
  <c r="Y91" i="24" s="1"/>
  <c r="AE91" i="24"/>
  <c r="AP64" i="26" a="1"/>
  <c r="AP64" i="26" s="1"/>
  <c r="R88" i="24"/>
  <c r="AD49" i="24"/>
  <c r="AD63" i="24"/>
  <c r="T117" i="24"/>
  <c r="R60" i="24"/>
  <c r="R46" i="24"/>
  <c r="AE49" i="24"/>
  <c r="U49" i="24"/>
  <c r="S49" i="24"/>
  <c r="AD133" i="24"/>
  <c r="R32" i="24"/>
  <c r="Z76" i="24"/>
  <c r="Z103" i="24"/>
  <c r="AQ69" i="26" a="1"/>
  <c r="AQ69" i="26" s="1"/>
  <c r="AE63" i="24"/>
  <c r="U63" i="24"/>
  <c r="X63" i="24" s="1"/>
  <c r="Y63" i="24" s="1"/>
  <c r="S63" i="24"/>
  <c r="AQ70" i="26" a="1"/>
  <c r="AQ70" i="26" s="1"/>
  <c r="AQ67" i="26" a="1"/>
  <c r="AQ67" i="26" s="1"/>
  <c r="AQ68" i="26" a="1"/>
  <c r="AQ68" i="26" s="1"/>
  <c r="AE21" i="24"/>
  <c r="S21" i="24"/>
  <c r="U21" i="24"/>
  <c r="R19" i="24"/>
  <c r="R47" i="24"/>
  <c r="AA47" i="24"/>
  <c r="AB47" i="24" s="1"/>
  <c r="R74" i="24"/>
  <c r="Z75" i="24"/>
  <c r="R102" i="24"/>
  <c r="Z117" i="24"/>
  <c r="AE105" i="24"/>
  <c r="U105" i="24"/>
  <c r="X105" i="24" s="1"/>
  <c r="Y105" i="24" s="1"/>
  <c r="S105" i="24"/>
  <c r="AD105" i="24"/>
  <c r="AA19" i="24"/>
  <c r="AB19" i="24" s="1"/>
  <c r="AQ66" i="26" a="1"/>
  <c r="AQ66" i="26" s="1"/>
  <c r="AQ65" i="26" a="1"/>
  <c r="AQ65" i="26" s="1"/>
  <c r="AQ71" i="26" a="1"/>
  <c r="AQ71" i="26" s="1"/>
  <c r="T76" i="24"/>
  <c r="AD21" i="24"/>
  <c r="AQ72" i="26" a="1"/>
  <c r="AQ72" i="26" s="1"/>
  <c r="U35" i="24"/>
  <c r="X35" i="24" s="1"/>
  <c r="Y35" i="24" s="1"/>
  <c r="S35" i="24"/>
  <c r="AE35" i="24"/>
  <c r="S133" i="24"/>
  <c r="U133" i="24"/>
  <c r="AE133" i="24"/>
  <c r="AA89" i="24"/>
  <c r="W76" i="24"/>
  <c r="Z104" i="24"/>
  <c r="AP73" i="26" a="1"/>
  <c r="AP73" i="26" s="1"/>
  <c r="AF5" i="24"/>
  <c r="S6" i="24"/>
  <c r="T6" i="24" s="1"/>
  <c r="U7" i="24"/>
  <c r="S7" i="24"/>
  <c r="AE6" i="24"/>
  <c r="U6" i="24"/>
  <c r="X6" i="24" s="1"/>
  <c r="Y6" i="24" s="1"/>
  <c r="AD7" i="24"/>
  <c r="AF7" i="24" s="1"/>
  <c r="AD6" i="24"/>
  <c r="K64" i="24"/>
  <c r="K36" i="24"/>
  <c r="AD36" i="24" s="1"/>
  <c r="K78" i="24"/>
  <c r="K148" i="24"/>
  <c r="K134" i="24"/>
  <c r="AD134" i="24" s="1"/>
  <c r="K120" i="24"/>
  <c r="K106" i="24"/>
  <c r="K22" i="24"/>
  <c r="K50" i="24"/>
  <c r="K8" i="24"/>
  <c r="AE8" i="24" s="1"/>
  <c r="K92" i="24"/>
  <c r="W5" i="24"/>
  <c r="AA5" i="24"/>
  <c r="Z5" i="24"/>
  <c r="F64" i="24"/>
  <c r="A130" i="25"/>
  <c r="A129" i="25"/>
  <c r="A125" i="25"/>
  <c r="A117" i="25"/>
  <c r="A124" i="25"/>
  <c r="A121" i="25"/>
  <c r="A118" i="25"/>
  <c r="A127" i="25"/>
  <c r="A128" i="25"/>
  <c r="A115" i="25"/>
  <c r="A126" i="25"/>
  <c r="A123" i="25"/>
  <c r="A120" i="25"/>
  <c r="A122" i="25"/>
  <c r="A119" i="25"/>
  <c r="A116" i="25"/>
  <c r="AF3" i="24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U4" i="6"/>
  <c r="AU3" i="6"/>
  <c r="AU2" i="6"/>
  <c r="AH61" i="24" l="1"/>
  <c r="W90" i="24"/>
  <c r="W104" i="24"/>
  <c r="W33" i="24"/>
  <c r="W117" i="24"/>
  <c r="AB76" i="24"/>
  <c r="W116" i="24"/>
  <c r="V36" i="24"/>
  <c r="W36" i="24" s="1"/>
  <c r="V106" i="24"/>
  <c r="W106" i="24" s="1"/>
  <c r="V128" i="24"/>
  <c r="V129" i="24" s="1"/>
  <c r="V130" i="24" s="1"/>
  <c r="W130" i="24" s="1"/>
  <c r="V132" i="24"/>
  <c r="V133" i="24" s="1"/>
  <c r="W133" i="24" s="1"/>
  <c r="V131" i="24"/>
  <c r="W131" i="24" s="1"/>
  <c r="V118" i="24"/>
  <c r="V119" i="24" s="1"/>
  <c r="W119" i="24" s="1"/>
  <c r="V62" i="24"/>
  <c r="V63" i="24" s="1"/>
  <c r="W63" i="24" s="1"/>
  <c r="V77" i="24"/>
  <c r="V78" i="24" s="1"/>
  <c r="Z77" i="24"/>
  <c r="AH77" i="24" s="1"/>
  <c r="V21" i="24"/>
  <c r="W21" i="24" s="1"/>
  <c r="W47" i="24"/>
  <c r="AA34" i="24"/>
  <c r="AB34" i="24" s="1"/>
  <c r="AA62" i="24"/>
  <c r="AB62" i="24" s="1"/>
  <c r="AA104" i="24"/>
  <c r="AB104" i="24" s="1"/>
  <c r="X133" i="24"/>
  <c r="Y133" i="24" s="1"/>
  <c r="X129" i="24"/>
  <c r="Y129" i="24" s="1"/>
  <c r="X130" i="24"/>
  <c r="Y130" i="24" s="1"/>
  <c r="X131" i="24"/>
  <c r="Y131" i="24" s="1"/>
  <c r="X7" i="24"/>
  <c r="Y7" i="24" s="1"/>
  <c r="X49" i="24"/>
  <c r="Y49" i="24" s="1"/>
  <c r="AB89" i="24"/>
  <c r="X48" i="24"/>
  <c r="Y48" i="24" s="1"/>
  <c r="X132" i="24"/>
  <c r="Y132" i="24" s="1"/>
  <c r="N76" i="24"/>
  <c r="N34" i="24"/>
  <c r="N20" i="24"/>
  <c r="N62" i="24"/>
  <c r="Z118" i="24"/>
  <c r="R118" i="24" s="1"/>
  <c r="N90" i="24"/>
  <c r="N104" i="24"/>
  <c r="N48" i="24"/>
  <c r="Z34" i="24"/>
  <c r="AH34" i="24" s="1"/>
  <c r="W34" i="24"/>
  <c r="G107" i="25"/>
  <c r="T119" i="24"/>
  <c r="T105" i="24"/>
  <c r="H124" i="25"/>
  <c r="L134" i="24"/>
  <c r="H117" i="25"/>
  <c r="L36" i="24"/>
  <c r="H119" i="25"/>
  <c r="L64" i="24"/>
  <c r="H118" i="25"/>
  <c r="L50" i="24"/>
  <c r="H116" i="25"/>
  <c r="L22" i="24"/>
  <c r="H121" i="25"/>
  <c r="L92" i="24"/>
  <c r="H99" i="25"/>
  <c r="G99" i="25" s="1"/>
  <c r="L7" i="24"/>
  <c r="O35" i="24" s="1"/>
  <c r="F126" i="25"/>
  <c r="I126" i="25" s="1"/>
  <c r="F125" i="25"/>
  <c r="I125" i="25" s="1"/>
  <c r="G110" i="25"/>
  <c r="H123" i="25"/>
  <c r="L120" i="24"/>
  <c r="O34" i="24"/>
  <c r="O90" i="24"/>
  <c r="O76" i="24"/>
  <c r="G104" i="25"/>
  <c r="K9" i="24"/>
  <c r="S9" i="24" s="1"/>
  <c r="F115" i="25"/>
  <c r="I115" i="25" s="1"/>
  <c r="F129" i="25"/>
  <c r="I129" i="25" s="1"/>
  <c r="H145" i="25" s="1"/>
  <c r="G102" i="25"/>
  <c r="G83" i="25"/>
  <c r="F122" i="25"/>
  <c r="I122" i="25" s="1"/>
  <c r="H122" i="25"/>
  <c r="F121" i="25"/>
  <c r="I121" i="25" s="1"/>
  <c r="F123" i="25"/>
  <c r="I123" i="25" s="1"/>
  <c r="F117" i="25"/>
  <c r="I117" i="25" s="1"/>
  <c r="F128" i="25"/>
  <c r="I128" i="25" s="1"/>
  <c r="H144" i="25" s="1"/>
  <c r="G111" i="25"/>
  <c r="G114" i="25"/>
  <c r="F130" i="25"/>
  <c r="I130" i="25" s="1"/>
  <c r="F116" i="25"/>
  <c r="I116" i="25" s="1"/>
  <c r="F127" i="25"/>
  <c r="I127" i="25" s="1"/>
  <c r="H143" i="25" s="1"/>
  <c r="H128" i="25"/>
  <c r="H127" i="25"/>
  <c r="H115" i="25"/>
  <c r="L8" i="24"/>
  <c r="G108" i="25"/>
  <c r="F119" i="25"/>
  <c r="I119" i="25" s="1"/>
  <c r="F118" i="25"/>
  <c r="I118" i="25" s="1"/>
  <c r="G109" i="25"/>
  <c r="G113" i="25"/>
  <c r="G112" i="25"/>
  <c r="G101" i="25"/>
  <c r="L148" i="24"/>
  <c r="G103" i="25"/>
  <c r="H120" i="25"/>
  <c r="L78" i="24"/>
  <c r="H129" i="25"/>
  <c r="F120" i="25"/>
  <c r="I120" i="25" s="1"/>
  <c r="F124" i="25"/>
  <c r="I124" i="25" s="1"/>
  <c r="G105" i="25"/>
  <c r="G100" i="25"/>
  <c r="G106" i="25"/>
  <c r="K162" i="24"/>
  <c r="AR74" i="26" a="1"/>
  <c r="AR74" i="26" s="1"/>
  <c r="Z49" i="24"/>
  <c r="AH49" i="24" s="1"/>
  <c r="W48" i="24"/>
  <c r="AF132" i="24"/>
  <c r="S146" i="24"/>
  <c r="AH90" i="24"/>
  <c r="AH75" i="24"/>
  <c r="AH20" i="24"/>
  <c r="AH104" i="24"/>
  <c r="AH103" i="24"/>
  <c r="AH76" i="24"/>
  <c r="AH5" i="24"/>
  <c r="AH62" i="24"/>
  <c r="R33" i="24"/>
  <c r="AH33" i="24"/>
  <c r="R89" i="24"/>
  <c r="AH89" i="24"/>
  <c r="R48" i="24"/>
  <c r="AH48" i="24"/>
  <c r="AF131" i="24"/>
  <c r="R117" i="24"/>
  <c r="R114" i="24"/>
  <c r="R5" i="24"/>
  <c r="R115" i="24"/>
  <c r="R116" i="24"/>
  <c r="AD146" i="24"/>
  <c r="R90" i="24"/>
  <c r="T132" i="24"/>
  <c r="Z131" i="24"/>
  <c r="Z132" i="24"/>
  <c r="U146" i="24"/>
  <c r="AA146" i="24" s="1"/>
  <c r="AE146" i="24"/>
  <c r="T133" i="24"/>
  <c r="AF130" i="24"/>
  <c r="AA115" i="24"/>
  <c r="AB115" i="24" s="1"/>
  <c r="A179" i="24"/>
  <c r="J165" i="24"/>
  <c r="J160" i="24"/>
  <c r="L160" i="24"/>
  <c r="A174" i="24"/>
  <c r="AP74" i="26" a="1"/>
  <c r="AP74" i="26" s="1"/>
  <c r="K160" i="24"/>
  <c r="T128" i="24"/>
  <c r="T129" i="24"/>
  <c r="T130" i="24"/>
  <c r="A177" i="24"/>
  <c r="J163" i="24"/>
  <c r="AF129" i="24"/>
  <c r="AC142" i="24"/>
  <c r="AC143" i="24"/>
  <c r="AC144" i="24"/>
  <c r="AC150" i="24"/>
  <c r="AC149" i="24"/>
  <c r="AC152" i="24"/>
  <c r="AC154" i="24"/>
  <c r="AC151" i="24"/>
  <c r="AC147" i="24"/>
  <c r="AC153" i="24"/>
  <c r="AC146" i="24"/>
  <c r="AC148" i="24"/>
  <c r="AC155" i="24"/>
  <c r="AE142" i="24"/>
  <c r="U142" i="24"/>
  <c r="S142" i="24"/>
  <c r="A178" i="24"/>
  <c r="J164" i="24"/>
  <c r="AF128" i="24"/>
  <c r="A176" i="24"/>
  <c r="L162" i="24"/>
  <c r="J162" i="24"/>
  <c r="AD147" i="24"/>
  <c r="A175" i="24"/>
  <c r="L161" i="24"/>
  <c r="J161" i="24"/>
  <c r="L157" i="24"/>
  <c r="J157" i="24"/>
  <c r="A171" i="24"/>
  <c r="K157" i="24"/>
  <c r="T131" i="24"/>
  <c r="AC145" i="24"/>
  <c r="U145" i="24"/>
  <c r="AE145" i="24"/>
  <c r="S145" i="24"/>
  <c r="S147" i="24"/>
  <c r="AE143" i="24"/>
  <c r="U143" i="24"/>
  <c r="S143" i="24"/>
  <c r="J158" i="24"/>
  <c r="A172" i="24"/>
  <c r="L158" i="24"/>
  <c r="AN74" i="26" a="1"/>
  <c r="AN74" i="26" s="1"/>
  <c r="K158" i="24"/>
  <c r="AD143" i="24"/>
  <c r="AD142" i="24"/>
  <c r="AD144" i="24"/>
  <c r="AD145" i="24"/>
  <c r="A170" i="24"/>
  <c r="J156" i="24"/>
  <c r="AL74" i="26" a="1"/>
  <c r="AL74" i="26" s="1"/>
  <c r="K156" i="24"/>
  <c r="U147" i="24"/>
  <c r="L159" i="24"/>
  <c r="A173" i="24"/>
  <c r="J159" i="24"/>
  <c r="AO74" i="26" a="1"/>
  <c r="AO74" i="26" s="1"/>
  <c r="K159" i="24"/>
  <c r="U144" i="24"/>
  <c r="S144" i="24"/>
  <c r="AE144" i="24"/>
  <c r="AE147" i="24"/>
  <c r="Z128" i="24"/>
  <c r="AA128" i="24"/>
  <c r="AB128" i="24" s="1"/>
  <c r="Z129" i="24"/>
  <c r="Z130" i="24"/>
  <c r="A181" i="24"/>
  <c r="J167" i="24"/>
  <c r="A180" i="24"/>
  <c r="J166" i="24"/>
  <c r="AQ74" i="26" a="1"/>
  <c r="AQ74" i="26" s="1"/>
  <c r="R20" i="24"/>
  <c r="AA90" i="24"/>
  <c r="T7" i="24"/>
  <c r="AF134" i="24"/>
  <c r="AF36" i="24"/>
  <c r="AE106" i="24"/>
  <c r="U106" i="24"/>
  <c r="S106" i="24"/>
  <c r="T106" i="24" s="1"/>
  <c r="U78" i="24"/>
  <c r="AE78" i="24"/>
  <c r="S78" i="24"/>
  <c r="AD92" i="24"/>
  <c r="AD120" i="24"/>
  <c r="N105" i="24"/>
  <c r="AD106" i="24"/>
  <c r="AF35" i="24"/>
  <c r="AR70" i="26" a="1"/>
  <c r="AR70" i="26" s="1"/>
  <c r="AR69" i="26" a="1"/>
  <c r="AR69" i="26" s="1"/>
  <c r="AR64" i="26" a="1"/>
  <c r="AR64" i="26" s="1"/>
  <c r="AR65" i="26" a="1"/>
  <c r="AR65" i="26" s="1"/>
  <c r="AD50" i="24"/>
  <c r="T63" i="24"/>
  <c r="N21" i="24"/>
  <c r="N63" i="24"/>
  <c r="Z105" i="24"/>
  <c r="AA119" i="24"/>
  <c r="AR71" i="26" a="1"/>
  <c r="AR71" i="26" s="1"/>
  <c r="AE36" i="24"/>
  <c r="U36" i="24"/>
  <c r="Z36" i="24" s="1"/>
  <c r="S36" i="24"/>
  <c r="T36" i="24" s="1"/>
  <c r="AR67" i="26" a="1"/>
  <c r="AR67" i="26" s="1"/>
  <c r="AR73" i="26" a="1"/>
  <c r="AR73" i="26" s="1"/>
  <c r="AF21" i="24"/>
  <c r="AD64" i="24"/>
  <c r="AD148" i="24"/>
  <c r="AA63" i="24"/>
  <c r="R76" i="24"/>
  <c r="Z133" i="24"/>
  <c r="U64" i="24"/>
  <c r="V64" i="24" s="1"/>
  <c r="S64" i="24"/>
  <c r="T64" i="24" s="1"/>
  <c r="AE64" i="24"/>
  <c r="N35" i="24"/>
  <c r="W105" i="24"/>
  <c r="T77" i="24"/>
  <c r="AD78" i="24"/>
  <c r="T35" i="24"/>
  <c r="N77" i="24"/>
  <c r="T49" i="24"/>
  <c r="AF63" i="24"/>
  <c r="AF119" i="24"/>
  <c r="AE120" i="24"/>
  <c r="U120" i="24"/>
  <c r="V120" i="24" s="1"/>
  <c r="S120" i="24"/>
  <c r="R104" i="24"/>
  <c r="AA133" i="24"/>
  <c r="AB133" i="24" s="1"/>
  <c r="AF105" i="24"/>
  <c r="AA48" i="24"/>
  <c r="AB48" i="24" s="1"/>
  <c r="W49" i="24"/>
  <c r="AF49" i="24"/>
  <c r="Z91" i="24"/>
  <c r="W91" i="24"/>
  <c r="AR68" i="26" a="1"/>
  <c r="AR68" i="26" s="1"/>
  <c r="AR72" i="26" a="1"/>
  <c r="AR72" i="26" s="1"/>
  <c r="S134" i="24"/>
  <c r="U134" i="24"/>
  <c r="Z134" i="24" s="1"/>
  <c r="AE134" i="24"/>
  <c r="AA35" i="24"/>
  <c r="Z35" i="24"/>
  <c r="W35" i="24"/>
  <c r="AQ64" i="26" a="1"/>
  <c r="AQ64" i="26" s="1"/>
  <c r="R75" i="24"/>
  <c r="N49" i="24"/>
  <c r="R103" i="24"/>
  <c r="AF133" i="24"/>
  <c r="Z119" i="24"/>
  <c r="AF91" i="24"/>
  <c r="U92" i="24"/>
  <c r="S92" i="24"/>
  <c r="AE92" i="24"/>
  <c r="U50" i="24"/>
  <c r="S50" i="24"/>
  <c r="T50" i="24" s="1"/>
  <c r="AE50" i="24"/>
  <c r="AE22" i="24"/>
  <c r="S22" i="24"/>
  <c r="U22" i="24"/>
  <c r="S148" i="24"/>
  <c r="U148" i="24"/>
  <c r="AE148" i="24"/>
  <c r="R62" i="24"/>
  <c r="AD22" i="24"/>
  <c r="Z21" i="24"/>
  <c r="N91" i="24"/>
  <c r="T21" i="24"/>
  <c r="AA77" i="24"/>
  <c r="AB77" i="24" s="1"/>
  <c r="AA20" i="24"/>
  <c r="AB20" i="24" s="1"/>
  <c r="Z63" i="24"/>
  <c r="AF6" i="24"/>
  <c r="K65" i="24"/>
  <c r="AD65" i="24" s="1"/>
  <c r="AA7" i="24"/>
  <c r="Z7" i="24"/>
  <c r="M3" i="35" a="1"/>
  <c r="M3" i="35" s="1"/>
  <c r="Z6" i="24"/>
  <c r="W6" i="24"/>
  <c r="AA6" i="24"/>
  <c r="W7" i="24"/>
  <c r="S8" i="24"/>
  <c r="T8" i="24" s="1"/>
  <c r="U8" i="24"/>
  <c r="AD8" i="24"/>
  <c r="AF8" i="24" s="1"/>
  <c r="K93" i="24"/>
  <c r="AD93" i="24" s="1"/>
  <c r="K79" i="24"/>
  <c r="AD79" i="24" s="1"/>
  <c r="K135" i="24"/>
  <c r="K107" i="24"/>
  <c r="K23" i="24"/>
  <c r="AD23" i="24" s="1"/>
  <c r="K121" i="24"/>
  <c r="AD121" i="24" s="1"/>
  <c r="K37" i="24"/>
  <c r="K163" i="24"/>
  <c r="K51" i="24"/>
  <c r="AD51" i="24" s="1"/>
  <c r="K149" i="24"/>
  <c r="AB5" i="24"/>
  <c r="A136" i="25"/>
  <c r="A145" i="25"/>
  <c r="A135" i="25"/>
  <c r="A142" i="25"/>
  <c r="A137" i="25"/>
  <c r="A138" i="25"/>
  <c r="A131" i="25"/>
  <c r="A143" i="25"/>
  <c r="A133" i="25"/>
  <c r="A141" i="25"/>
  <c r="A132" i="25"/>
  <c r="A139" i="25"/>
  <c r="A140" i="25"/>
  <c r="A146" i="25"/>
  <c r="A144" i="25"/>
  <c r="A134" i="25"/>
  <c r="W128" i="24" l="1"/>
  <c r="W129" i="24"/>
  <c r="AB63" i="24"/>
  <c r="W62" i="24"/>
  <c r="W77" i="24"/>
  <c r="R77" i="24"/>
  <c r="W118" i="24"/>
  <c r="V146" i="24"/>
  <c r="V147" i="24" s="1"/>
  <c r="V148" i="24" s="1"/>
  <c r="V144" i="24"/>
  <c r="V145" i="24" s="1"/>
  <c r="W145" i="24" s="1"/>
  <c r="V143" i="24"/>
  <c r="W143" i="24" s="1"/>
  <c r="V142" i="24"/>
  <c r="W142" i="24" s="1"/>
  <c r="V134" i="24"/>
  <c r="V92" i="24"/>
  <c r="W92" i="24" s="1"/>
  <c r="V50" i="24"/>
  <c r="AA105" i="24"/>
  <c r="AB105" i="24" s="1"/>
  <c r="AB35" i="24"/>
  <c r="V22" i="24"/>
  <c r="W78" i="24"/>
  <c r="W132" i="24"/>
  <c r="W120" i="24"/>
  <c r="Z92" i="24"/>
  <c r="AH92" i="24" s="1"/>
  <c r="AB90" i="24"/>
  <c r="AB6" i="24"/>
  <c r="AB7" i="24" s="1"/>
  <c r="AA91" i="24"/>
  <c r="AB91" i="24" s="1"/>
  <c r="AA145" i="24"/>
  <c r="X145" i="24"/>
  <c r="Y145" i="24" s="1"/>
  <c r="X146" i="24"/>
  <c r="Y146" i="24" s="1"/>
  <c r="X147" i="24"/>
  <c r="Y147" i="24" s="1"/>
  <c r="AA49" i="24"/>
  <c r="AB49" i="24" s="1"/>
  <c r="U9" i="24"/>
  <c r="AE9" i="24"/>
  <c r="R34" i="24"/>
  <c r="U162" i="24"/>
  <c r="AA162" i="24" s="1"/>
  <c r="O78" i="24"/>
  <c r="AD9" i="24"/>
  <c r="AF9" i="24" s="1"/>
  <c r="H142" i="25"/>
  <c r="L163" i="24"/>
  <c r="G126" i="25"/>
  <c r="H132" i="25"/>
  <c r="L23" i="24"/>
  <c r="H141" i="25"/>
  <c r="L149" i="24"/>
  <c r="G125" i="25"/>
  <c r="H146" i="25"/>
  <c r="G130" i="25"/>
  <c r="H133" i="25"/>
  <c r="L37" i="24"/>
  <c r="H139" i="25"/>
  <c r="L121" i="24"/>
  <c r="H136" i="25"/>
  <c r="L79" i="24"/>
  <c r="H137" i="25"/>
  <c r="L93" i="24"/>
  <c r="H134" i="25"/>
  <c r="L51" i="24"/>
  <c r="G120" i="25"/>
  <c r="G122" i="25"/>
  <c r="G123" i="25"/>
  <c r="F134" i="25"/>
  <c r="I134" i="25" s="1"/>
  <c r="F143" i="25"/>
  <c r="I143" i="25" s="1"/>
  <c r="F144" i="25"/>
  <c r="I144" i="25" s="1"/>
  <c r="F131" i="25"/>
  <c r="I131" i="25" s="1"/>
  <c r="G128" i="25"/>
  <c r="H131" i="25"/>
  <c r="L9" i="24"/>
  <c r="G118" i="25"/>
  <c r="F146" i="25"/>
  <c r="I146" i="25" s="1"/>
  <c r="F138" i="25"/>
  <c r="I138" i="25" s="1"/>
  <c r="F140" i="25"/>
  <c r="I140" i="25" s="1"/>
  <c r="F137" i="25"/>
  <c r="I137" i="25" s="1"/>
  <c r="H140" i="25"/>
  <c r="L135" i="24"/>
  <c r="H135" i="25"/>
  <c r="L65" i="24"/>
  <c r="H138" i="25"/>
  <c r="L107" i="24"/>
  <c r="G121" i="25"/>
  <c r="G119" i="25"/>
  <c r="F139" i="25"/>
  <c r="I139" i="25" s="1"/>
  <c r="F142" i="25"/>
  <c r="I142" i="25" s="1"/>
  <c r="F132" i="25"/>
  <c r="I132" i="25" s="1"/>
  <c r="F135" i="25"/>
  <c r="I135" i="25" s="1"/>
  <c r="F141" i="25"/>
  <c r="I141" i="25" s="1"/>
  <c r="F145" i="25"/>
  <c r="I145" i="25" s="1"/>
  <c r="AR63" i="26" a="1"/>
  <c r="AR63" i="26" s="1"/>
  <c r="O22" i="24"/>
  <c r="O36" i="24"/>
  <c r="O92" i="24"/>
  <c r="O106" i="24"/>
  <c r="O64" i="24"/>
  <c r="O50" i="24"/>
  <c r="G116" i="25"/>
  <c r="G117" i="25"/>
  <c r="F133" i="25"/>
  <c r="I133" i="25" s="1"/>
  <c r="F136" i="25"/>
  <c r="I136" i="25" s="1"/>
  <c r="G115" i="25"/>
  <c r="G129" i="25"/>
  <c r="G127" i="25"/>
  <c r="O105" i="24"/>
  <c r="O91" i="24"/>
  <c r="O77" i="24"/>
  <c r="O21" i="24"/>
  <c r="O49" i="24"/>
  <c r="O63" i="24"/>
  <c r="G124" i="25"/>
  <c r="R49" i="24"/>
  <c r="AS63" i="26" a="1"/>
  <c r="AS63" i="26" s="1"/>
  <c r="AS75" i="26" a="1"/>
  <c r="AS75" i="26" s="1"/>
  <c r="AF142" i="24"/>
  <c r="K177" i="24"/>
  <c r="AF147" i="24"/>
  <c r="AH7" i="24"/>
  <c r="AH36" i="24"/>
  <c r="AH105" i="24"/>
  <c r="AH63" i="24"/>
  <c r="AH35" i="24"/>
  <c r="AH91" i="24"/>
  <c r="AA147" i="24"/>
  <c r="AB147" i="24" s="1"/>
  <c r="R133" i="24"/>
  <c r="AF146" i="24"/>
  <c r="R131" i="24"/>
  <c r="R129" i="24"/>
  <c r="R6" i="24"/>
  <c r="R128" i="24"/>
  <c r="R132" i="24"/>
  <c r="R130" i="24"/>
  <c r="AK103" i="24" a="1"/>
  <c r="AK103" i="24" s="1"/>
  <c r="AK5" i="24" a="1"/>
  <c r="AK5" i="24" s="1"/>
  <c r="AK47" i="24" a="1"/>
  <c r="AK47" i="24" s="1"/>
  <c r="AK61" i="24" a="1"/>
  <c r="AK61" i="24" s="1"/>
  <c r="AK33" i="24" a="1"/>
  <c r="AK33" i="24" s="1"/>
  <c r="AK75" i="24" a="1"/>
  <c r="AK75" i="24" s="1"/>
  <c r="AK19" i="24" a="1"/>
  <c r="AK19" i="24" s="1"/>
  <c r="AK89" i="24" a="1"/>
  <c r="AK89" i="24" s="1"/>
  <c r="AL89" i="24" a="1"/>
  <c r="AL89" i="24" s="1"/>
  <c r="AD163" i="24"/>
  <c r="Z148" i="24"/>
  <c r="R148" i="24" s="1"/>
  <c r="AD162" i="24"/>
  <c r="AL75" i="24" a="1"/>
  <c r="AL75" i="24" s="1"/>
  <c r="AL19" i="24" a="1"/>
  <c r="AL19" i="24" s="1"/>
  <c r="AL5" i="24" a="1"/>
  <c r="AL5" i="24" s="1"/>
  <c r="AL47" i="24" a="1"/>
  <c r="AL47" i="24" s="1"/>
  <c r="S162" i="24"/>
  <c r="AL103" i="24" a="1"/>
  <c r="AL103" i="24" s="1"/>
  <c r="AE162" i="24"/>
  <c r="AL61" i="24" a="1"/>
  <c r="AL61" i="24" s="1"/>
  <c r="AL33" i="24" a="1"/>
  <c r="AL33" i="24" s="1"/>
  <c r="Z147" i="24"/>
  <c r="T147" i="24"/>
  <c r="AF143" i="24"/>
  <c r="AA116" i="24"/>
  <c r="AF144" i="24"/>
  <c r="R105" i="24"/>
  <c r="AF145" i="24"/>
  <c r="A189" i="24"/>
  <c r="L175" i="24"/>
  <c r="J175" i="24"/>
  <c r="K175" i="24"/>
  <c r="AC156" i="24"/>
  <c r="AC158" i="24"/>
  <c r="AC157" i="24"/>
  <c r="AC162" i="24"/>
  <c r="AC169" i="24"/>
  <c r="AC164" i="24"/>
  <c r="AC160" i="24"/>
  <c r="AC163" i="24"/>
  <c r="AC165" i="24"/>
  <c r="AC161" i="24"/>
  <c r="AC167" i="24"/>
  <c r="AC166" i="24"/>
  <c r="AC168" i="24"/>
  <c r="S156" i="24"/>
  <c r="AE156" i="24"/>
  <c r="U156" i="24"/>
  <c r="AE157" i="24"/>
  <c r="S157" i="24"/>
  <c r="U157" i="24"/>
  <c r="T143" i="24"/>
  <c r="T142" i="24"/>
  <c r="T144" i="24"/>
  <c r="T145" i="24"/>
  <c r="Z143" i="24"/>
  <c r="AA142" i="24"/>
  <c r="AB142" i="24" s="1"/>
  <c r="Z142" i="24"/>
  <c r="Z144" i="24"/>
  <c r="Z146" i="24"/>
  <c r="Z145" i="24"/>
  <c r="A184" i="24"/>
  <c r="J170" i="24"/>
  <c r="AL75" i="26" a="1"/>
  <c r="AL75" i="26" s="1"/>
  <c r="K170" i="24"/>
  <c r="J172" i="24"/>
  <c r="A186" i="24"/>
  <c r="L172" i="24"/>
  <c r="AN75" i="26" a="1"/>
  <c r="AN75" i="26" s="1"/>
  <c r="K172" i="24"/>
  <c r="A190" i="24"/>
  <c r="L176" i="24"/>
  <c r="J176" i="24"/>
  <c r="A195" i="24"/>
  <c r="J181" i="24"/>
  <c r="AA129" i="24"/>
  <c r="S158" i="24"/>
  <c r="U158" i="24"/>
  <c r="AA158" i="24" s="1"/>
  <c r="AE158" i="24"/>
  <c r="AR75" i="26" a="1"/>
  <c r="AR75" i="26" s="1"/>
  <c r="A191" i="24"/>
  <c r="AS76" i="26" s="1" a="1"/>
  <c r="AS76" i="26" s="1"/>
  <c r="L177" i="24"/>
  <c r="J177" i="24"/>
  <c r="J174" i="24"/>
  <c r="L174" i="24"/>
  <c r="A188" i="24"/>
  <c r="K174" i="24"/>
  <c r="AP75" i="26" a="1"/>
  <c r="AP75" i="26" s="1"/>
  <c r="AC159" i="24"/>
  <c r="U159" i="24"/>
  <c r="AE159" i="24"/>
  <c r="S159" i="24"/>
  <c r="AD157" i="24"/>
  <c r="AD156" i="24"/>
  <c r="AD158" i="24"/>
  <c r="AD159" i="24"/>
  <c r="AD160" i="24"/>
  <c r="AD161" i="24"/>
  <c r="U161" i="24"/>
  <c r="S161" i="24"/>
  <c r="AE161" i="24"/>
  <c r="A187" i="24"/>
  <c r="L173" i="24"/>
  <c r="J173" i="24"/>
  <c r="AO75" i="26" a="1"/>
  <c r="AO75" i="26" s="1"/>
  <c r="K173" i="24"/>
  <c r="L171" i="24"/>
  <c r="A185" i="24"/>
  <c r="J171" i="24"/>
  <c r="K171" i="24"/>
  <c r="K176" i="24"/>
  <c r="S160" i="24"/>
  <c r="AE160" i="24"/>
  <c r="U160" i="24"/>
  <c r="AA160" i="24" s="1"/>
  <c r="A194" i="24"/>
  <c r="J180" i="24"/>
  <c r="A192" i="24"/>
  <c r="J178" i="24"/>
  <c r="T146" i="24"/>
  <c r="A193" i="24"/>
  <c r="J179" i="24"/>
  <c r="R21" i="24"/>
  <c r="AA21" i="24"/>
  <c r="AB21" i="24" s="1"/>
  <c r="AF65" i="24"/>
  <c r="AF51" i="24"/>
  <c r="AF121" i="24"/>
  <c r="AF93" i="24"/>
  <c r="AF23" i="24"/>
  <c r="X22" i="24"/>
  <c r="Y22" i="24" s="1"/>
  <c r="AF79" i="24"/>
  <c r="AR66" i="26" a="1"/>
  <c r="AR66" i="26" s="1"/>
  <c r="AS72" i="26" a="1"/>
  <c r="AS72" i="26" s="1"/>
  <c r="AS69" i="26" a="1"/>
  <c r="AS69" i="26" s="1"/>
  <c r="AS68" i="26" a="1"/>
  <c r="AS68" i="26" s="1"/>
  <c r="T92" i="24"/>
  <c r="AF106" i="24"/>
  <c r="AF120" i="24"/>
  <c r="AA78" i="24"/>
  <c r="AB78" i="24" s="1"/>
  <c r="X78" i="24"/>
  <c r="Y78" i="24" s="1"/>
  <c r="Z78" i="24"/>
  <c r="AS73" i="26" a="1"/>
  <c r="AS73" i="26" s="1"/>
  <c r="AS70" i="26" a="1"/>
  <c r="AS70" i="26" s="1"/>
  <c r="Z22" i="24"/>
  <c r="X92" i="24"/>
  <c r="Y92" i="24" s="1"/>
  <c r="R35" i="24"/>
  <c r="T22" i="24"/>
  <c r="AF78" i="24"/>
  <c r="AF50" i="24"/>
  <c r="AF92" i="24"/>
  <c r="R91" i="24"/>
  <c r="AF148" i="24"/>
  <c r="AA106" i="24"/>
  <c r="X106" i="24"/>
  <c r="Y106" i="24" s="1"/>
  <c r="Z106" i="24"/>
  <c r="S107" i="24"/>
  <c r="AE107" i="24"/>
  <c r="U107" i="24"/>
  <c r="AS66" i="26" a="1"/>
  <c r="AS66" i="26" s="1"/>
  <c r="AS71" i="26" a="1"/>
  <c r="AS71" i="26" s="1"/>
  <c r="AS74" i="26" a="1"/>
  <c r="AS74" i="26" s="1"/>
  <c r="S121" i="24"/>
  <c r="T121" i="24" s="1"/>
  <c r="U121" i="24"/>
  <c r="Z121" i="24" s="1"/>
  <c r="AE121" i="24"/>
  <c r="T134" i="24"/>
  <c r="T120" i="24"/>
  <c r="AF64" i="24"/>
  <c r="AA36" i="24"/>
  <c r="AB36" i="24" s="1"/>
  <c r="X36" i="24"/>
  <c r="Y36" i="24" s="1"/>
  <c r="R36" i="24"/>
  <c r="R119" i="24"/>
  <c r="T148" i="24"/>
  <c r="AE65" i="24"/>
  <c r="U65" i="24"/>
  <c r="S65" i="24"/>
  <c r="X50" i="24"/>
  <c r="Y50" i="24" s="1"/>
  <c r="Z50" i="24"/>
  <c r="U37" i="24"/>
  <c r="S37" i="24"/>
  <c r="AE37" i="24"/>
  <c r="S135" i="24"/>
  <c r="AE135" i="24"/>
  <c r="U135" i="24"/>
  <c r="Z135" i="24" s="1"/>
  <c r="AD135" i="24"/>
  <c r="S93" i="24"/>
  <c r="T93" i="24" s="1"/>
  <c r="U93" i="24"/>
  <c r="AE93" i="24"/>
  <c r="AE23" i="24"/>
  <c r="U23" i="24"/>
  <c r="S23" i="24"/>
  <c r="T23" i="24" s="1"/>
  <c r="AS67" i="26" a="1"/>
  <c r="AS67" i="26" s="1"/>
  <c r="U149" i="24"/>
  <c r="AE149" i="24"/>
  <c r="S149" i="24"/>
  <c r="T149" i="24" s="1"/>
  <c r="U79" i="24"/>
  <c r="AE79" i="24"/>
  <c r="S79" i="24"/>
  <c r="AF22" i="24"/>
  <c r="X148" i="24"/>
  <c r="Y148" i="24" s="1"/>
  <c r="AA120" i="24"/>
  <c r="X120" i="24"/>
  <c r="Y120" i="24" s="1"/>
  <c r="Z120" i="24"/>
  <c r="X64" i="24"/>
  <c r="Y64" i="24" s="1"/>
  <c r="AA64" i="24"/>
  <c r="AB64" i="24" s="1"/>
  <c r="Z64" i="24"/>
  <c r="AD149" i="24"/>
  <c r="R63" i="24"/>
  <c r="AD37" i="24"/>
  <c r="S51" i="24"/>
  <c r="AE51" i="24"/>
  <c r="U51" i="24"/>
  <c r="Z51" i="24" s="1"/>
  <c r="AE163" i="24"/>
  <c r="U163" i="24"/>
  <c r="S163" i="24"/>
  <c r="AA134" i="24"/>
  <c r="AB134" i="24" s="1"/>
  <c r="R134" i="24"/>
  <c r="X134" i="24"/>
  <c r="Y134" i="24" s="1"/>
  <c r="AD107" i="24"/>
  <c r="T78" i="24"/>
  <c r="R7" i="24"/>
  <c r="D82" i="35"/>
  <c r="D24" i="35"/>
  <c r="D28" i="35"/>
  <c r="K108" i="24"/>
  <c r="K80" i="24"/>
  <c r="Z8" i="24"/>
  <c r="AA8" i="24"/>
  <c r="T9" i="24"/>
  <c r="K136" i="24"/>
  <c r="K52" i="24"/>
  <c r="K122" i="24"/>
  <c r="K178" i="24"/>
  <c r="K164" i="24"/>
  <c r="K24" i="24"/>
  <c r="K10" i="24"/>
  <c r="U10" i="24" s="1"/>
  <c r="K66" i="24"/>
  <c r="K150" i="24"/>
  <c r="K38" i="24"/>
  <c r="K94" i="24"/>
  <c r="A153" i="25"/>
  <c r="A155" i="25"/>
  <c r="A156" i="25"/>
  <c r="A147" i="25"/>
  <c r="A162" i="25"/>
  <c r="A149" i="25"/>
  <c r="A161" i="25"/>
  <c r="A151" i="25"/>
  <c r="A150" i="25"/>
  <c r="A148" i="25"/>
  <c r="A154" i="25"/>
  <c r="A158" i="25"/>
  <c r="A152" i="25"/>
  <c r="A159" i="25"/>
  <c r="A160" i="25"/>
  <c r="A157" i="25"/>
  <c r="K4" i="27"/>
  <c r="AN61" i="24" l="1"/>
  <c r="AN89" i="24"/>
  <c r="R92" i="24"/>
  <c r="AA9" i="24"/>
  <c r="AB106" i="24"/>
  <c r="V160" i="24"/>
  <c r="V161" i="24" s="1"/>
  <c r="W161" i="24" s="1"/>
  <c r="V159" i="24"/>
  <c r="W159" i="24" s="1"/>
  <c r="V158" i="24"/>
  <c r="W158" i="24" s="1"/>
  <c r="V162" i="24"/>
  <c r="V156" i="24"/>
  <c r="V157" i="24" s="1"/>
  <c r="W157" i="24" s="1"/>
  <c r="AA92" i="24"/>
  <c r="AB92" i="24" s="1"/>
  <c r="Z9" i="24"/>
  <c r="R9" i="24" s="1"/>
  <c r="W147" i="24"/>
  <c r="W148" i="24"/>
  <c r="W50" i="24"/>
  <c r="W146" i="24"/>
  <c r="AA50" i="24"/>
  <c r="AB50" i="24" s="1"/>
  <c r="W64" i="24"/>
  <c r="W144" i="24"/>
  <c r="W134" i="24"/>
  <c r="AA161" i="24"/>
  <c r="X157" i="24"/>
  <c r="Y157" i="24" s="1"/>
  <c r="X158" i="24"/>
  <c r="Y158" i="24" s="1"/>
  <c r="X159" i="24"/>
  <c r="Y159" i="24" s="1"/>
  <c r="X160" i="24"/>
  <c r="Y160" i="24" s="1"/>
  <c r="X161" i="24"/>
  <c r="Y161" i="24" s="1"/>
  <c r="X162" i="24"/>
  <c r="Y162" i="24" s="1"/>
  <c r="AB116" i="24"/>
  <c r="AA117" i="24"/>
  <c r="AA118" i="24" s="1"/>
  <c r="N36" i="24"/>
  <c r="N106" i="24"/>
  <c r="N22" i="24"/>
  <c r="N8" i="24"/>
  <c r="N50" i="24"/>
  <c r="N92" i="24"/>
  <c r="N78" i="24"/>
  <c r="N64" i="24"/>
  <c r="O79" i="24"/>
  <c r="H149" i="25"/>
  <c r="L38" i="24"/>
  <c r="H161" i="25"/>
  <c r="G145" i="25"/>
  <c r="H153" i="25"/>
  <c r="L94" i="24"/>
  <c r="H158" i="25"/>
  <c r="L164" i="24"/>
  <c r="H156" i="25"/>
  <c r="L136" i="24"/>
  <c r="H147" i="25"/>
  <c r="L10" i="24"/>
  <c r="H154" i="25"/>
  <c r="L108" i="24"/>
  <c r="H151" i="25"/>
  <c r="L66" i="24"/>
  <c r="H150" i="25"/>
  <c r="L52" i="24"/>
  <c r="H148" i="25"/>
  <c r="L24" i="24"/>
  <c r="H159" i="25"/>
  <c r="G143" i="25"/>
  <c r="L178" i="24"/>
  <c r="H157" i="25"/>
  <c r="L150" i="24"/>
  <c r="H155" i="25"/>
  <c r="L122" i="24"/>
  <c r="H162" i="25"/>
  <c r="H160" i="25"/>
  <c r="F154" i="25"/>
  <c r="I154" i="25" s="1"/>
  <c r="F147" i="25"/>
  <c r="I147" i="25" s="1"/>
  <c r="H152" i="25"/>
  <c r="L80" i="24"/>
  <c r="G140" i="25"/>
  <c r="G139" i="25"/>
  <c r="F148" i="25"/>
  <c r="I148" i="25" s="1"/>
  <c r="F156" i="25"/>
  <c r="I156" i="25" s="1"/>
  <c r="G134" i="25"/>
  <c r="G141" i="25"/>
  <c r="F152" i="25"/>
  <c r="I152" i="25" s="1"/>
  <c r="F162" i="25"/>
  <c r="I162" i="25" s="1"/>
  <c r="H178" i="25" s="1"/>
  <c r="F158" i="25"/>
  <c r="I158" i="25" s="1"/>
  <c r="F150" i="25"/>
  <c r="I150" i="25" s="1"/>
  <c r="F155" i="25"/>
  <c r="I155" i="25" s="1"/>
  <c r="O23" i="24"/>
  <c r="O107" i="24"/>
  <c r="O65" i="24"/>
  <c r="O51" i="24"/>
  <c r="O93" i="24"/>
  <c r="G131" i="25"/>
  <c r="G137" i="25"/>
  <c r="G133" i="25"/>
  <c r="G132" i="25"/>
  <c r="F159" i="25"/>
  <c r="I159" i="25" s="1"/>
  <c r="F149" i="25"/>
  <c r="I149" i="25" s="1"/>
  <c r="F157" i="25"/>
  <c r="I157" i="25" s="1"/>
  <c r="F151" i="25"/>
  <c r="I151" i="25" s="1"/>
  <c r="F153" i="25"/>
  <c r="I153" i="25" s="1"/>
  <c r="F160" i="25"/>
  <c r="I160" i="25" s="1"/>
  <c r="L193" i="24" s="1"/>
  <c r="F161" i="25"/>
  <c r="I161" i="25" s="1"/>
  <c r="H177" i="25" s="1"/>
  <c r="G138" i="25"/>
  <c r="G144" i="25"/>
  <c r="G135" i="25"/>
  <c r="G136" i="25"/>
  <c r="G146" i="25"/>
  <c r="G142" i="25"/>
  <c r="AF159" i="24"/>
  <c r="AT76" i="26" a="1"/>
  <c r="AT76" i="26" s="1"/>
  <c r="U177" i="24"/>
  <c r="AA177" i="24" s="1"/>
  <c r="K192" i="24"/>
  <c r="AH8" i="24"/>
  <c r="AH51" i="24"/>
  <c r="AH64" i="24"/>
  <c r="AH22" i="24"/>
  <c r="AH50" i="24"/>
  <c r="AH106" i="24"/>
  <c r="AH78" i="24"/>
  <c r="AA148" i="24"/>
  <c r="AB148" i="24" s="1"/>
  <c r="AF163" i="24"/>
  <c r="K191" i="24"/>
  <c r="AF162" i="24"/>
  <c r="R144" i="24"/>
  <c r="R8" i="24"/>
  <c r="R142" i="24"/>
  <c r="R145" i="24"/>
  <c r="R146" i="24"/>
  <c r="R143" i="24"/>
  <c r="R147" i="24"/>
  <c r="AA159" i="24"/>
  <c r="AE177" i="24"/>
  <c r="S177" i="24"/>
  <c r="T163" i="24"/>
  <c r="AF160" i="24"/>
  <c r="AF158" i="24"/>
  <c r="AA143" i="24"/>
  <c r="AB143" i="24" s="1"/>
  <c r="AF156" i="24"/>
  <c r="T162" i="24"/>
  <c r="AF157" i="24"/>
  <c r="Z162" i="24"/>
  <c r="T159" i="24"/>
  <c r="AD177" i="24"/>
  <c r="AE176" i="24"/>
  <c r="S176" i="24"/>
  <c r="U176" i="24"/>
  <c r="AF161" i="24"/>
  <c r="AE175" i="24"/>
  <c r="U175" i="24"/>
  <c r="S175" i="24"/>
  <c r="A208" i="24"/>
  <c r="J194" i="24"/>
  <c r="J186" i="24"/>
  <c r="A200" i="24"/>
  <c r="L186" i="24"/>
  <c r="AN76" i="26" a="1"/>
  <c r="AN76" i="26" s="1"/>
  <c r="K186" i="24"/>
  <c r="A205" i="24"/>
  <c r="J191" i="24"/>
  <c r="L191" i="24"/>
  <c r="U172" i="24"/>
  <c r="AA172" i="24" s="1"/>
  <c r="AE172" i="24"/>
  <c r="S172" i="24"/>
  <c r="Z156" i="24"/>
  <c r="Z157" i="24"/>
  <c r="AA156" i="24"/>
  <c r="AB156" i="24" s="1"/>
  <c r="Z158" i="24"/>
  <c r="Z159" i="24"/>
  <c r="Z160" i="24"/>
  <c r="Z161" i="24"/>
  <c r="AE171" i="24"/>
  <c r="U171" i="24"/>
  <c r="AA171" i="24" s="1"/>
  <c r="S171" i="24"/>
  <c r="J188" i="24"/>
  <c r="L188" i="24"/>
  <c r="A202" i="24"/>
  <c r="K188" i="24"/>
  <c r="AP76" i="26" a="1"/>
  <c r="AP76" i="26" s="1"/>
  <c r="A209" i="24"/>
  <c r="J195" i="24"/>
  <c r="A204" i="24"/>
  <c r="L190" i="24"/>
  <c r="J190" i="24"/>
  <c r="K190" i="24"/>
  <c r="AR76" i="26" a="1"/>
  <c r="AR76" i="26" s="1"/>
  <c r="A203" i="24"/>
  <c r="L189" i="24"/>
  <c r="J189" i="24"/>
  <c r="K189" i="24"/>
  <c r="AQ76" i="26" a="1"/>
  <c r="AQ76" i="26" s="1"/>
  <c r="L185" i="24"/>
  <c r="A199" i="24"/>
  <c r="J185" i="24"/>
  <c r="K185" i="24"/>
  <c r="S173" i="24"/>
  <c r="U173" i="24"/>
  <c r="AE173" i="24"/>
  <c r="AD171" i="24"/>
  <c r="AD170" i="24"/>
  <c r="AD172" i="24"/>
  <c r="AD173" i="24"/>
  <c r="AD174" i="24"/>
  <c r="AD175" i="24"/>
  <c r="AD176" i="24"/>
  <c r="T156" i="24"/>
  <c r="T157" i="24"/>
  <c r="T158" i="24"/>
  <c r="T160" i="24"/>
  <c r="T161" i="24"/>
  <c r="A206" i="24"/>
  <c r="AT77" i="26" s="1" a="1"/>
  <c r="AT77" i="26" s="1"/>
  <c r="L192" i="24"/>
  <c r="J192" i="24"/>
  <c r="AB129" i="24"/>
  <c r="AA130" i="24"/>
  <c r="A207" i="24"/>
  <c r="J193" i="24"/>
  <c r="J187" i="24"/>
  <c r="A201" i="24"/>
  <c r="L187" i="24"/>
  <c r="AO76" i="26" a="1"/>
  <c r="AO76" i="26" s="1"/>
  <c r="K187" i="24"/>
  <c r="S174" i="24"/>
  <c r="AE174" i="24"/>
  <c r="U174" i="24"/>
  <c r="AC171" i="24"/>
  <c r="AC172" i="24"/>
  <c r="AC170" i="24"/>
  <c r="AC183" i="24"/>
  <c r="AC175" i="24"/>
  <c r="AC174" i="24"/>
  <c r="AC181" i="24"/>
  <c r="AC176" i="24"/>
  <c r="AC178" i="24"/>
  <c r="AC182" i="24"/>
  <c r="AC180" i="24"/>
  <c r="AC177" i="24"/>
  <c r="AC173" i="24"/>
  <c r="AC179" i="24"/>
  <c r="U170" i="24"/>
  <c r="AE170" i="24"/>
  <c r="S170" i="24"/>
  <c r="AQ75" i="26" a="1"/>
  <c r="AQ75" i="26" s="1"/>
  <c r="AL76" i="26" a="1"/>
  <c r="AL76" i="26" s="1"/>
  <c r="J184" i="24"/>
  <c r="A198" i="24"/>
  <c r="K184" i="24"/>
  <c r="Z93" i="24"/>
  <c r="AA22" i="24"/>
  <c r="AB22" i="24" s="1"/>
  <c r="R50" i="24"/>
  <c r="AS65" i="26" a="1"/>
  <c r="AS65" i="26" s="1"/>
  <c r="R78" i="24"/>
  <c r="AA79" i="24"/>
  <c r="AB79" i="24" s="1"/>
  <c r="AS64" i="26" a="1"/>
  <c r="AS64" i="26" s="1"/>
  <c r="AF135" i="24"/>
  <c r="AA37" i="24"/>
  <c r="AB37" i="24" s="1"/>
  <c r="Z37" i="24"/>
  <c r="T65" i="24"/>
  <c r="R22" i="24"/>
  <c r="AT73" i="26" a="1"/>
  <c r="AT73" i="26" s="1"/>
  <c r="AT67" i="26" a="1"/>
  <c r="AT67" i="26" s="1"/>
  <c r="AE24" i="24"/>
  <c r="U24" i="24"/>
  <c r="Z24" i="24" s="1"/>
  <c r="S24" i="24"/>
  <c r="T24" i="24" s="1"/>
  <c r="AD24" i="24"/>
  <c r="AT70" i="26" a="1"/>
  <c r="AT70" i="26" s="1"/>
  <c r="AT72" i="26" a="1"/>
  <c r="AT72" i="26" s="1"/>
  <c r="N9" i="24"/>
  <c r="U94" i="24"/>
  <c r="Z94" i="24" s="1"/>
  <c r="AE94" i="24"/>
  <c r="S94" i="24"/>
  <c r="T94" i="24" s="1"/>
  <c r="AD94" i="24"/>
  <c r="N51" i="24"/>
  <c r="N93" i="24"/>
  <c r="AA135" i="24"/>
  <c r="AB135" i="24" s="1"/>
  <c r="R135" i="24"/>
  <c r="AA65" i="24"/>
  <c r="AB65" i="24" s="1"/>
  <c r="Z65" i="24"/>
  <c r="AT63" i="26" a="1"/>
  <c r="AT63" i="26" s="1"/>
  <c r="AF37" i="24"/>
  <c r="R64" i="24"/>
  <c r="T51" i="24"/>
  <c r="N23" i="24"/>
  <c r="N107" i="24"/>
  <c r="AA23" i="24"/>
  <c r="Z23" i="24"/>
  <c r="AA121" i="24"/>
  <c r="R121" i="24"/>
  <c r="T107" i="24"/>
  <c r="R106" i="24"/>
  <c r="S164" i="24"/>
  <c r="T164" i="24" s="1"/>
  <c r="U164" i="24"/>
  <c r="AE164" i="24"/>
  <c r="AD164" i="24"/>
  <c r="AT75" i="26" a="1"/>
  <c r="AT75" i="26" s="1"/>
  <c r="AT64" i="26" a="1"/>
  <c r="AT64" i="26" s="1"/>
  <c r="AT65" i="26" a="1"/>
  <c r="AT65" i="26" s="1"/>
  <c r="AT71" i="26" a="1"/>
  <c r="AT71" i="26" s="1"/>
  <c r="AE178" i="24"/>
  <c r="U178" i="24"/>
  <c r="S178" i="24"/>
  <c r="AD178" i="24"/>
  <c r="AA163" i="24"/>
  <c r="AB163" i="24" s="1"/>
  <c r="AA149" i="24"/>
  <c r="Z149" i="24"/>
  <c r="AT74" i="26" a="1"/>
  <c r="AT74" i="26" s="1"/>
  <c r="S38" i="24"/>
  <c r="T38" i="24" s="1"/>
  <c r="U38" i="24"/>
  <c r="AE38" i="24"/>
  <c r="AD38" i="24"/>
  <c r="U80" i="24"/>
  <c r="S80" i="24"/>
  <c r="AE80" i="24"/>
  <c r="AD80" i="24"/>
  <c r="AF107" i="24"/>
  <c r="T79" i="24"/>
  <c r="N79" i="24"/>
  <c r="AA107" i="24"/>
  <c r="Z107" i="24"/>
  <c r="U150" i="24"/>
  <c r="S150" i="24"/>
  <c r="AE150" i="24"/>
  <c r="AD150" i="24"/>
  <c r="S108" i="24"/>
  <c r="U108" i="24"/>
  <c r="AE108" i="24"/>
  <c r="AD108" i="24"/>
  <c r="AF149" i="24"/>
  <c r="N37" i="24"/>
  <c r="AA93" i="24"/>
  <c r="T135" i="24"/>
  <c r="Z163" i="24"/>
  <c r="AE122" i="24"/>
  <c r="U122" i="24"/>
  <c r="S122" i="24"/>
  <c r="AD122" i="24"/>
  <c r="AT68" i="26" a="1"/>
  <c r="AT68" i="26" s="1"/>
  <c r="AT69" i="26" a="1"/>
  <c r="AT69" i="26" s="1"/>
  <c r="S52" i="24"/>
  <c r="T52" i="24" s="1"/>
  <c r="U52" i="24"/>
  <c r="AE52" i="24"/>
  <c r="AD52" i="24"/>
  <c r="AE66" i="24"/>
  <c r="U66" i="24"/>
  <c r="S66" i="24"/>
  <c r="AD66" i="24"/>
  <c r="AE136" i="24"/>
  <c r="U136" i="24"/>
  <c r="S136" i="24"/>
  <c r="T136" i="24" s="1"/>
  <c r="AD136" i="24"/>
  <c r="AA51" i="24"/>
  <c r="R51" i="24"/>
  <c r="R120" i="24"/>
  <c r="N65" i="24"/>
  <c r="T37" i="24"/>
  <c r="Z79" i="24"/>
  <c r="AB8" i="24"/>
  <c r="AD10" i="24"/>
  <c r="AF10" i="24" s="1"/>
  <c r="K11" i="24"/>
  <c r="AD11" i="24" s="1"/>
  <c r="K193" i="24"/>
  <c r="K109" i="24"/>
  <c r="K137" i="24"/>
  <c r="K179" i="24"/>
  <c r="K25" i="24"/>
  <c r="AE10" i="24"/>
  <c r="K39" i="24"/>
  <c r="K123" i="24"/>
  <c r="K95" i="24"/>
  <c r="S10" i="24"/>
  <c r="T10" i="24" s="1"/>
  <c r="K81" i="24"/>
  <c r="K53" i="24"/>
  <c r="K151" i="24"/>
  <c r="K165" i="24"/>
  <c r="K67" i="24"/>
  <c r="AA10" i="24"/>
  <c r="Z10" i="24"/>
  <c r="A168" i="25"/>
  <c r="A176" i="25"/>
  <c r="A164" i="25"/>
  <c r="A178" i="25"/>
  <c r="A172" i="25"/>
  <c r="A174" i="25"/>
  <c r="A177" i="25"/>
  <c r="A166" i="25"/>
  <c r="A171" i="25"/>
  <c r="A175" i="25"/>
  <c r="A163" i="25"/>
  <c r="A169" i="25"/>
  <c r="A173" i="25"/>
  <c r="A170" i="25"/>
  <c r="A165" i="25"/>
  <c r="A167" i="25"/>
  <c r="AB9" i="24" l="1"/>
  <c r="W160" i="24"/>
  <c r="AB107" i="24"/>
  <c r="V175" i="24"/>
  <c r="V176" i="24" s="1"/>
  <c r="W176" i="24" s="1"/>
  <c r="V174" i="24"/>
  <c r="W174" i="24" s="1"/>
  <c r="V173" i="24"/>
  <c r="W173" i="24" s="1"/>
  <c r="AB51" i="24"/>
  <c r="W162" i="24"/>
  <c r="W156" i="24"/>
  <c r="Z80" i="24"/>
  <c r="AH80" i="24" s="1"/>
  <c r="AB117" i="24"/>
  <c r="AB118" i="24" s="1"/>
  <c r="AB119" i="24" s="1"/>
  <c r="AB120" i="24" s="1"/>
  <c r="AB10" i="24"/>
  <c r="X171" i="24"/>
  <c r="Y171" i="24" s="1"/>
  <c r="X170" i="24"/>
  <c r="Y170" i="24" s="1"/>
  <c r="X172" i="24"/>
  <c r="Y172" i="24" s="1"/>
  <c r="X173" i="24"/>
  <c r="Y173" i="24" s="1"/>
  <c r="X175" i="24"/>
  <c r="Y175" i="24" s="1"/>
  <c r="X174" i="24"/>
  <c r="Y174" i="24" s="1"/>
  <c r="AB121" i="24"/>
  <c r="AB130" i="24"/>
  <c r="AA131" i="24"/>
  <c r="G157" i="25"/>
  <c r="H168" i="25"/>
  <c r="L81" i="24"/>
  <c r="H172" i="25"/>
  <c r="L137" i="24"/>
  <c r="H163" i="25"/>
  <c r="L11" i="24"/>
  <c r="H164" i="25"/>
  <c r="L25" i="24"/>
  <c r="H171" i="25"/>
  <c r="L123" i="24"/>
  <c r="H166" i="25"/>
  <c r="L53" i="24"/>
  <c r="H170" i="25"/>
  <c r="L109" i="24"/>
  <c r="H174" i="25"/>
  <c r="L165" i="24"/>
  <c r="H169" i="25"/>
  <c r="L95" i="24"/>
  <c r="H175" i="25"/>
  <c r="L179" i="24"/>
  <c r="F169" i="25"/>
  <c r="I169" i="25" s="1"/>
  <c r="F174" i="25"/>
  <c r="I174" i="25" s="1"/>
  <c r="G151" i="25"/>
  <c r="G158" i="25"/>
  <c r="H167" i="25"/>
  <c r="L67" i="24"/>
  <c r="O24" i="24"/>
  <c r="G160" i="25"/>
  <c r="G159" i="25"/>
  <c r="G154" i="25"/>
  <c r="G153" i="25"/>
  <c r="F163" i="25"/>
  <c r="I163" i="25" s="1"/>
  <c r="F178" i="25"/>
  <c r="I178" i="25" s="1"/>
  <c r="F175" i="25"/>
  <c r="I175" i="25" s="1"/>
  <c r="F164" i="25"/>
  <c r="I164" i="25" s="1"/>
  <c r="H173" i="25"/>
  <c r="L151" i="24"/>
  <c r="G162" i="25"/>
  <c r="O66" i="24"/>
  <c r="O80" i="24"/>
  <c r="O94" i="24"/>
  <c r="O10" i="24"/>
  <c r="O38" i="24"/>
  <c r="F167" i="25"/>
  <c r="I167" i="25" s="1"/>
  <c r="F176" i="25"/>
  <c r="I176" i="25" s="1"/>
  <c r="G148" i="25"/>
  <c r="G147" i="25"/>
  <c r="G161" i="25"/>
  <c r="H176" i="25"/>
  <c r="H165" i="25"/>
  <c r="L39" i="24"/>
  <c r="G152" i="25"/>
  <c r="G155" i="25"/>
  <c r="F173" i="25"/>
  <c r="I173" i="25" s="1"/>
  <c r="F177" i="25"/>
  <c r="I177" i="25" s="1"/>
  <c r="F172" i="25"/>
  <c r="I172" i="25" s="1"/>
  <c r="F165" i="25"/>
  <c r="I165" i="25" s="1"/>
  <c r="F171" i="25"/>
  <c r="I171" i="25" s="1"/>
  <c r="F168" i="25"/>
  <c r="I168" i="25" s="1"/>
  <c r="F170" i="25"/>
  <c r="I170" i="25" s="1"/>
  <c r="F166" i="25"/>
  <c r="I166" i="25" s="1"/>
  <c r="G150" i="25"/>
  <c r="G156" i="25"/>
  <c r="G149" i="25"/>
  <c r="AB93" i="24"/>
  <c r="AB149" i="24"/>
  <c r="U192" i="24"/>
  <c r="K207" i="24"/>
  <c r="R162" i="24"/>
  <c r="AH37" i="24"/>
  <c r="AH93" i="24"/>
  <c r="AH79" i="24"/>
  <c r="AH24" i="24"/>
  <c r="AH10" i="24"/>
  <c r="AH23" i="24"/>
  <c r="AH65" i="24"/>
  <c r="AH107" i="24"/>
  <c r="AH94" i="24"/>
  <c r="AE192" i="24"/>
  <c r="S192" i="24"/>
  <c r="AA173" i="24"/>
  <c r="AB173" i="24" s="1"/>
  <c r="AK106" i="24" a="1"/>
  <c r="AK106" i="24" s="1"/>
  <c r="R149" i="24"/>
  <c r="R161" i="24"/>
  <c r="R163" i="24"/>
  <c r="R157" i="24"/>
  <c r="R160" i="24"/>
  <c r="AA157" i="24"/>
  <c r="AB157" i="24" s="1"/>
  <c r="AB158" i="24" s="1"/>
  <c r="AB159" i="24" s="1"/>
  <c r="AB160" i="24" s="1"/>
  <c r="AB161" i="24" s="1"/>
  <c r="AB162" i="24" s="1"/>
  <c r="R159" i="24"/>
  <c r="R156" i="24"/>
  <c r="R158" i="24"/>
  <c r="AK8" i="24" a="1"/>
  <c r="AK8" i="24" s="1"/>
  <c r="AK92" i="24" a="1"/>
  <c r="AK92" i="24" s="1"/>
  <c r="AK36" i="24" a="1"/>
  <c r="AK36" i="24" s="1"/>
  <c r="AK78" i="24" a="1"/>
  <c r="AK78" i="24" s="1"/>
  <c r="AK50" i="24" a="1"/>
  <c r="AK50" i="24" s="1"/>
  <c r="AK22" i="24" a="1"/>
  <c r="AK22" i="24" s="1"/>
  <c r="AF177" i="24"/>
  <c r="AK64" i="24" a="1"/>
  <c r="AK64" i="24" s="1"/>
  <c r="AA144" i="24"/>
  <c r="AB144" i="24" s="1"/>
  <c r="AB145" i="24" s="1"/>
  <c r="AB146" i="24" s="1"/>
  <c r="AL8" i="24" a="1"/>
  <c r="AL8" i="24" s="1"/>
  <c r="AL92" i="24" a="1"/>
  <c r="AL92" i="24" s="1"/>
  <c r="AL36" i="24" a="1"/>
  <c r="AL36" i="24" s="1"/>
  <c r="AL64" i="24" a="1"/>
  <c r="AL64" i="24" s="1"/>
  <c r="AL78" i="24" a="1"/>
  <c r="AL78" i="24" s="1"/>
  <c r="AL106" i="24" a="1"/>
  <c r="AL106" i="24" s="1"/>
  <c r="AL22" i="24" a="1"/>
  <c r="AL22" i="24" s="1"/>
  <c r="AL50" i="24" a="1"/>
  <c r="AL50" i="24" s="1"/>
  <c r="AD192" i="24"/>
  <c r="Z177" i="24"/>
  <c r="AB23" i="24"/>
  <c r="R93" i="24"/>
  <c r="Z178" i="24"/>
  <c r="AF175" i="24"/>
  <c r="T174" i="24"/>
  <c r="Z170" i="24"/>
  <c r="Z171" i="24"/>
  <c r="AA170" i="24"/>
  <c r="AB170" i="24" s="1"/>
  <c r="AB171" i="24" s="1"/>
  <c r="AB172" i="24" s="1"/>
  <c r="W171" i="24"/>
  <c r="W170" i="24"/>
  <c r="W172" i="24"/>
  <c r="Z172" i="24"/>
  <c r="Z174" i="24"/>
  <c r="Z173" i="24"/>
  <c r="Z175" i="24"/>
  <c r="AF171" i="24"/>
  <c r="J206" i="24"/>
  <c r="A220" i="24"/>
  <c r="L206" i="24"/>
  <c r="S185" i="24"/>
  <c r="U185" i="24"/>
  <c r="AE185" i="24"/>
  <c r="A218" i="24"/>
  <c r="L204" i="24"/>
  <c r="J204" i="24"/>
  <c r="AR77" i="26" a="1"/>
  <c r="AR77" i="26" s="1"/>
  <c r="K204" i="24"/>
  <c r="A216" i="24"/>
  <c r="L202" i="24"/>
  <c r="J202" i="24"/>
  <c r="K202" i="24"/>
  <c r="AP77" i="26" a="1"/>
  <c r="AP77" i="26" s="1"/>
  <c r="A213" i="24"/>
  <c r="J199" i="24"/>
  <c r="L199" i="24"/>
  <c r="K199" i="24"/>
  <c r="A215" i="24"/>
  <c r="L201" i="24"/>
  <c r="J201" i="24"/>
  <c r="AO77" i="26" a="1"/>
  <c r="AO77" i="26" s="1"/>
  <c r="K201" i="24"/>
  <c r="AF174" i="24"/>
  <c r="AE189" i="24"/>
  <c r="S189" i="24"/>
  <c r="U189" i="24"/>
  <c r="AA189" i="24" s="1"/>
  <c r="S188" i="24"/>
  <c r="AE188" i="24"/>
  <c r="U188" i="24"/>
  <c r="A214" i="24"/>
  <c r="J200" i="24"/>
  <c r="L200" i="24"/>
  <c r="AN77" i="26" a="1"/>
  <c r="AN77" i="26" s="1"/>
  <c r="K200" i="24"/>
  <c r="AD185" i="24"/>
  <c r="AD184" i="24"/>
  <c r="AD186" i="24"/>
  <c r="AD187" i="24"/>
  <c r="AD188" i="24"/>
  <c r="AD189" i="24"/>
  <c r="AD191" i="24"/>
  <c r="AF173" i="24"/>
  <c r="U191" i="24"/>
  <c r="AE191" i="24"/>
  <c r="S191" i="24"/>
  <c r="S186" i="24"/>
  <c r="U186" i="24"/>
  <c r="AE186" i="24"/>
  <c r="A222" i="24"/>
  <c r="J208" i="24"/>
  <c r="T175" i="24"/>
  <c r="R37" i="24"/>
  <c r="A212" i="24"/>
  <c r="AL77" i="26" a="1"/>
  <c r="AL77" i="26" s="1"/>
  <c r="J198" i="24"/>
  <c r="K198" i="24"/>
  <c r="T171" i="24"/>
  <c r="T170" i="24"/>
  <c r="T172" i="24"/>
  <c r="T176" i="24"/>
  <c r="AC187" i="24"/>
  <c r="AE187" i="24"/>
  <c r="U187" i="24"/>
  <c r="S187" i="24"/>
  <c r="AF172" i="24"/>
  <c r="AD190" i="24"/>
  <c r="L205" i="24"/>
  <c r="A219" i="24"/>
  <c r="J205" i="24"/>
  <c r="AS77" i="26" a="1"/>
  <c r="AS77" i="26" s="1"/>
  <c r="K205" i="24"/>
  <c r="T177" i="24"/>
  <c r="AC186" i="24"/>
  <c r="AC184" i="24"/>
  <c r="AC185" i="24"/>
  <c r="AC195" i="24"/>
  <c r="AC193" i="24"/>
  <c r="AC192" i="24"/>
  <c r="AC196" i="24"/>
  <c r="AC190" i="24"/>
  <c r="AC191" i="24"/>
  <c r="AC197" i="24"/>
  <c r="AC189" i="24"/>
  <c r="AC194" i="24"/>
  <c r="AC188" i="24"/>
  <c r="U184" i="24"/>
  <c r="AE184" i="24"/>
  <c r="S184" i="24"/>
  <c r="AF176" i="24"/>
  <c r="A221" i="24"/>
  <c r="L207" i="24"/>
  <c r="J207" i="24"/>
  <c r="K206" i="24"/>
  <c r="AF170" i="24"/>
  <c r="T173" i="24"/>
  <c r="L203" i="24"/>
  <c r="J203" i="24"/>
  <c r="A217" i="24"/>
  <c r="K203" i="24"/>
  <c r="U190" i="24"/>
  <c r="S190" i="24"/>
  <c r="AE190" i="24"/>
  <c r="J209" i="24"/>
  <c r="A223" i="24"/>
  <c r="Z176" i="24"/>
  <c r="X176" i="24"/>
  <c r="Y176" i="24" s="1"/>
  <c r="Z164" i="24"/>
  <c r="N10" i="24"/>
  <c r="AT66" i="26" a="1"/>
  <c r="AT66" i="26" s="1"/>
  <c r="R65" i="24"/>
  <c r="AU68" i="26" a="1"/>
  <c r="AU68" i="26" s="1"/>
  <c r="AU66" i="26" a="1"/>
  <c r="AU66" i="26" s="1"/>
  <c r="AF136" i="24"/>
  <c r="AF108" i="24"/>
  <c r="Z108" i="24"/>
  <c r="AA80" i="24"/>
  <c r="AB80" i="24" s="1"/>
  <c r="N108" i="24"/>
  <c r="AF94" i="24"/>
  <c r="AE165" i="24"/>
  <c r="U165" i="24"/>
  <c r="Z165" i="24" s="1"/>
  <c r="S165" i="24"/>
  <c r="T165" i="24" s="1"/>
  <c r="AD165" i="24"/>
  <c r="S151" i="24"/>
  <c r="T151" i="24" s="1"/>
  <c r="U151" i="24"/>
  <c r="AE151" i="24"/>
  <c r="AD151" i="24"/>
  <c r="AF150" i="24"/>
  <c r="R107" i="24"/>
  <c r="AF38" i="24"/>
  <c r="AF164" i="24"/>
  <c r="U123" i="24"/>
  <c r="S123" i="24"/>
  <c r="T123" i="24" s="1"/>
  <c r="AE123" i="24"/>
  <c r="AD123" i="24"/>
  <c r="AU65" i="26" a="1"/>
  <c r="AU65" i="26" s="1"/>
  <c r="AU77" i="26" a="1"/>
  <c r="AU77" i="26" s="1"/>
  <c r="AU70" i="26" a="1"/>
  <c r="AU70" i="26" s="1"/>
  <c r="AU75" i="26" a="1"/>
  <c r="AU75" i="26" s="1"/>
  <c r="AU74" i="26" a="1"/>
  <c r="AU74" i="26" s="1"/>
  <c r="AU76" i="26" a="1"/>
  <c r="AU76" i="26" s="1"/>
  <c r="AA136" i="24"/>
  <c r="AB136" i="24" s="1"/>
  <c r="Z136" i="24"/>
  <c r="AF52" i="24"/>
  <c r="AA108" i="24"/>
  <c r="AB108" i="24" s="1"/>
  <c r="N66" i="24"/>
  <c r="AE67" i="24"/>
  <c r="U67" i="24"/>
  <c r="Z67" i="24" s="1"/>
  <c r="S67" i="24"/>
  <c r="T67" i="24" s="1"/>
  <c r="AD67" i="24"/>
  <c r="S39" i="24"/>
  <c r="T39" i="24" s="1"/>
  <c r="U39" i="24"/>
  <c r="AE39" i="24"/>
  <c r="AD39" i="24"/>
  <c r="U25" i="24"/>
  <c r="Z25" i="24" s="1"/>
  <c r="S25" i="24"/>
  <c r="T25" i="24" s="1"/>
  <c r="AE25" i="24"/>
  <c r="AD25" i="24"/>
  <c r="S53" i="24"/>
  <c r="T53" i="24" s="1"/>
  <c r="AE53" i="24"/>
  <c r="U53" i="24"/>
  <c r="AD53" i="24"/>
  <c r="U179" i="24"/>
  <c r="S179" i="24"/>
  <c r="T179" i="24" s="1"/>
  <c r="AE179" i="24"/>
  <c r="AD179" i="24"/>
  <c r="T150" i="24"/>
  <c r="AA38" i="24"/>
  <c r="AB38" i="24" s="1"/>
  <c r="AA164" i="24"/>
  <c r="AB164" i="24" s="1"/>
  <c r="R23" i="24"/>
  <c r="AA94" i="24"/>
  <c r="R94" i="24"/>
  <c r="AE137" i="24"/>
  <c r="U137" i="24"/>
  <c r="S137" i="24"/>
  <c r="T137" i="24" s="1"/>
  <c r="AD137" i="24"/>
  <c r="AA52" i="24"/>
  <c r="Z52" i="24"/>
  <c r="AA150" i="24"/>
  <c r="Z150" i="24"/>
  <c r="AF80" i="24"/>
  <c r="T108" i="24"/>
  <c r="N24" i="24"/>
  <c r="N80" i="24"/>
  <c r="AF24" i="24"/>
  <c r="AE81" i="24"/>
  <c r="U81" i="24"/>
  <c r="S81" i="24"/>
  <c r="T81" i="24" s="1"/>
  <c r="AD81" i="24"/>
  <c r="AE109" i="24"/>
  <c r="U109" i="24"/>
  <c r="S109" i="24"/>
  <c r="T109" i="24" s="1"/>
  <c r="AD109" i="24"/>
  <c r="AF66" i="24"/>
  <c r="AF122" i="24"/>
  <c r="AF178" i="24"/>
  <c r="AU73" i="26" a="1"/>
  <c r="AU73" i="26" s="1"/>
  <c r="AU67" i="26" a="1"/>
  <c r="AU67" i="26" s="1"/>
  <c r="AU69" i="26" a="1"/>
  <c r="AU69" i="26" s="1"/>
  <c r="U95" i="24"/>
  <c r="AE95" i="24"/>
  <c r="S95" i="24"/>
  <c r="T95" i="24" s="1"/>
  <c r="AD95" i="24"/>
  <c r="T122" i="24"/>
  <c r="T178" i="24"/>
  <c r="N38" i="24"/>
  <c r="N94" i="24"/>
  <c r="AA24" i="24"/>
  <c r="AB24" i="24" s="1"/>
  <c r="R24" i="24"/>
  <c r="Z38" i="24"/>
  <c r="AE193" i="24"/>
  <c r="U193" i="24"/>
  <c r="S193" i="24"/>
  <c r="AD193" i="24"/>
  <c r="AA66" i="24"/>
  <c r="AB66" i="24" s="1"/>
  <c r="Z66" i="24"/>
  <c r="AA122" i="24"/>
  <c r="AB122" i="24" s="1"/>
  <c r="T80" i="24"/>
  <c r="AA178" i="24"/>
  <c r="T66" i="24"/>
  <c r="Z122" i="24"/>
  <c r="N52" i="24"/>
  <c r="R79" i="24"/>
  <c r="K40" i="24"/>
  <c r="K12" i="24"/>
  <c r="S12" i="24" s="1"/>
  <c r="AE11" i="24"/>
  <c r="S11" i="24"/>
  <c r="T11" i="24" s="1"/>
  <c r="U11" i="24"/>
  <c r="K68" i="24"/>
  <c r="G13" i="27" a="1"/>
  <c r="G13" i="27" s="1"/>
  <c r="K110" i="24"/>
  <c r="K152" i="24"/>
  <c r="K124" i="24"/>
  <c r="K138" i="24"/>
  <c r="K82" i="24"/>
  <c r="K96" i="24"/>
  <c r="K54" i="24"/>
  <c r="K26" i="24"/>
  <c r="K180" i="24"/>
  <c r="K166" i="24"/>
  <c r="K194" i="24"/>
  <c r="AU71" i="26" a="1"/>
  <c r="AU71" i="26" s="1"/>
  <c r="AU63" i="26" a="1"/>
  <c r="AU63" i="26" s="1"/>
  <c r="AF11" i="24"/>
  <c r="G12" i="27" a="1"/>
  <c r="G12" i="27" s="1"/>
  <c r="R10" i="24"/>
  <c r="G11" i="27" a="1"/>
  <c r="G11" i="27" s="1"/>
  <c r="G10" i="27" a="1"/>
  <c r="G10" i="27" s="1"/>
  <c r="G9" i="27" a="1"/>
  <c r="G9" i="27" s="1"/>
  <c r="A181" i="25"/>
  <c r="A191" i="25"/>
  <c r="A188" i="25"/>
  <c r="A193" i="25"/>
  <c r="A192" i="25"/>
  <c r="A185" i="25"/>
  <c r="A186" i="25"/>
  <c r="A187" i="25"/>
  <c r="A194" i="25"/>
  <c r="A190" i="25"/>
  <c r="A184" i="25"/>
  <c r="A183" i="25"/>
  <c r="A179" i="25"/>
  <c r="A182" i="25"/>
  <c r="A180" i="25"/>
  <c r="A189" i="25"/>
  <c r="AB52" i="24" l="1"/>
  <c r="AN64" i="24"/>
  <c r="AN22" i="24"/>
  <c r="R80" i="24"/>
  <c r="W175" i="24"/>
  <c r="V190" i="24"/>
  <c r="W190" i="24" s="1"/>
  <c r="V188" i="24"/>
  <c r="V189" i="24" s="1"/>
  <c r="W189" i="24" s="1"/>
  <c r="V186" i="24"/>
  <c r="V187" i="24" s="1"/>
  <c r="W187" i="24" s="1"/>
  <c r="AB131" i="24"/>
  <c r="AB132" i="24" s="1"/>
  <c r="X184" i="24"/>
  <c r="Y184" i="24" s="1"/>
  <c r="X185" i="24"/>
  <c r="Y185" i="24" s="1"/>
  <c r="X186" i="24"/>
  <c r="Y186" i="24" s="1"/>
  <c r="X188" i="24"/>
  <c r="Y188" i="24" s="1"/>
  <c r="X187" i="24"/>
  <c r="Y187" i="24" s="1"/>
  <c r="X189" i="24"/>
  <c r="Y189" i="24" s="1"/>
  <c r="G174" i="25"/>
  <c r="AB94" i="24"/>
  <c r="AB150" i="24"/>
  <c r="H187" i="25"/>
  <c r="L124" i="24"/>
  <c r="H183" i="25"/>
  <c r="L68" i="24"/>
  <c r="H180" i="25"/>
  <c r="L26" i="24"/>
  <c r="H184" i="25"/>
  <c r="L82" i="24"/>
  <c r="H191" i="25"/>
  <c r="L180" i="24"/>
  <c r="H188" i="25"/>
  <c r="L138" i="24"/>
  <c r="H193" i="25"/>
  <c r="G177" i="25"/>
  <c r="L208" i="24"/>
  <c r="H179" i="25"/>
  <c r="L12" i="24"/>
  <c r="H189" i="25"/>
  <c r="L152" i="24"/>
  <c r="H186" i="25"/>
  <c r="L110" i="24"/>
  <c r="H185" i="25"/>
  <c r="L96" i="24"/>
  <c r="F179" i="25"/>
  <c r="I179" i="25" s="1"/>
  <c r="F185" i="25"/>
  <c r="I185" i="25" s="1"/>
  <c r="H182" i="25"/>
  <c r="L54" i="24"/>
  <c r="H181" i="25"/>
  <c r="L40" i="24"/>
  <c r="H192" i="25"/>
  <c r="L194" i="24"/>
  <c r="H194" i="25"/>
  <c r="G164" i="25"/>
  <c r="O53" i="24"/>
  <c r="O109" i="24"/>
  <c r="O11" i="24"/>
  <c r="O39" i="24"/>
  <c r="O95" i="24"/>
  <c r="O67" i="24"/>
  <c r="O81" i="24"/>
  <c r="O25" i="24"/>
  <c r="F183" i="25"/>
  <c r="I183" i="25" s="1"/>
  <c r="F192" i="25"/>
  <c r="I192" i="25" s="1"/>
  <c r="F184" i="25"/>
  <c r="I184" i="25" s="1"/>
  <c r="F193" i="25"/>
  <c r="I193" i="25" s="1"/>
  <c r="G167" i="25"/>
  <c r="G175" i="25"/>
  <c r="G170" i="25"/>
  <c r="G163" i="25"/>
  <c r="F186" i="25"/>
  <c r="I186" i="25" s="1"/>
  <c r="F190" i="25"/>
  <c r="I190" i="25" s="1"/>
  <c r="F188" i="25"/>
  <c r="I188" i="25" s="1"/>
  <c r="G165" i="25"/>
  <c r="G173" i="25"/>
  <c r="F182" i="25"/>
  <c r="I182" i="25" s="1"/>
  <c r="F187" i="25"/>
  <c r="I187" i="25" s="1"/>
  <c r="G176" i="25"/>
  <c r="G169" i="25"/>
  <c r="G166" i="25"/>
  <c r="G172" i="25"/>
  <c r="K153" i="24"/>
  <c r="U153" i="24" s="1"/>
  <c r="F189" i="25"/>
  <c r="I189" i="25" s="1"/>
  <c r="F194" i="25"/>
  <c r="I194" i="25" s="1"/>
  <c r="L223" i="24" s="1"/>
  <c r="F191" i="25"/>
  <c r="I191" i="25" s="1"/>
  <c r="F180" i="25"/>
  <c r="I180" i="25" s="1"/>
  <c r="F181" i="25"/>
  <c r="I181" i="25" s="1"/>
  <c r="H190" i="25"/>
  <c r="L166" i="24"/>
  <c r="G178" i="25"/>
  <c r="G171" i="25"/>
  <c r="G168" i="25"/>
  <c r="U207" i="24"/>
  <c r="AA207" i="24" s="1"/>
  <c r="AF192" i="24"/>
  <c r="K222" i="24"/>
  <c r="AO22" i="24" a="1"/>
  <c r="AO22" i="24" s="1"/>
  <c r="R164" i="24"/>
  <c r="AA174" i="24"/>
  <c r="AB174" i="24" s="1"/>
  <c r="AH38" i="24"/>
  <c r="AH52" i="24"/>
  <c r="AH67" i="24"/>
  <c r="AH66" i="24"/>
  <c r="AH108" i="24"/>
  <c r="R173" i="24"/>
  <c r="R171" i="24"/>
  <c r="R174" i="24"/>
  <c r="R170" i="24"/>
  <c r="R176" i="24"/>
  <c r="R172" i="24"/>
  <c r="R178" i="24"/>
  <c r="R175" i="24"/>
  <c r="R177" i="24"/>
  <c r="AF191" i="24"/>
  <c r="AF189" i="24"/>
  <c r="AD207" i="24"/>
  <c r="AE207" i="24"/>
  <c r="S207" i="24"/>
  <c r="T190" i="24"/>
  <c r="T193" i="24"/>
  <c r="X190" i="24"/>
  <c r="Y190" i="24" s="1"/>
  <c r="AA190" i="24"/>
  <c r="AF186" i="24"/>
  <c r="T189" i="24"/>
  <c r="U199" i="24"/>
  <c r="AE199" i="24"/>
  <c r="S199" i="24"/>
  <c r="L220" i="24"/>
  <c r="O150" i="24" s="1"/>
  <c r="J220" i="24"/>
  <c r="AT122" i="24" s="1"/>
  <c r="AT78" i="26" a="1"/>
  <c r="AT78" i="26" s="1"/>
  <c r="K220" i="24"/>
  <c r="AR220" i="24" s="1"/>
  <c r="L221" i="24"/>
  <c r="J221" i="24"/>
  <c r="AP207" i="24" s="1" a="1"/>
  <c r="AP207" i="24" s="1"/>
  <c r="AC200" i="24"/>
  <c r="AC199" i="24"/>
  <c r="AC198" i="24"/>
  <c r="AC210" i="24"/>
  <c r="AC205" i="24"/>
  <c r="AC202" i="24"/>
  <c r="AC203" i="24"/>
  <c r="AC208" i="24"/>
  <c r="AC207" i="24"/>
  <c r="AC206" i="24"/>
  <c r="AC211" i="24"/>
  <c r="AC204" i="24"/>
  <c r="AC209" i="24"/>
  <c r="U198" i="24"/>
  <c r="AE198" i="24"/>
  <c r="S198" i="24"/>
  <c r="AF184" i="24"/>
  <c r="AC201" i="24"/>
  <c r="AE201" i="24"/>
  <c r="S201" i="24"/>
  <c r="U201" i="24"/>
  <c r="U206" i="24"/>
  <c r="AA206" i="24" s="1"/>
  <c r="AE206" i="24"/>
  <c r="S206" i="24"/>
  <c r="L222" i="24"/>
  <c r="J222" i="24"/>
  <c r="AT138" i="24" s="1"/>
  <c r="AF185" i="24"/>
  <c r="AE202" i="24"/>
  <c r="S202" i="24"/>
  <c r="U202" i="24"/>
  <c r="L218" i="24"/>
  <c r="J218" i="24"/>
  <c r="AP204" i="24" s="1" a="1"/>
  <c r="AP204" i="24" s="1"/>
  <c r="AR78" i="26" a="1"/>
  <c r="AR78" i="26" s="1"/>
  <c r="K218" i="24"/>
  <c r="AR204" i="24" s="1"/>
  <c r="J223" i="24"/>
  <c r="T184" i="24"/>
  <c r="T185" i="24"/>
  <c r="T186" i="24"/>
  <c r="T188" i="24"/>
  <c r="T191" i="24"/>
  <c r="AF190" i="24"/>
  <c r="T192" i="24"/>
  <c r="K221" i="24"/>
  <c r="AQ77" i="26" a="1"/>
  <c r="AQ77" i="26" s="1"/>
  <c r="T187" i="24"/>
  <c r="Z191" i="24"/>
  <c r="N221" i="24"/>
  <c r="L217" i="24"/>
  <c r="J217" i="24"/>
  <c r="AP203" i="24" s="1" a="1"/>
  <c r="AP203" i="24" s="1"/>
  <c r="K217" i="24"/>
  <c r="AR217" i="24" s="1"/>
  <c r="AQ78" i="26" a="1"/>
  <c r="AQ78" i="26" s="1"/>
  <c r="Z184" i="24"/>
  <c r="Z185" i="24"/>
  <c r="W184" i="24"/>
  <c r="AA184" i="24"/>
  <c r="AB184" i="24" s="1"/>
  <c r="W185" i="24"/>
  <c r="Z186" i="24"/>
  <c r="Z187" i="24"/>
  <c r="Z188" i="24"/>
  <c r="Z189" i="24"/>
  <c r="Z190" i="24"/>
  <c r="Z192" i="24"/>
  <c r="U205" i="24"/>
  <c r="S205" i="24"/>
  <c r="AE205" i="24"/>
  <c r="AA187" i="24"/>
  <c r="AE203" i="24"/>
  <c r="S203" i="24"/>
  <c r="U203" i="24"/>
  <c r="AD199" i="24"/>
  <c r="AD198" i="24"/>
  <c r="AD200" i="24"/>
  <c r="AD201" i="24"/>
  <c r="AD202" i="24"/>
  <c r="AD203" i="24"/>
  <c r="AD204" i="24"/>
  <c r="AD205" i="24"/>
  <c r="AD206" i="24"/>
  <c r="AF188" i="24"/>
  <c r="J219" i="24"/>
  <c r="AP163" i="24" s="1" a="1"/>
  <c r="AP163" i="24" s="1"/>
  <c r="L219" i="24"/>
  <c r="O149" i="24" s="1"/>
  <c r="N163" i="24"/>
  <c r="K219" i="24"/>
  <c r="AR219" i="24" s="1"/>
  <c r="AF187" i="24"/>
  <c r="AE200" i="24"/>
  <c r="S200" i="24"/>
  <c r="U200" i="24"/>
  <c r="AE204" i="24"/>
  <c r="U204" i="24"/>
  <c r="S204" i="24"/>
  <c r="R52" i="24"/>
  <c r="R108" i="24"/>
  <c r="AU72" i="26" a="1"/>
  <c r="AU72" i="26" s="1"/>
  <c r="R66" i="24"/>
  <c r="AA81" i="24"/>
  <c r="AB81" i="24" s="1"/>
  <c r="Z81" i="24"/>
  <c r="AA137" i="24"/>
  <c r="AB137" i="24" s="1"/>
  <c r="Z137" i="24"/>
  <c r="AF39" i="24"/>
  <c r="AA123" i="24"/>
  <c r="AB123" i="24" s="1"/>
  <c r="Z123" i="24"/>
  <c r="AA151" i="24"/>
  <c r="Z151" i="24"/>
  <c r="U138" i="24"/>
  <c r="S138" i="24"/>
  <c r="T138" i="24" s="1"/>
  <c r="AE138" i="24"/>
  <c r="AD138" i="24"/>
  <c r="U124" i="24"/>
  <c r="AE124" i="24"/>
  <c r="S124" i="24"/>
  <c r="T124" i="24" s="1"/>
  <c r="AD124" i="24"/>
  <c r="AF109" i="24"/>
  <c r="AA179" i="24"/>
  <c r="AB179" i="24" s="1"/>
  <c r="Z179" i="24"/>
  <c r="AU64" i="26" a="1"/>
  <c r="AU64" i="26" s="1"/>
  <c r="N67" i="24"/>
  <c r="AV73" i="26" a="1"/>
  <c r="AV73" i="26" s="1"/>
  <c r="AV67" i="26" a="1"/>
  <c r="AV67" i="26" s="1"/>
  <c r="AV77" i="26" a="1"/>
  <c r="AV77" i="26" s="1"/>
  <c r="S26" i="24"/>
  <c r="T26" i="24" s="1"/>
  <c r="AE26" i="24"/>
  <c r="U26" i="24"/>
  <c r="Z26" i="24" s="1"/>
  <c r="AD26" i="24"/>
  <c r="U152" i="24"/>
  <c r="S152" i="24"/>
  <c r="T152" i="24" s="1"/>
  <c r="AE152" i="24"/>
  <c r="AD152" i="24"/>
  <c r="U40" i="24"/>
  <c r="AE40" i="24"/>
  <c r="S40" i="24"/>
  <c r="T40" i="24" s="1"/>
  <c r="AD40" i="24"/>
  <c r="AF193" i="24"/>
  <c r="AF53" i="24"/>
  <c r="R25" i="24"/>
  <c r="AA25" i="24"/>
  <c r="AB25" i="24" s="1"/>
  <c r="AA39" i="24"/>
  <c r="AB39" i="24" s="1"/>
  <c r="N39" i="24"/>
  <c r="N95" i="24"/>
  <c r="S110" i="24"/>
  <c r="T110" i="24" s="1"/>
  <c r="AE110" i="24"/>
  <c r="U110" i="24"/>
  <c r="AD110" i="24"/>
  <c r="AF95" i="24"/>
  <c r="AA109" i="24"/>
  <c r="AB109" i="24" s="1"/>
  <c r="Z109" i="24"/>
  <c r="R38" i="24"/>
  <c r="AA53" i="24"/>
  <c r="Z53" i="24"/>
  <c r="AF165" i="24"/>
  <c r="AE166" i="24"/>
  <c r="U166" i="24"/>
  <c r="Z166" i="24" s="1"/>
  <c r="S166" i="24"/>
  <c r="T166" i="24" s="1"/>
  <c r="AD166" i="24"/>
  <c r="AV66" i="26" a="1"/>
  <c r="AV66" i="26" s="1"/>
  <c r="AV74" i="26" a="1"/>
  <c r="AV74" i="26" s="1"/>
  <c r="AV69" i="26" a="1"/>
  <c r="AV69" i="26" s="1"/>
  <c r="AV75" i="26" a="1"/>
  <c r="AV75" i="26" s="1"/>
  <c r="N11" i="24"/>
  <c r="Z193" i="24"/>
  <c r="R150" i="24"/>
  <c r="R136" i="24"/>
  <c r="N25" i="24"/>
  <c r="N81" i="24"/>
  <c r="AF123" i="24"/>
  <c r="Z39" i="24"/>
  <c r="S54" i="24"/>
  <c r="T54" i="24" s="1"/>
  <c r="U54" i="24"/>
  <c r="AE54" i="24"/>
  <c r="AD54" i="24"/>
  <c r="R122" i="24"/>
  <c r="AF179" i="24"/>
  <c r="AF67" i="24"/>
  <c r="U180" i="24"/>
  <c r="Z180" i="24" s="1"/>
  <c r="AE180" i="24"/>
  <c r="S180" i="24"/>
  <c r="T180" i="24" s="1"/>
  <c r="AD180" i="24"/>
  <c r="AV64" i="26" a="1"/>
  <c r="AV64" i="26" s="1"/>
  <c r="AV68" i="26" a="1"/>
  <c r="AV68" i="26" s="1"/>
  <c r="AV70" i="26" a="1"/>
  <c r="AV70" i="26" s="1"/>
  <c r="G14" i="27" a="1"/>
  <c r="G14" i="27" s="1"/>
  <c r="K208" i="24"/>
  <c r="S68" i="24"/>
  <c r="T68" i="24" s="1"/>
  <c r="AE68" i="24"/>
  <c r="U68" i="24"/>
  <c r="AD68" i="24"/>
  <c r="AV78" i="26" a="1"/>
  <c r="AV78" i="26" s="1"/>
  <c r="AV76" i="26" a="1"/>
  <c r="AV76" i="26" s="1"/>
  <c r="U12" i="24"/>
  <c r="Z12" i="24" s="1"/>
  <c r="S96" i="24"/>
  <c r="T96" i="24" s="1"/>
  <c r="AE96" i="24"/>
  <c r="U96" i="24"/>
  <c r="AD96" i="24"/>
  <c r="AF81" i="24"/>
  <c r="AF137" i="24"/>
  <c r="N53" i="24"/>
  <c r="AF151" i="24"/>
  <c r="AA165" i="24"/>
  <c r="AB165" i="24" s="1"/>
  <c r="R165" i="24"/>
  <c r="U194" i="24"/>
  <c r="S194" i="24"/>
  <c r="T194" i="24" s="1"/>
  <c r="AE194" i="24"/>
  <c r="AD194" i="24"/>
  <c r="U82" i="24"/>
  <c r="AE82" i="24"/>
  <c r="S82" i="24"/>
  <c r="T82" i="24" s="1"/>
  <c r="AD82" i="24"/>
  <c r="AA95" i="24"/>
  <c r="AB95" i="24" s="1"/>
  <c r="Z95" i="24"/>
  <c r="AF25" i="24"/>
  <c r="R67" i="24"/>
  <c r="AA67" i="24"/>
  <c r="AB67" i="24" s="1"/>
  <c r="N109" i="24"/>
  <c r="K214" i="24"/>
  <c r="AR214" i="24" s="1"/>
  <c r="J214" i="24"/>
  <c r="L214" i="24"/>
  <c r="Q214" i="24" s="1"/>
  <c r="P214" i="24"/>
  <c r="P212" i="24"/>
  <c r="K212" i="24"/>
  <c r="J212" i="24"/>
  <c r="L215" i="24"/>
  <c r="Q215" i="24" s="1"/>
  <c r="P215" i="24"/>
  <c r="K215" i="24"/>
  <c r="AR215" i="24" s="1"/>
  <c r="J215" i="24"/>
  <c r="K213" i="24"/>
  <c r="AR213" i="24" s="1"/>
  <c r="L213" i="24"/>
  <c r="Q213" i="24" s="1"/>
  <c r="J213" i="24"/>
  <c r="P188" i="24"/>
  <c r="L216" i="24"/>
  <c r="K216" i="24"/>
  <c r="AR216" i="24" s="1"/>
  <c r="J216" i="24"/>
  <c r="G6" i="27" a="1"/>
  <c r="G6" i="27" s="1"/>
  <c r="G5" i="27" a="1"/>
  <c r="G5" i="27" s="1"/>
  <c r="G8" i="27" a="1"/>
  <c r="G8" i="27" s="1"/>
  <c r="G7" i="27" a="1"/>
  <c r="G7" i="27" s="1"/>
  <c r="K13" i="24"/>
  <c r="AD13" i="24" s="1"/>
  <c r="K27" i="24"/>
  <c r="K55" i="24"/>
  <c r="K167" i="24"/>
  <c r="K97" i="24"/>
  <c r="K181" i="24"/>
  <c r="K223" i="24"/>
  <c r="K195" i="24"/>
  <c r="K41" i="24"/>
  <c r="K69" i="24"/>
  <c r="K125" i="24"/>
  <c r="K209" i="24"/>
  <c r="K83" i="24"/>
  <c r="K111" i="24"/>
  <c r="K139" i="24"/>
  <c r="Z11" i="24"/>
  <c r="AE12" i="24"/>
  <c r="AD12" i="24"/>
  <c r="AF12" i="24" s="1"/>
  <c r="AA11" i="24"/>
  <c r="AB11" i="24" s="1"/>
  <c r="T12" i="24"/>
  <c r="AV71" i="26" a="1"/>
  <c r="AV71" i="26" s="1"/>
  <c r="AV63" i="26" a="1"/>
  <c r="AV63" i="26" s="1"/>
  <c r="G4" i="27" a="1"/>
  <c r="G4" i="27" s="1"/>
  <c r="C12" i="27" a="1"/>
  <c r="C12" i="27" s="1"/>
  <c r="C11" i="27" a="1"/>
  <c r="C11" i="27" s="1"/>
  <c r="C10" i="27" a="1"/>
  <c r="C10" i="27" s="1"/>
  <c r="N2" i="24"/>
  <c r="N7" i="24"/>
  <c r="N4" i="24"/>
  <c r="N6" i="24"/>
  <c r="N5" i="24"/>
  <c r="A205" i="25"/>
  <c r="A200" i="25"/>
  <c r="A204" i="25"/>
  <c r="A203" i="25"/>
  <c r="A195" i="25"/>
  <c r="A208" i="25"/>
  <c r="A196" i="25"/>
  <c r="A206" i="25"/>
  <c r="A207" i="25"/>
  <c r="A202" i="25"/>
  <c r="A199" i="25"/>
  <c r="A209" i="25"/>
  <c r="A198" i="25"/>
  <c r="A210" i="25"/>
  <c r="A197" i="25"/>
  <c r="A201" i="25"/>
  <c r="AT2" i="24"/>
  <c r="F8" i="27" a="1"/>
  <c r="F8" i="27" s="1"/>
  <c r="F7" i="27" a="1"/>
  <c r="F7" i="27" s="1"/>
  <c r="F6" i="27" a="1"/>
  <c r="F6" i="27" s="1"/>
  <c r="AL132" i="1"/>
  <c r="AL114" i="1"/>
  <c r="AL121" i="1"/>
  <c r="AL103" i="1"/>
  <c r="AL129" i="1"/>
  <c r="AL111" i="1"/>
  <c r="AL126" i="1"/>
  <c r="AL108" i="1"/>
  <c r="AL116" i="1"/>
  <c r="AL134" i="1"/>
  <c r="AL131" i="1"/>
  <c r="AL113" i="1"/>
  <c r="AL124" i="1"/>
  <c r="AL106" i="1"/>
  <c r="AL123" i="1"/>
  <c r="AL105" i="1"/>
  <c r="AL102" i="1"/>
  <c r="AL120" i="1"/>
  <c r="AL128" i="1"/>
  <c r="AL110" i="1"/>
  <c r="AL109" i="1"/>
  <c r="AL127" i="1"/>
  <c r="AL125" i="1"/>
  <c r="AL107" i="1"/>
  <c r="AL133" i="1"/>
  <c r="AL115" i="1"/>
  <c r="AL119" i="1"/>
  <c r="AL101" i="1"/>
  <c r="AL122" i="1"/>
  <c r="AL104" i="1"/>
  <c r="AL130" i="1"/>
  <c r="AL112" i="1"/>
  <c r="B87" i="6"/>
  <c r="B95" i="6"/>
  <c r="B92" i="6"/>
  <c r="B100" i="6"/>
  <c r="B97" i="6"/>
  <c r="B94" i="6"/>
  <c r="B102" i="6"/>
  <c r="B91" i="6"/>
  <c r="B99" i="6"/>
  <c r="B96" i="6"/>
  <c r="B88" i="6"/>
  <c r="B93" i="6"/>
  <c r="B101" i="6"/>
  <c r="B89" i="6"/>
  <c r="B90" i="6"/>
  <c r="B98" i="6"/>
  <c r="AB53" i="24" l="1"/>
  <c r="AB151" i="24"/>
  <c r="W186" i="24"/>
  <c r="V201" i="24"/>
  <c r="V202" i="24" s="1"/>
  <c r="W202" i="24" s="1"/>
  <c r="V200" i="24"/>
  <c r="W200" i="24" s="1"/>
  <c r="V203" i="24"/>
  <c r="V204" i="24" s="1"/>
  <c r="W204" i="24" s="1"/>
  <c r="W188" i="24"/>
  <c r="X199" i="24"/>
  <c r="Y199" i="24" s="1"/>
  <c r="X198" i="24"/>
  <c r="Y198" i="24" s="1"/>
  <c r="X200" i="24"/>
  <c r="Y200" i="24" s="1"/>
  <c r="X201" i="24"/>
  <c r="Y201" i="24" s="1"/>
  <c r="X203" i="24"/>
  <c r="Y203" i="24" s="1"/>
  <c r="X202" i="24"/>
  <c r="Y202" i="24" s="1"/>
  <c r="AA185" i="24"/>
  <c r="AA186" i="24" s="1"/>
  <c r="AB186" i="24" s="1"/>
  <c r="AB187" i="24" s="1"/>
  <c r="G192" i="25"/>
  <c r="AP161" i="24" a="1"/>
  <c r="AP161" i="24" s="1"/>
  <c r="H209" i="25"/>
  <c r="L209" i="24"/>
  <c r="H200" i="25"/>
  <c r="L83" i="24"/>
  <c r="H207" i="25"/>
  <c r="L181" i="24"/>
  <c r="H206" i="25"/>
  <c r="L167" i="24"/>
  <c r="H195" i="25"/>
  <c r="L13" i="24"/>
  <c r="H202" i="25"/>
  <c r="L111" i="24"/>
  <c r="H203" i="25"/>
  <c r="L125" i="24"/>
  <c r="H198" i="25"/>
  <c r="L55" i="24"/>
  <c r="H201" i="25"/>
  <c r="L97" i="24"/>
  <c r="H196" i="25"/>
  <c r="L27" i="24"/>
  <c r="H208" i="25"/>
  <c r="L195" i="24"/>
  <c r="G184" i="25"/>
  <c r="AD153" i="24"/>
  <c r="AF153" i="24" s="1"/>
  <c r="G181" i="25"/>
  <c r="G185" i="25"/>
  <c r="A215" i="25"/>
  <c r="F199" i="25"/>
  <c r="I199" i="25" s="1"/>
  <c r="S153" i="24"/>
  <c r="T153" i="24" s="1"/>
  <c r="H204" i="25"/>
  <c r="L139" i="24"/>
  <c r="H199" i="25"/>
  <c r="L69" i="24"/>
  <c r="G193" i="25"/>
  <c r="G180" i="25"/>
  <c r="A223" i="25"/>
  <c r="F207" i="25"/>
  <c r="I207" i="25" s="1"/>
  <c r="A220" i="25"/>
  <c r="F204" i="25"/>
  <c r="I204" i="25" s="1"/>
  <c r="AE153" i="24"/>
  <c r="H210" i="25"/>
  <c r="G182" i="25"/>
  <c r="G186" i="25"/>
  <c r="A218" i="25"/>
  <c r="F202" i="25"/>
  <c r="I202" i="25" s="1"/>
  <c r="A219" i="25"/>
  <c r="F203" i="25"/>
  <c r="I203" i="25" s="1"/>
  <c r="G190" i="25"/>
  <c r="G188" i="25"/>
  <c r="G183" i="25"/>
  <c r="G179" i="25"/>
  <c r="F201" i="25"/>
  <c r="I201" i="25" s="1"/>
  <c r="A222" i="25"/>
  <c r="F206" i="25"/>
  <c r="I206" i="25" s="1"/>
  <c r="A216" i="25"/>
  <c r="F200" i="25"/>
  <c r="I200" i="25" s="1"/>
  <c r="F197" i="25"/>
  <c r="I197" i="25" s="1"/>
  <c r="F196" i="25"/>
  <c r="I196" i="25" s="1"/>
  <c r="A221" i="25"/>
  <c r="F205" i="25"/>
  <c r="I205" i="25" s="1"/>
  <c r="H197" i="25"/>
  <c r="L41" i="24"/>
  <c r="H205" i="25"/>
  <c r="L153" i="24"/>
  <c r="G194" i="25"/>
  <c r="G189" i="25"/>
  <c r="A214" i="25"/>
  <c r="F198" i="25"/>
  <c r="I198" i="25" s="1"/>
  <c r="A225" i="25"/>
  <c r="F209" i="25"/>
  <c r="I209" i="25" s="1"/>
  <c r="A211" i="25"/>
  <c r="F195" i="25"/>
  <c r="I195" i="25" s="1"/>
  <c r="A226" i="25"/>
  <c r="F210" i="25"/>
  <c r="I210" i="25" s="1"/>
  <c r="A224" i="25"/>
  <c r="F208" i="25"/>
  <c r="I208" i="25" s="1"/>
  <c r="O12" i="24"/>
  <c r="O96" i="24"/>
  <c r="O68" i="24"/>
  <c r="O110" i="24"/>
  <c r="O82" i="24"/>
  <c r="G191" i="25"/>
  <c r="G187" i="25"/>
  <c r="AP193" i="24" a="1"/>
  <c r="AP193" i="24" s="1"/>
  <c r="AT221" i="24"/>
  <c r="K98" i="24"/>
  <c r="S98" i="24" s="1"/>
  <c r="A217" i="25"/>
  <c r="K42" i="24"/>
  <c r="U42" i="24" s="1"/>
  <c r="A213" i="25"/>
  <c r="K28" i="24"/>
  <c r="AE28" i="24" s="1"/>
  <c r="A212" i="25"/>
  <c r="J16" i="27" s="1" a="1"/>
  <c r="J16" i="27" s="1"/>
  <c r="E112" i="24" a="1"/>
  <c r="E112" i="24" s="1"/>
  <c r="F112" i="24" s="1"/>
  <c r="E13" i="24" a="1"/>
  <c r="E13" i="24" s="1"/>
  <c r="E9" i="24" a="1"/>
  <c r="E9" i="24" s="1"/>
  <c r="E15" i="24" a="1"/>
  <c r="E15" i="24" s="1"/>
  <c r="E12" i="24" a="1"/>
  <c r="E12" i="24" s="1"/>
  <c r="E11" i="24" a="1"/>
  <c r="E11" i="24" s="1"/>
  <c r="E10" i="24" a="1"/>
  <c r="E10" i="24" s="1"/>
  <c r="E8" i="24" a="1"/>
  <c r="E8" i="24" s="1"/>
  <c r="E37" i="24" a="1"/>
  <c r="E37" i="24" s="1"/>
  <c r="E109" i="24" a="1"/>
  <c r="E109" i="24" s="1"/>
  <c r="E154" i="24" a="1"/>
  <c r="E154" i="24" s="1"/>
  <c r="F154" i="24" s="1"/>
  <c r="E80" i="24" a="1"/>
  <c r="E80" i="24" s="1"/>
  <c r="E209" i="24" a="1"/>
  <c r="E209" i="24" s="1"/>
  <c r="E191" i="24" a="1"/>
  <c r="E191" i="24" s="1"/>
  <c r="E84" i="24" a="1"/>
  <c r="E84" i="24" s="1"/>
  <c r="F84" i="24" s="1"/>
  <c r="E168" i="24" a="1"/>
  <c r="E168" i="24" s="1"/>
  <c r="F168" i="24" s="1"/>
  <c r="E97" i="24" a="1"/>
  <c r="E97" i="24" s="1"/>
  <c r="E163" i="24" a="1"/>
  <c r="E163" i="24" s="1"/>
  <c r="E79" i="24" a="1"/>
  <c r="E79" i="24" s="1"/>
  <c r="E123" i="24" a="1"/>
  <c r="E123" i="24" s="1"/>
  <c r="E94" i="24" a="1"/>
  <c r="E94" i="24" s="1"/>
  <c r="E178" i="24" a="1"/>
  <c r="E178" i="24" s="1"/>
  <c r="E42" i="24" a="1"/>
  <c r="E42" i="24" s="1"/>
  <c r="F42" i="24" s="1"/>
  <c r="E52" i="24" a="1"/>
  <c r="E52" i="24" s="1"/>
  <c r="E179" i="24" a="1"/>
  <c r="E179" i="24" s="1"/>
  <c r="E70" i="24" a="1"/>
  <c r="E70" i="24" s="1"/>
  <c r="F70" i="24" s="1"/>
  <c r="E206" i="24" a="1"/>
  <c r="E206" i="24" s="1"/>
  <c r="E53" i="24" a="1"/>
  <c r="E53" i="24" s="1"/>
  <c r="E29" i="24" a="1"/>
  <c r="E29" i="24" s="1"/>
  <c r="E39" i="24" a="1"/>
  <c r="E39" i="24" s="1"/>
  <c r="E135" i="24" a="1"/>
  <c r="E135" i="24" s="1"/>
  <c r="E83" i="24" a="1"/>
  <c r="E83" i="24" s="1"/>
  <c r="E93" i="24" a="1"/>
  <c r="E93" i="24" s="1"/>
  <c r="E210" i="24" a="1"/>
  <c r="E210" i="24" s="1"/>
  <c r="F210" i="24" s="1"/>
  <c r="E177" i="24" a="1"/>
  <c r="E177" i="24" s="1"/>
  <c r="E207" i="24" a="1"/>
  <c r="E207" i="24" s="1"/>
  <c r="E167" i="24" a="1"/>
  <c r="E167" i="24" s="1"/>
  <c r="E165" i="24" a="1"/>
  <c r="E165" i="24" s="1"/>
  <c r="E153" i="24" a="1"/>
  <c r="E153" i="24" s="1"/>
  <c r="E195" i="24" a="1"/>
  <c r="E195" i="24" s="1"/>
  <c r="E38" i="24" a="1"/>
  <c r="E38" i="24" s="1"/>
  <c r="E196" i="24" a="1"/>
  <c r="E196" i="24" s="1"/>
  <c r="F196" i="24" s="1"/>
  <c r="E25" i="24" a="1"/>
  <c r="E25" i="24" s="1"/>
  <c r="E155" i="24" a="1"/>
  <c r="E155" i="24" s="1"/>
  <c r="E122" i="24" a="1"/>
  <c r="E122" i="24" s="1"/>
  <c r="E95" i="24" a="1"/>
  <c r="E95" i="24" s="1"/>
  <c r="E24" i="24" a="1"/>
  <c r="E24" i="24" s="1"/>
  <c r="E124" i="24" a="1"/>
  <c r="E124" i="24" s="1"/>
  <c r="E180" i="24" a="1"/>
  <c r="E180" i="24" s="1"/>
  <c r="E27" i="24" a="1"/>
  <c r="E27" i="24" s="1"/>
  <c r="E164" i="24" a="1"/>
  <c r="E164" i="24" s="1"/>
  <c r="E139" i="24" a="1"/>
  <c r="E139" i="24" s="1"/>
  <c r="E110" i="24" a="1"/>
  <c r="E110" i="24" s="1"/>
  <c r="E222" i="24" a="1"/>
  <c r="E222" i="24" s="1"/>
  <c r="E219" i="24" a="1"/>
  <c r="E219" i="24" s="1"/>
  <c r="E126" i="24" a="1"/>
  <c r="E126" i="24" s="1"/>
  <c r="F126" i="24" s="1"/>
  <c r="E56" i="24" a="1"/>
  <c r="E56" i="24" s="1"/>
  <c r="F56" i="24" s="1"/>
  <c r="E107" i="24" a="1"/>
  <c r="E107" i="24" s="1"/>
  <c r="E40" i="24" a="1"/>
  <c r="E40" i="24" s="1"/>
  <c r="E55" i="24" a="1"/>
  <c r="E55" i="24" s="1"/>
  <c r="E41" i="24" a="1"/>
  <c r="E41" i="24" s="1"/>
  <c r="E208" i="24" a="1"/>
  <c r="E208" i="24" s="1"/>
  <c r="E223" i="24" a="1"/>
  <c r="E223" i="24" s="1"/>
  <c r="E220" i="24" a="1"/>
  <c r="E220" i="24" s="1"/>
  <c r="E151" i="24" a="1"/>
  <c r="E151" i="24" s="1"/>
  <c r="E67" i="24" a="1"/>
  <c r="E67" i="24" s="1"/>
  <c r="E136" i="24" a="1"/>
  <c r="E136" i="24" s="1"/>
  <c r="E125" i="24" a="1"/>
  <c r="E125" i="24" s="1"/>
  <c r="E51" i="24" a="1"/>
  <c r="E51" i="24" s="1"/>
  <c r="E65" i="24" a="1"/>
  <c r="E65" i="24" s="1"/>
  <c r="E108" i="24" a="1"/>
  <c r="E108" i="24" s="1"/>
  <c r="E137" i="24" a="1"/>
  <c r="E137" i="24" s="1"/>
  <c r="E66" i="24" a="1"/>
  <c r="E66" i="24" s="1"/>
  <c r="E98" i="24" a="1"/>
  <c r="E98" i="24" s="1"/>
  <c r="F98" i="24" s="1"/>
  <c r="E193" i="24" a="1"/>
  <c r="E193" i="24" s="1"/>
  <c r="E111" i="24" a="1"/>
  <c r="E111" i="24" s="1"/>
  <c r="E26" i="24" a="1"/>
  <c r="E26" i="24" s="1"/>
  <c r="E14" i="24" a="1"/>
  <c r="E14" i="24" s="1"/>
  <c r="F14" i="24" s="1"/>
  <c r="E149" i="24" a="1"/>
  <c r="E149" i="24" s="1"/>
  <c r="E194" i="24" a="1"/>
  <c r="E194" i="24" s="1"/>
  <c r="E192" i="24" a="1"/>
  <c r="E192" i="24" s="1"/>
  <c r="E23" i="24" a="1"/>
  <c r="E23" i="24" s="1"/>
  <c r="E28" i="24" a="1"/>
  <c r="E28" i="24" s="1"/>
  <c r="F28" i="24" s="1"/>
  <c r="E140" i="24" a="1"/>
  <c r="E140" i="24" s="1"/>
  <c r="F140" i="24" s="1"/>
  <c r="E138" i="24" a="1"/>
  <c r="E138" i="24" s="1"/>
  <c r="E82" i="24" a="1"/>
  <c r="E82" i="24" s="1"/>
  <c r="E150" i="24" a="1"/>
  <c r="E150" i="24" s="1"/>
  <c r="E182" i="24" a="1"/>
  <c r="E182" i="24" s="1"/>
  <c r="F182" i="24" s="1"/>
  <c r="E96" i="24" a="1"/>
  <c r="E96" i="24" s="1"/>
  <c r="E152" i="24" a="1"/>
  <c r="E152" i="24" s="1"/>
  <c r="E224" i="24" a="1"/>
  <c r="E224" i="24" s="1"/>
  <c r="F224" i="24" s="1"/>
  <c r="E68" i="24" a="1"/>
  <c r="E68" i="24" s="1"/>
  <c r="E181" i="24" a="1"/>
  <c r="E181" i="24" s="1"/>
  <c r="E205" i="24" a="1"/>
  <c r="E205" i="24" s="1"/>
  <c r="E166" i="24" a="1"/>
  <c r="E166" i="24" s="1"/>
  <c r="E81" i="24" a="1"/>
  <c r="E81" i="24" s="1"/>
  <c r="E54" i="24" a="1"/>
  <c r="E54" i="24" s="1"/>
  <c r="E69" i="24" a="1"/>
  <c r="E69" i="24" s="1"/>
  <c r="E221" i="24" a="1"/>
  <c r="E221" i="24" s="1"/>
  <c r="E121" i="24" a="1"/>
  <c r="E121" i="24" s="1"/>
  <c r="K197" i="24"/>
  <c r="K15" i="24"/>
  <c r="K155" i="24"/>
  <c r="AR40" i="24"/>
  <c r="AT223" i="24"/>
  <c r="AR80" i="24"/>
  <c r="AP150" i="24" a="1"/>
  <c r="AP150" i="24" s="1"/>
  <c r="AS78" i="26" a="1"/>
  <c r="AS78" i="26" s="1"/>
  <c r="AT123" i="24"/>
  <c r="AT151" i="24"/>
  <c r="AF207" i="24"/>
  <c r="AR164" i="24"/>
  <c r="AP153" i="24" a="1"/>
  <c r="AP153" i="24" s="1"/>
  <c r="AR52" i="24"/>
  <c r="AA175" i="24"/>
  <c r="AP209" i="24" a="1"/>
  <c r="AP209" i="24" s="1"/>
  <c r="AR122" i="24"/>
  <c r="AR38" i="24"/>
  <c r="AR108" i="24"/>
  <c r="AP195" i="24" a="1"/>
  <c r="AP195" i="24" s="1"/>
  <c r="AR94" i="24"/>
  <c r="AP139" i="24" a="1"/>
  <c r="AP139" i="24" s="1"/>
  <c r="AP167" i="24" a="1"/>
  <c r="AP167" i="24" s="1"/>
  <c r="AR192" i="24"/>
  <c r="AR134" i="24"/>
  <c r="AR50" i="24"/>
  <c r="AH95" i="24"/>
  <c r="AH81" i="24"/>
  <c r="AH109" i="24"/>
  <c r="AH11" i="24"/>
  <c r="AH12" i="24"/>
  <c r="AH39" i="24"/>
  <c r="AH26" i="24"/>
  <c r="AH53" i="24"/>
  <c r="AR150" i="24"/>
  <c r="P95" i="24"/>
  <c r="AF200" i="24"/>
  <c r="AR64" i="24"/>
  <c r="AR78" i="24"/>
  <c r="AR106" i="24"/>
  <c r="AR148" i="24"/>
  <c r="AR162" i="24"/>
  <c r="AR120" i="24"/>
  <c r="AR22" i="24"/>
  <c r="AR176" i="24"/>
  <c r="AR36" i="24"/>
  <c r="O164" i="24"/>
  <c r="AR92" i="24"/>
  <c r="P7" i="24"/>
  <c r="AA200" i="24"/>
  <c r="P221" i="24"/>
  <c r="AL80" i="24" a="1"/>
  <c r="AL80" i="24" s="1"/>
  <c r="AK80" i="24" a="1"/>
  <c r="AK80" i="24" s="1"/>
  <c r="AL52" i="24" a="1"/>
  <c r="AL52" i="24" s="1"/>
  <c r="AR24" i="24"/>
  <c r="AL94" i="24" a="1"/>
  <c r="AL94" i="24" s="1"/>
  <c r="AK94" i="24" a="1"/>
  <c r="AK94" i="24" s="1"/>
  <c r="AL10" i="24" a="1"/>
  <c r="AL10" i="24" s="1"/>
  <c r="AK24" i="24" a="1"/>
  <c r="AK24" i="24" s="1"/>
  <c r="AK52" i="24" a="1"/>
  <c r="AK52" i="24" s="1"/>
  <c r="AL108" i="24" a="1"/>
  <c r="AL108" i="24" s="1"/>
  <c r="AK38" i="24" a="1"/>
  <c r="AK38" i="24" s="1"/>
  <c r="AK66" i="24" a="1"/>
  <c r="AK66" i="24" s="1"/>
  <c r="O179" i="24"/>
  <c r="AR66" i="24"/>
  <c r="AL66" i="24" a="1"/>
  <c r="AL66" i="24" s="1"/>
  <c r="AK108" i="24" a="1"/>
  <c r="AK108" i="24" s="1"/>
  <c r="AL24" i="24" a="1"/>
  <c r="AL24" i="24" s="1"/>
  <c r="AK10" i="24" a="1"/>
  <c r="AK10" i="24" s="1"/>
  <c r="AL38" i="24" a="1"/>
  <c r="AL38" i="24" s="1"/>
  <c r="R189" i="24"/>
  <c r="R188" i="24"/>
  <c r="R185" i="24"/>
  <c r="R179" i="24"/>
  <c r="R187" i="24"/>
  <c r="R184" i="24"/>
  <c r="R137" i="24"/>
  <c r="R192" i="24"/>
  <c r="R186" i="24"/>
  <c r="R190" i="24"/>
  <c r="R191" i="24"/>
  <c r="AF202" i="24"/>
  <c r="AP110" i="24" a="1"/>
  <c r="AP110" i="24" s="1"/>
  <c r="P109" i="24"/>
  <c r="AA191" i="24"/>
  <c r="N193" i="24"/>
  <c r="P25" i="24"/>
  <c r="N179" i="24"/>
  <c r="N165" i="24"/>
  <c r="N151" i="24"/>
  <c r="P151" i="24"/>
  <c r="N123" i="24"/>
  <c r="P207" i="24"/>
  <c r="N207" i="24"/>
  <c r="P179" i="24"/>
  <c r="P11" i="24"/>
  <c r="P165" i="24"/>
  <c r="P137" i="24"/>
  <c r="AT119" i="24"/>
  <c r="AU78" i="26" a="1"/>
  <c r="AU78" i="26" s="1"/>
  <c r="P53" i="24"/>
  <c r="P81" i="24"/>
  <c r="P39" i="24"/>
  <c r="P123" i="24"/>
  <c r="P193" i="24"/>
  <c r="N137" i="24"/>
  <c r="P67" i="24"/>
  <c r="AR206" i="24"/>
  <c r="AR136" i="24"/>
  <c r="AR178" i="24"/>
  <c r="AE222" i="24"/>
  <c r="AP166" i="24" a="1"/>
  <c r="AP166" i="24" s="1"/>
  <c r="AF199" i="24"/>
  <c r="AP206" i="24" a="1"/>
  <c r="AP206" i="24" s="1"/>
  <c r="AP180" i="24" a="1"/>
  <c r="AP180" i="24" s="1"/>
  <c r="S222" i="24"/>
  <c r="AP124" i="24" a="1"/>
  <c r="AP124" i="24" s="1"/>
  <c r="AF198" i="24"/>
  <c r="U222" i="24"/>
  <c r="AT166" i="24"/>
  <c r="AP178" i="24" a="1"/>
  <c r="AP178" i="24" s="1"/>
  <c r="AP194" i="24" a="1"/>
  <c r="AP194" i="24" s="1"/>
  <c r="AT194" i="24"/>
  <c r="AP164" i="24" a="1"/>
  <c r="AP164" i="24" s="1"/>
  <c r="AT124" i="24"/>
  <c r="AP208" i="24" a="1"/>
  <c r="AP208" i="24" s="1"/>
  <c r="AF201" i="24"/>
  <c r="P119" i="24"/>
  <c r="N133" i="24"/>
  <c r="P35" i="24"/>
  <c r="N205" i="24"/>
  <c r="P147" i="24"/>
  <c r="AP177" i="24" a="1"/>
  <c r="AP177" i="24" s="1"/>
  <c r="P37" i="24"/>
  <c r="AT149" i="24"/>
  <c r="AR189" i="24"/>
  <c r="N135" i="24"/>
  <c r="AA188" i="24"/>
  <c r="N147" i="24"/>
  <c r="AP133" i="24" a="1"/>
  <c r="AP133" i="24" s="1"/>
  <c r="X204" i="24"/>
  <c r="Y204" i="24" s="1"/>
  <c r="AP191" i="24" a="1"/>
  <c r="AP191" i="24" s="1"/>
  <c r="AP107" i="24" a="1"/>
  <c r="AP107" i="24" s="1"/>
  <c r="N219" i="24"/>
  <c r="P79" i="24"/>
  <c r="N177" i="24"/>
  <c r="P63" i="24"/>
  <c r="P49" i="24"/>
  <c r="N175" i="24"/>
  <c r="AR151" i="24"/>
  <c r="AR67" i="24"/>
  <c r="AR109" i="24"/>
  <c r="AR193" i="24"/>
  <c r="AR179" i="24"/>
  <c r="AR95" i="24"/>
  <c r="AR221" i="24"/>
  <c r="AR137" i="24"/>
  <c r="AR81" i="24"/>
  <c r="AR53" i="24"/>
  <c r="AR165" i="24"/>
  <c r="AR39" i="24"/>
  <c r="AR123" i="24"/>
  <c r="AR25" i="24"/>
  <c r="AR207" i="24"/>
  <c r="AR37" i="24"/>
  <c r="AR107" i="24"/>
  <c r="AR91" i="24"/>
  <c r="AR175" i="24"/>
  <c r="AP218" i="24" a="1"/>
  <c r="AP218" i="24" s="1"/>
  <c r="S218" i="24"/>
  <c r="AE218" i="24"/>
  <c r="U218" i="24"/>
  <c r="AT120" i="24"/>
  <c r="AP176" i="24" a="1"/>
  <c r="AP176" i="24" s="1"/>
  <c r="AT148" i="24"/>
  <c r="AP162" i="24" a="1"/>
  <c r="AP162" i="24" s="1"/>
  <c r="AT162" i="24"/>
  <c r="AT218" i="24"/>
  <c r="AT190" i="24"/>
  <c r="AP190" i="24" a="1"/>
  <c r="AP190" i="24" s="1"/>
  <c r="AP120" i="24" a="1"/>
  <c r="AP120" i="24" s="1"/>
  <c r="AP134" i="24" a="1"/>
  <c r="AP134" i="24" s="1"/>
  <c r="AT147" i="24"/>
  <c r="AP181" i="24" a="1"/>
  <c r="AP181" i="24" s="1"/>
  <c r="AT135" i="24"/>
  <c r="AP219" i="24" a="1"/>
  <c r="AP219" i="24" s="1"/>
  <c r="U219" i="24"/>
  <c r="AE219" i="24"/>
  <c r="S219" i="24"/>
  <c r="AT121" i="24"/>
  <c r="N121" i="24"/>
  <c r="P107" i="24"/>
  <c r="P135" i="24"/>
  <c r="P105" i="24"/>
  <c r="P203" i="24"/>
  <c r="P175" i="24"/>
  <c r="AR65" i="24"/>
  <c r="AR163" i="24"/>
  <c r="AR105" i="24"/>
  <c r="AR35" i="24"/>
  <c r="O190" i="24"/>
  <c r="AF206" i="24"/>
  <c r="P38" i="24"/>
  <c r="N136" i="24"/>
  <c r="P136" i="24"/>
  <c r="P108" i="24"/>
  <c r="N220" i="24"/>
  <c r="P192" i="24"/>
  <c r="P220" i="24"/>
  <c r="N206" i="24"/>
  <c r="P52" i="24"/>
  <c r="P178" i="24"/>
  <c r="N192" i="24"/>
  <c r="P122" i="24"/>
  <c r="P24" i="24"/>
  <c r="P94" i="24"/>
  <c r="P164" i="24"/>
  <c r="N178" i="24"/>
  <c r="P206" i="24"/>
  <c r="P80" i="24"/>
  <c r="N164" i="24"/>
  <c r="P150" i="24"/>
  <c r="N150" i="24"/>
  <c r="N122" i="24"/>
  <c r="P66" i="24"/>
  <c r="O147" i="24"/>
  <c r="AP149" i="24" a="1"/>
  <c r="AP149" i="24" s="1"/>
  <c r="AP217" i="24" a="1"/>
  <c r="AP217" i="24" s="1"/>
  <c r="S217" i="24"/>
  <c r="U217" i="24"/>
  <c r="AE217" i="24"/>
  <c r="P149" i="24"/>
  <c r="P177" i="24"/>
  <c r="P219" i="24"/>
  <c r="N119" i="24"/>
  <c r="P161" i="24"/>
  <c r="N161" i="24"/>
  <c r="AT133" i="24"/>
  <c r="AR121" i="24"/>
  <c r="AR205" i="24"/>
  <c r="AR147" i="24"/>
  <c r="AR77" i="24"/>
  <c r="O120" i="24"/>
  <c r="AP220" i="24" a="1"/>
  <c r="AP220" i="24" s="1"/>
  <c r="U220" i="24"/>
  <c r="AE220" i="24"/>
  <c r="S220" i="24"/>
  <c r="AP192" i="24" a="1"/>
  <c r="AP192" i="24" s="1"/>
  <c r="AP136" i="24" a="1"/>
  <c r="AP136" i="24" s="1"/>
  <c r="Z207" i="24"/>
  <c r="AP135" i="24" a="1"/>
  <c r="AP135" i="24" s="1"/>
  <c r="AT219" i="24"/>
  <c r="AP175" i="24" a="1"/>
  <c r="AP175" i="24" s="1"/>
  <c r="P93" i="24"/>
  <c r="N149" i="24"/>
  <c r="N191" i="24"/>
  <c r="P133" i="24"/>
  <c r="N189" i="24"/>
  <c r="P21" i="24"/>
  <c r="AR177" i="24"/>
  <c r="AR93" i="24"/>
  <c r="AR63" i="24"/>
  <c r="AR133" i="24"/>
  <c r="AA202" i="24"/>
  <c r="AP222" i="24" a="1"/>
  <c r="AP222" i="24" s="1"/>
  <c r="O162" i="24"/>
  <c r="T199" i="24"/>
  <c r="T198" i="24"/>
  <c r="T200" i="24"/>
  <c r="T201" i="24"/>
  <c r="T202" i="24"/>
  <c r="T203" i="24"/>
  <c r="T204" i="24"/>
  <c r="T205" i="24"/>
  <c r="T206" i="24"/>
  <c r="O163" i="24"/>
  <c r="T207" i="24"/>
  <c r="AP121" i="24" a="1"/>
  <c r="AP121" i="24" s="1"/>
  <c r="O119" i="24"/>
  <c r="O203" i="24"/>
  <c r="P121" i="24"/>
  <c r="P23" i="24"/>
  <c r="P189" i="24"/>
  <c r="N217" i="24"/>
  <c r="P91" i="24"/>
  <c r="AR51" i="24"/>
  <c r="AR119" i="24"/>
  <c r="AR203" i="24"/>
  <c r="AF203" i="24"/>
  <c r="AP221" i="24" a="1"/>
  <c r="AP221" i="24" s="1"/>
  <c r="AP179" i="24" a="1"/>
  <c r="AP179" i="24" s="1"/>
  <c r="S221" i="24"/>
  <c r="U221" i="24"/>
  <c r="AP151" i="24" a="1"/>
  <c r="AP151" i="24" s="1"/>
  <c r="AE221" i="24"/>
  <c r="O136" i="24"/>
  <c r="O206" i="24"/>
  <c r="O220" i="24"/>
  <c r="O178" i="24"/>
  <c r="O205" i="24"/>
  <c r="P205" i="24"/>
  <c r="P51" i="24"/>
  <c r="AR23" i="24"/>
  <c r="AR161" i="24"/>
  <c r="AP223" i="24" a="1"/>
  <c r="AP223" i="24" s="1"/>
  <c r="AT40" i="24"/>
  <c r="AT54" i="24"/>
  <c r="AP35" i="24" a="1"/>
  <c r="AP35" i="24" s="1"/>
  <c r="AT82" i="24"/>
  <c r="AT65" i="24"/>
  <c r="AT45" i="24"/>
  <c r="AP40" i="24" a="1"/>
  <c r="AP40" i="24" s="1"/>
  <c r="AT100" i="24"/>
  <c r="AP26" i="24" a="1"/>
  <c r="AP26" i="24" s="1"/>
  <c r="AT107" i="24"/>
  <c r="AP21" i="24" a="1"/>
  <c r="AP21" i="24" s="1"/>
  <c r="AT93" i="24"/>
  <c r="AP39" i="24" a="1"/>
  <c r="AP39" i="24" s="1"/>
  <c r="AP54" i="24" a="1"/>
  <c r="AP54" i="24" s="1"/>
  <c r="AP49" i="24" a="1"/>
  <c r="AP49" i="24" s="1"/>
  <c r="AP37" i="24" a="1"/>
  <c r="AP37" i="24" s="1"/>
  <c r="AP36" i="24" a="1"/>
  <c r="AP36" i="24" s="1"/>
  <c r="AP50" i="24" a="1"/>
  <c r="AP50" i="24" s="1"/>
  <c r="AP52" i="24" a="1"/>
  <c r="AP52" i="24" s="1"/>
  <c r="AP23" i="24" a="1"/>
  <c r="AP23" i="24" s="1"/>
  <c r="AP25" i="24" a="1"/>
  <c r="AP25" i="24" s="1"/>
  <c r="AP38" i="24" a="1"/>
  <c r="AP38" i="24" s="1"/>
  <c r="AP22" i="24" a="1"/>
  <c r="AP22" i="24" s="1"/>
  <c r="AP51" i="24" a="1"/>
  <c r="AP51" i="24" s="1"/>
  <c r="AP24" i="24" a="1"/>
  <c r="AP24" i="24" s="1"/>
  <c r="AP68" i="24" a="1"/>
  <c r="AP68" i="24" s="1"/>
  <c r="AP27" i="24" a="1"/>
  <c r="AP27" i="24" s="1"/>
  <c r="AP79" i="24" a="1"/>
  <c r="AP79" i="24" s="1"/>
  <c r="AP64" i="24" a="1"/>
  <c r="AP64" i="24" s="1"/>
  <c r="AP41" i="24" a="1"/>
  <c r="AP41" i="24" s="1"/>
  <c r="AP95" i="24" a="1"/>
  <c r="AP95" i="24" s="1"/>
  <c r="AP108" i="24" a="1"/>
  <c r="AP108" i="24" s="1"/>
  <c r="AT204" i="24"/>
  <c r="AP63" i="24" a="1"/>
  <c r="AP63" i="24" s="1"/>
  <c r="AP80" i="24" a="1"/>
  <c r="AP80" i="24" s="1"/>
  <c r="AP82" i="24" a="1"/>
  <c r="AP82" i="24" s="1"/>
  <c r="AP67" i="24" a="1"/>
  <c r="AP67" i="24" s="1"/>
  <c r="AP97" i="24" a="1"/>
  <c r="AP97" i="24" s="1"/>
  <c r="AP55" i="24" a="1"/>
  <c r="AP55" i="24" s="1"/>
  <c r="AP53" i="24" a="1"/>
  <c r="AP53" i="24" s="1"/>
  <c r="AP65" i="24" a="1"/>
  <c r="AP65" i="24" s="1"/>
  <c r="AP69" i="24" a="1"/>
  <c r="AP69" i="24" s="1"/>
  <c r="AP66" i="24" a="1"/>
  <c r="AP66" i="24" s="1"/>
  <c r="AP77" i="24" a="1"/>
  <c r="AP77" i="24" s="1"/>
  <c r="AT176" i="24"/>
  <c r="AP94" i="24" a="1"/>
  <c r="AP94" i="24" s="1"/>
  <c r="AP105" i="24" a="1"/>
  <c r="AP105" i="24" s="1"/>
  <c r="AP83" i="24" a="1"/>
  <c r="AP83" i="24" s="1"/>
  <c r="AT222" i="24"/>
  <c r="AT195" i="24"/>
  <c r="AT180" i="24"/>
  <c r="AP78" i="24" a="1"/>
  <c r="AP78" i="24" s="1"/>
  <c r="AP91" i="24" a="1"/>
  <c r="AP91" i="24" s="1"/>
  <c r="AP93" i="24" a="1"/>
  <c r="AP93" i="24" s="1"/>
  <c r="AT220" i="24"/>
  <c r="AP92" i="24" a="1"/>
  <c r="AP92" i="24" s="1"/>
  <c r="AP81" i="24" a="1"/>
  <c r="AP81" i="24" s="1"/>
  <c r="AP137" i="24" a="1"/>
  <c r="AP137" i="24" s="1"/>
  <c r="AT205" i="24"/>
  <c r="AP109" i="24" a="1"/>
  <c r="AP109" i="24" s="1"/>
  <c r="AP122" i="24" a="1"/>
  <c r="AP122" i="24" s="1"/>
  <c r="AT163" i="24"/>
  <c r="AP125" i="24" a="1"/>
  <c r="AP125" i="24" s="1"/>
  <c r="AT167" i="24"/>
  <c r="AP123" i="24" a="1"/>
  <c r="AP123" i="24" s="1"/>
  <c r="AP138" i="24" a="1"/>
  <c r="AP138" i="24" s="1"/>
  <c r="AP96" i="24" a="1"/>
  <c r="AP96" i="24" s="1"/>
  <c r="AT203" i="24"/>
  <c r="AT208" i="24"/>
  <c r="AT193" i="24"/>
  <c r="AT175" i="24"/>
  <c r="AP119" i="24" a="1"/>
  <c r="AP119" i="24" s="1"/>
  <c r="AT164" i="24"/>
  <c r="AT152" i="24"/>
  <c r="AP106" i="24" a="1"/>
  <c r="AP106" i="24" s="1"/>
  <c r="AT177" i="24"/>
  <c r="AP111" i="24" a="1"/>
  <c r="AP111" i="24" s="1"/>
  <c r="AT165" i="24"/>
  <c r="AT189" i="24"/>
  <c r="AT139" i="24"/>
  <c r="AT207" i="24"/>
  <c r="AT134" i="24"/>
  <c r="AT161" i="24"/>
  <c r="AT209" i="24"/>
  <c r="AT137" i="24"/>
  <c r="AP152" i="24" a="1"/>
  <c r="AP152" i="24" s="1"/>
  <c r="AT206" i="24"/>
  <c r="AT217" i="24"/>
  <c r="AT181" i="24"/>
  <c r="AT179" i="24"/>
  <c r="AT192" i="24"/>
  <c r="AT150" i="24"/>
  <c r="AT153" i="24"/>
  <c r="AT178" i="24"/>
  <c r="AT136" i="24"/>
  <c r="W198" i="24"/>
  <c r="W199" i="24"/>
  <c r="Z199" i="24"/>
  <c r="AA198" i="24"/>
  <c r="AB198" i="24" s="1"/>
  <c r="Z198" i="24"/>
  <c r="Z200" i="24"/>
  <c r="Z201" i="24"/>
  <c r="Z202" i="24"/>
  <c r="Z203" i="24"/>
  <c r="Z204" i="24"/>
  <c r="Z206" i="24"/>
  <c r="O193" i="24"/>
  <c r="O122" i="24"/>
  <c r="AP165" i="24" a="1"/>
  <c r="AP165" i="24" s="1"/>
  <c r="AT191" i="24"/>
  <c r="Z205" i="24"/>
  <c r="AP147" i="24" a="1"/>
  <c r="AP147" i="24" s="1"/>
  <c r="P163" i="24"/>
  <c r="P191" i="24"/>
  <c r="P65" i="24"/>
  <c r="N203" i="24"/>
  <c r="P77" i="24"/>
  <c r="P217" i="24"/>
  <c r="AR149" i="24"/>
  <c r="AR79" i="24"/>
  <c r="AR49" i="24"/>
  <c r="AR218" i="24"/>
  <c r="AR190" i="24"/>
  <c r="AF205" i="24"/>
  <c r="AP148" i="24" a="1"/>
  <c r="AP148" i="24" s="1"/>
  <c r="AP205" i="24" a="1"/>
  <c r="AP205" i="24" s="1"/>
  <c r="AR191" i="24"/>
  <c r="AR135" i="24"/>
  <c r="AR21" i="24"/>
  <c r="Q39" i="24"/>
  <c r="O37" i="24"/>
  <c r="O18" i="24"/>
  <c r="Q26" i="24"/>
  <c r="O20" i="24"/>
  <c r="Q122" i="24"/>
  <c r="O62" i="24"/>
  <c r="Q194" i="24"/>
  <c r="Q124" i="24"/>
  <c r="O89" i="24"/>
  <c r="Q192" i="24"/>
  <c r="Q95" i="24"/>
  <c r="O88" i="24"/>
  <c r="Q180" i="24"/>
  <c r="Q110" i="24"/>
  <c r="Q222" i="24"/>
  <c r="O59" i="24"/>
  <c r="O40" i="24"/>
  <c r="Q208" i="24"/>
  <c r="O48" i="24"/>
  <c r="Q40" i="24"/>
  <c r="Q107" i="24"/>
  <c r="O26" i="24"/>
  <c r="Q220" i="24"/>
  <c r="Q152" i="24"/>
  <c r="O108" i="24"/>
  <c r="O52" i="24"/>
  <c r="O54" i="24"/>
  <c r="Q120" i="24"/>
  <c r="Q119" i="24"/>
  <c r="Q24" i="24"/>
  <c r="Q65" i="24"/>
  <c r="Q137" i="24"/>
  <c r="Q105" i="24"/>
  <c r="Q136" i="24"/>
  <c r="Q206" i="24"/>
  <c r="Q81" i="24"/>
  <c r="Q135" i="24"/>
  <c r="Q205" i="24"/>
  <c r="Q219" i="24"/>
  <c r="Q93" i="24"/>
  <c r="Q207" i="24"/>
  <c r="Q221" i="24"/>
  <c r="Q54" i="24"/>
  <c r="Q80" i="24"/>
  <c r="Q23" i="24"/>
  <c r="Q179" i="24"/>
  <c r="Q53" i="24"/>
  <c r="Q193" i="24"/>
  <c r="Q68" i="24"/>
  <c r="Q37" i="24"/>
  <c r="Q177" i="24"/>
  <c r="Q51" i="24"/>
  <c r="Q106" i="24"/>
  <c r="Q149" i="24"/>
  <c r="Q166" i="24"/>
  <c r="Q150" i="24"/>
  <c r="Q67" i="24"/>
  <c r="Q38" i="24"/>
  <c r="Q138" i="24"/>
  <c r="Q50" i="24"/>
  <c r="Q64" i="24"/>
  <c r="Q96" i="24"/>
  <c r="Q121" i="24"/>
  <c r="Q52" i="24"/>
  <c r="Q79" i="24"/>
  <c r="Q49" i="24"/>
  <c r="Q163" i="24"/>
  <c r="Q82" i="24"/>
  <c r="Q175" i="24"/>
  <c r="Q165" i="24"/>
  <c r="Q176" i="24"/>
  <c r="Q191" i="24"/>
  <c r="Q134" i="24"/>
  <c r="Q21" i="24"/>
  <c r="Q123" i="24"/>
  <c r="Q190" i="24"/>
  <c r="Q36" i="24"/>
  <c r="Q189" i="24"/>
  <c r="Q66" i="24"/>
  <c r="Q92" i="24"/>
  <c r="Q162" i="24"/>
  <c r="Q133" i="24"/>
  <c r="Q108" i="24"/>
  <c r="Q22" i="24"/>
  <c r="Q148" i="24"/>
  <c r="Q203" i="24"/>
  <c r="Q78" i="24"/>
  <c r="Q94" i="24"/>
  <c r="Q25" i="24"/>
  <c r="Q204" i="24"/>
  <c r="Q217" i="24"/>
  <c r="Q178" i="24"/>
  <c r="Q151" i="24"/>
  <c r="Q109" i="24"/>
  <c r="Q218" i="24"/>
  <c r="Q147" i="24"/>
  <c r="Q164" i="24"/>
  <c r="Q161" i="24"/>
  <c r="Q35" i="24"/>
  <c r="Q77" i="24"/>
  <c r="Q63" i="24"/>
  <c r="Q91" i="24"/>
  <c r="O124" i="24"/>
  <c r="O134" i="24"/>
  <c r="O194" i="24"/>
  <c r="O207" i="24"/>
  <c r="O133" i="24"/>
  <c r="O123" i="24"/>
  <c r="O180" i="24"/>
  <c r="O222" i="24"/>
  <c r="O221" i="24"/>
  <c r="O138" i="24"/>
  <c r="O191" i="24"/>
  <c r="O152" i="24"/>
  <c r="O189" i="24"/>
  <c r="O176" i="24"/>
  <c r="O165" i="24"/>
  <c r="O218" i="24"/>
  <c r="O121" i="24"/>
  <c r="O135" i="24"/>
  <c r="O204" i="24"/>
  <c r="O192" i="24"/>
  <c r="O175" i="24"/>
  <c r="O148" i="24"/>
  <c r="O177" i="24"/>
  <c r="O151" i="24"/>
  <c r="O219" i="24"/>
  <c r="O166" i="24"/>
  <c r="O217" i="24"/>
  <c r="O161" i="24"/>
  <c r="O208" i="24"/>
  <c r="P92" i="24"/>
  <c r="P162" i="24"/>
  <c r="P204" i="24"/>
  <c r="N204" i="24"/>
  <c r="P176" i="24"/>
  <c r="N148" i="24"/>
  <c r="P22" i="24"/>
  <c r="P36" i="24"/>
  <c r="P64" i="24"/>
  <c r="P190" i="24"/>
  <c r="P218" i="24"/>
  <c r="N134" i="24"/>
  <c r="N190" i="24"/>
  <c r="P106" i="24"/>
  <c r="N120" i="24"/>
  <c r="P78" i="24"/>
  <c r="P134" i="24"/>
  <c r="P148" i="24"/>
  <c r="P50" i="24"/>
  <c r="N162" i="24"/>
  <c r="N218" i="24"/>
  <c r="N176" i="24"/>
  <c r="P120" i="24"/>
  <c r="AP189" i="24" a="1"/>
  <c r="AP189" i="24" s="1"/>
  <c r="AF204" i="24"/>
  <c r="O137" i="24"/>
  <c r="AT125" i="24"/>
  <c r="AR201" i="24"/>
  <c r="P202" i="24"/>
  <c r="P4" i="24"/>
  <c r="P172" i="24"/>
  <c r="P186" i="24"/>
  <c r="AR194" i="24"/>
  <c r="P2" i="24"/>
  <c r="AL78" i="26" a="1"/>
  <c r="AL78" i="26" s="1"/>
  <c r="N198" i="24"/>
  <c r="AR180" i="24"/>
  <c r="AN78" i="26" a="1"/>
  <c r="AN78" i="26" s="1"/>
  <c r="N202" i="24"/>
  <c r="P208" i="24"/>
  <c r="AR26" i="24"/>
  <c r="N160" i="24"/>
  <c r="N12" i="24"/>
  <c r="AE13" i="24"/>
  <c r="P170" i="24"/>
  <c r="N68" i="24"/>
  <c r="N166" i="24"/>
  <c r="P200" i="24"/>
  <c r="N110" i="24"/>
  <c r="P6" i="24"/>
  <c r="P159" i="24"/>
  <c r="N184" i="24"/>
  <c r="N200" i="24"/>
  <c r="AR82" i="24"/>
  <c r="R109" i="24"/>
  <c r="R39" i="24"/>
  <c r="AO78" i="26" a="1"/>
  <c r="AO78" i="26" s="1"/>
  <c r="AR125" i="24"/>
  <c r="S125" i="24"/>
  <c r="T125" i="24" s="1"/>
  <c r="AE125" i="24"/>
  <c r="U125" i="24"/>
  <c r="AD125" i="24"/>
  <c r="AA54" i="24"/>
  <c r="AB54" i="24" s="1"/>
  <c r="Z54" i="24"/>
  <c r="N194" i="24"/>
  <c r="AR27" i="24"/>
  <c r="U27" i="24"/>
  <c r="S27" i="24"/>
  <c r="T27" i="24" s="1"/>
  <c r="AE27" i="24"/>
  <c r="AD27" i="24"/>
  <c r="AA194" i="24"/>
  <c r="Z194" i="24"/>
  <c r="N82" i="24"/>
  <c r="P152" i="24"/>
  <c r="AF68" i="24"/>
  <c r="AV72" i="26" a="1"/>
  <c r="AV72" i="26" s="1"/>
  <c r="AR54" i="24"/>
  <c r="AR110" i="24"/>
  <c r="N208" i="24"/>
  <c r="AF124" i="24"/>
  <c r="AF180" i="24"/>
  <c r="P12" i="24"/>
  <c r="AR41" i="24"/>
  <c r="U41" i="24"/>
  <c r="AE41" i="24"/>
  <c r="S41" i="24"/>
  <c r="T41" i="24" s="1"/>
  <c r="AD41" i="24"/>
  <c r="P174" i="24"/>
  <c r="P201" i="24"/>
  <c r="N186" i="24"/>
  <c r="AC218" i="24"/>
  <c r="AC221" i="24"/>
  <c r="AC224" i="24"/>
  <c r="AC219" i="24"/>
  <c r="AC222" i="24"/>
  <c r="AC225" i="24"/>
  <c r="AC217" i="24"/>
  <c r="AC220" i="24"/>
  <c r="AC223" i="24"/>
  <c r="AR96" i="24"/>
  <c r="N26" i="24"/>
  <c r="P82" i="24"/>
  <c r="P138" i="24"/>
  <c r="AA68" i="24"/>
  <c r="AB68" i="24" s="1"/>
  <c r="Z68" i="24"/>
  <c r="AR222" i="24"/>
  <c r="AF40" i="24"/>
  <c r="AA152" i="24"/>
  <c r="AB152" i="24" s="1"/>
  <c r="Z152" i="24"/>
  <c r="N222" i="24"/>
  <c r="R81" i="24"/>
  <c r="AR195" i="24"/>
  <c r="AE195" i="24"/>
  <c r="U195" i="24"/>
  <c r="S195" i="24"/>
  <c r="T195" i="24" s="1"/>
  <c r="AD195" i="24"/>
  <c r="N170" i="24"/>
  <c r="P184" i="24"/>
  <c r="N201" i="24"/>
  <c r="AD221" i="24"/>
  <c r="AD219" i="24"/>
  <c r="AD222" i="24"/>
  <c r="AD217" i="24"/>
  <c r="AD220" i="24"/>
  <c r="AD223" i="24"/>
  <c r="AD218" i="24"/>
  <c r="AA82" i="24"/>
  <c r="AB82" i="24" s="1"/>
  <c r="Z82" i="24"/>
  <c r="P26" i="24"/>
  <c r="P54" i="24"/>
  <c r="P166" i="24"/>
  <c r="AA180" i="24"/>
  <c r="AB180" i="24" s="1"/>
  <c r="R180" i="24"/>
  <c r="AR152" i="24"/>
  <c r="N124" i="24"/>
  <c r="AR138" i="24"/>
  <c r="R123" i="24"/>
  <c r="AA166" i="24"/>
  <c r="AB166" i="24" s="1"/>
  <c r="R166" i="24"/>
  <c r="AF138" i="24"/>
  <c r="AR69" i="24"/>
  <c r="U69" i="24"/>
  <c r="S69" i="24"/>
  <c r="T69" i="24" s="1"/>
  <c r="AE69" i="24"/>
  <c r="AD69" i="24"/>
  <c r="N188" i="24"/>
  <c r="P173" i="24"/>
  <c r="R95" i="24"/>
  <c r="P68" i="24"/>
  <c r="P96" i="24"/>
  <c r="P180" i="24"/>
  <c r="AF26" i="24"/>
  <c r="N138" i="24"/>
  <c r="AR124" i="24"/>
  <c r="AA138" i="24"/>
  <c r="AB138" i="24" s="1"/>
  <c r="Z138" i="24"/>
  <c r="AR55" i="24"/>
  <c r="AE55" i="24"/>
  <c r="U55" i="24"/>
  <c r="S55" i="24"/>
  <c r="T55" i="24" s="1"/>
  <c r="AD55" i="24"/>
  <c r="AF82" i="24"/>
  <c r="AW69" i="26" a="1"/>
  <c r="AW69" i="26" s="1"/>
  <c r="AW77" i="26" a="1"/>
  <c r="AW77" i="26" s="1"/>
  <c r="AW74" i="26" a="1"/>
  <c r="AW74" i="26" s="1"/>
  <c r="AW65" i="26" a="1"/>
  <c r="AW65" i="26" s="1"/>
  <c r="AW67" i="26" a="1"/>
  <c r="AW67" i="26" s="1"/>
  <c r="AW64" i="26" a="1"/>
  <c r="AW64" i="26" s="1"/>
  <c r="AW72" i="26" a="1"/>
  <c r="AW72" i="26" s="1"/>
  <c r="AR139" i="24"/>
  <c r="S139" i="24"/>
  <c r="T139" i="24" s="1"/>
  <c r="AE139" i="24"/>
  <c r="U139" i="24"/>
  <c r="AD139" i="24"/>
  <c r="AR223" i="24"/>
  <c r="U223" i="24"/>
  <c r="AE223" i="24"/>
  <c r="S223" i="24"/>
  <c r="AW78" i="26" a="1"/>
  <c r="AW78" i="26" s="1"/>
  <c r="AW70" i="26" a="1"/>
  <c r="AW70" i="26" s="1"/>
  <c r="AW76" i="26" a="1"/>
  <c r="AW76" i="26" s="1"/>
  <c r="AW68" i="26" a="1"/>
  <c r="AW68" i="26" s="1"/>
  <c r="P5" i="24"/>
  <c r="AE111" i="24"/>
  <c r="U111" i="24"/>
  <c r="AR111" i="24"/>
  <c r="S111" i="24"/>
  <c r="T111" i="24" s="1"/>
  <c r="AD111" i="24"/>
  <c r="U181" i="24"/>
  <c r="AR181" i="24"/>
  <c r="AE181" i="24"/>
  <c r="S181" i="24"/>
  <c r="T181" i="24" s="1"/>
  <c r="AD181" i="24"/>
  <c r="AP78" i="26" a="1"/>
  <c r="AP78" i="26" s="1"/>
  <c r="N187" i="24"/>
  <c r="P198" i="24"/>
  <c r="AF194" i="24"/>
  <c r="AV65" i="26" a="1"/>
  <c r="AV65" i="26" s="1"/>
  <c r="N54" i="24"/>
  <c r="P110" i="24"/>
  <c r="P194" i="24"/>
  <c r="AR68" i="24"/>
  <c r="AF166" i="24"/>
  <c r="AA26" i="24"/>
  <c r="AB26" i="24" s="1"/>
  <c r="R26" i="24"/>
  <c r="N152" i="24"/>
  <c r="AA124" i="24"/>
  <c r="AB124" i="24" s="1"/>
  <c r="Z124" i="24"/>
  <c r="AR83" i="24"/>
  <c r="U83" i="24"/>
  <c r="AE83" i="24"/>
  <c r="S83" i="24"/>
  <c r="T83" i="24" s="1"/>
  <c r="AD83" i="24"/>
  <c r="AR97" i="24"/>
  <c r="S97" i="24"/>
  <c r="T97" i="24" s="1"/>
  <c r="U97" i="24"/>
  <c r="AE97" i="24"/>
  <c r="AD97" i="24"/>
  <c r="P187" i="24"/>
  <c r="AF96" i="24"/>
  <c r="N40" i="24"/>
  <c r="N96" i="24"/>
  <c r="AR208" i="24"/>
  <c r="U208" i="24"/>
  <c r="S208" i="24"/>
  <c r="T208" i="24" s="1"/>
  <c r="AE208" i="24"/>
  <c r="AD208" i="24"/>
  <c r="AF54" i="24"/>
  <c r="R193" i="24"/>
  <c r="AR166" i="24"/>
  <c r="AF110" i="24"/>
  <c r="Z153" i="24"/>
  <c r="AA40" i="24"/>
  <c r="AB40" i="24" s="1"/>
  <c r="Z40" i="24"/>
  <c r="N180" i="24"/>
  <c r="AW75" i="26" a="1"/>
  <c r="AW75" i="26" s="1"/>
  <c r="AR209" i="24"/>
  <c r="AE209" i="24"/>
  <c r="U209" i="24"/>
  <c r="S209" i="24"/>
  <c r="AD209" i="24"/>
  <c r="AE167" i="24"/>
  <c r="U167" i="24"/>
  <c r="S167" i="24"/>
  <c r="T167" i="24" s="1"/>
  <c r="AR167" i="24"/>
  <c r="AD167" i="24"/>
  <c r="AA96" i="24"/>
  <c r="AB96" i="24" s="1"/>
  <c r="Z96" i="24"/>
  <c r="P40" i="24"/>
  <c r="P124" i="24"/>
  <c r="P222" i="24"/>
  <c r="R53" i="24"/>
  <c r="AA110" i="24"/>
  <c r="AB110" i="24" s="1"/>
  <c r="Z110" i="24"/>
  <c r="AR153" i="24"/>
  <c r="AF152" i="24"/>
  <c r="R151" i="24"/>
  <c r="AR202" i="24"/>
  <c r="S215" i="24"/>
  <c r="AE215" i="24"/>
  <c r="U215" i="24"/>
  <c r="AP215" i="24" a="1"/>
  <c r="AP215" i="24" s="1"/>
  <c r="O214" i="24"/>
  <c r="O216" i="24"/>
  <c r="O215" i="24"/>
  <c r="O213" i="24"/>
  <c r="Q216" i="24"/>
  <c r="N214" i="24"/>
  <c r="N215" i="24"/>
  <c r="N212" i="24"/>
  <c r="N216" i="24"/>
  <c r="P216" i="24"/>
  <c r="AE213" i="24"/>
  <c r="S213" i="24"/>
  <c r="U213" i="24"/>
  <c r="AT213" i="24"/>
  <c r="AP213" i="24" a="1"/>
  <c r="AP213" i="24" s="1"/>
  <c r="AC212" i="24"/>
  <c r="AC213" i="24"/>
  <c r="AC216" i="24"/>
  <c r="AC215" i="24"/>
  <c r="AU187" i="24" s="1"/>
  <c r="U212" i="24"/>
  <c r="AC214" i="24"/>
  <c r="S212" i="24"/>
  <c r="AE212" i="24"/>
  <c r="AP212" i="24" a="1"/>
  <c r="AP212" i="24" s="1"/>
  <c r="AE214" i="24"/>
  <c r="S214" i="24"/>
  <c r="U214" i="24"/>
  <c r="AP214" i="24" a="1"/>
  <c r="AP214" i="24" s="1"/>
  <c r="AE216" i="24"/>
  <c r="S216" i="24"/>
  <c r="U216" i="24"/>
  <c r="AT216" i="24"/>
  <c r="AT214" i="24"/>
  <c r="AT212" i="24"/>
  <c r="AT215" i="24"/>
  <c r="AP216" i="24" a="1"/>
  <c r="AP216" i="24" s="1"/>
  <c r="AD216" i="24"/>
  <c r="AS216" i="24" s="1"/>
  <c r="AD215" i="24"/>
  <c r="AS215" i="24" s="1"/>
  <c r="AD214" i="24"/>
  <c r="AS214" i="24" s="1"/>
  <c r="AD212" i="24"/>
  <c r="AS198" i="24" s="1"/>
  <c r="AD213" i="24"/>
  <c r="AS213" i="24" s="1"/>
  <c r="AR212" i="24"/>
  <c r="AT174" i="24"/>
  <c r="AT202" i="24"/>
  <c r="AP202" i="24" a="1"/>
  <c r="AP202" i="24" s="1"/>
  <c r="O173" i="24"/>
  <c r="O201" i="24"/>
  <c r="Q201" i="24"/>
  <c r="AR170" i="24"/>
  <c r="AR198" i="24"/>
  <c r="AP173" i="24" a="1"/>
  <c r="AP173" i="24" s="1"/>
  <c r="AT201" i="24"/>
  <c r="AP201" i="24" a="1"/>
  <c r="AP201" i="24" s="1"/>
  <c r="O172" i="24"/>
  <c r="O200" i="24"/>
  <c r="Q200" i="24"/>
  <c r="AP170" i="24" a="1"/>
  <c r="AP170" i="24" s="1"/>
  <c r="AT198" i="24"/>
  <c r="AP198" i="24" a="1"/>
  <c r="AP198" i="24" s="1"/>
  <c r="Q174" i="24"/>
  <c r="O202" i="24"/>
  <c r="Q202" i="24"/>
  <c r="AR185" i="24"/>
  <c r="AR199" i="24"/>
  <c r="O171" i="24"/>
  <c r="O199" i="24"/>
  <c r="Q199" i="24"/>
  <c r="AT186" i="24"/>
  <c r="AT200" i="24"/>
  <c r="AP200" i="24" a="1"/>
  <c r="AP200" i="24" s="1"/>
  <c r="AT185" i="24"/>
  <c r="AT199" i="24"/>
  <c r="AP199" i="24" a="1"/>
  <c r="AP199" i="24" s="1"/>
  <c r="AR186" i="24"/>
  <c r="AR200" i="24"/>
  <c r="AT171" i="24"/>
  <c r="Q159" i="24"/>
  <c r="O187" i="24"/>
  <c r="AT184" i="24"/>
  <c r="AT188" i="24"/>
  <c r="Q186" i="24"/>
  <c r="Q158" i="24"/>
  <c r="AR184" i="24"/>
  <c r="O186" i="24"/>
  <c r="Q171" i="24"/>
  <c r="Q185" i="24"/>
  <c r="AP185" i="24" a="1"/>
  <c r="AP185" i="24" s="1"/>
  <c r="AT170" i="24"/>
  <c r="O185" i="24"/>
  <c r="AP187" i="24" a="1"/>
  <c r="AP187" i="24" s="1"/>
  <c r="AP186" i="24" a="1"/>
  <c r="AP186" i="24" s="1"/>
  <c r="Q188" i="24"/>
  <c r="O174" i="24"/>
  <c r="AT187" i="24"/>
  <c r="O188" i="24"/>
  <c r="Q187" i="24"/>
  <c r="AP184" i="24" a="1"/>
  <c r="AP184" i="24" s="1"/>
  <c r="AP188" i="24" a="1"/>
  <c r="AP188" i="24" s="1"/>
  <c r="AP172" i="24" a="1"/>
  <c r="AP172" i="24" s="1"/>
  <c r="AT172" i="24"/>
  <c r="AT173" i="24"/>
  <c r="Q157" i="24"/>
  <c r="Q173" i="24"/>
  <c r="AP171" i="24" a="1"/>
  <c r="AP171" i="24" s="1"/>
  <c r="AP174" i="24" a="1"/>
  <c r="AP174" i="24" s="1"/>
  <c r="Q172" i="24"/>
  <c r="AT157" i="24"/>
  <c r="AT159" i="24"/>
  <c r="AT160" i="24"/>
  <c r="AP158" i="24" a="1"/>
  <c r="AP158" i="24" s="1"/>
  <c r="AP157" i="24" a="1"/>
  <c r="AP157" i="24" s="1"/>
  <c r="AT156" i="24"/>
  <c r="O160" i="24"/>
  <c r="O157" i="24"/>
  <c r="Q160" i="24"/>
  <c r="O159" i="24"/>
  <c r="O158" i="24"/>
  <c r="AT158" i="24"/>
  <c r="AP159" i="24" a="1"/>
  <c r="AP159" i="24" s="1"/>
  <c r="AP156" i="24" a="1"/>
  <c r="AP156" i="24" s="1"/>
  <c r="AP160" i="24" a="1"/>
  <c r="AP160" i="24" s="1"/>
  <c r="AP146" i="24" a="1"/>
  <c r="AP146" i="24" s="1"/>
  <c r="AP144" i="24" a="1"/>
  <c r="AP144" i="24" s="1"/>
  <c r="AP143" i="24" a="1"/>
  <c r="AP143" i="24" s="1"/>
  <c r="AP142" i="24" a="1"/>
  <c r="AP142" i="24" s="1"/>
  <c r="AT145" i="24"/>
  <c r="AT144" i="24"/>
  <c r="AP145" i="24" a="1"/>
  <c r="AP145" i="24" s="1"/>
  <c r="AT146" i="24"/>
  <c r="AT143" i="24"/>
  <c r="O146" i="24"/>
  <c r="O145" i="24"/>
  <c r="O144" i="24"/>
  <c r="Q143" i="24"/>
  <c r="Q144" i="24"/>
  <c r="O143" i="24"/>
  <c r="Q146" i="24"/>
  <c r="Q145" i="24"/>
  <c r="AT142" i="24"/>
  <c r="AP131" i="24" a="1"/>
  <c r="AP131" i="24" s="1"/>
  <c r="AT132" i="24"/>
  <c r="AP130" i="24" a="1"/>
  <c r="AP130" i="24" s="1"/>
  <c r="AP129" i="24" a="1"/>
  <c r="AP129" i="24" s="1"/>
  <c r="AP132" i="24" a="1"/>
  <c r="AP132" i="24" s="1"/>
  <c r="AP128" i="24" a="1"/>
  <c r="AP128" i="24" s="1"/>
  <c r="AT129" i="24"/>
  <c r="AT130" i="24"/>
  <c r="AT131" i="24"/>
  <c r="AT128" i="24"/>
  <c r="O131" i="24"/>
  <c r="O130" i="24"/>
  <c r="O132" i="24"/>
  <c r="Q129" i="24"/>
  <c r="Q131" i="24"/>
  <c r="Q130" i="24"/>
  <c r="Q132" i="24"/>
  <c r="O129" i="24"/>
  <c r="O116" i="24"/>
  <c r="O118" i="24"/>
  <c r="O117" i="24"/>
  <c r="Q115" i="24"/>
  <c r="Q116" i="24"/>
  <c r="Q118" i="24"/>
  <c r="Q117" i="24"/>
  <c r="O115" i="24"/>
  <c r="AT118" i="24"/>
  <c r="AP116" i="24" a="1"/>
  <c r="AP116" i="24" s="1"/>
  <c r="AP115" i="24" a="1"/>
  <c r="AP115" i="24" s="1"/>
  <c r="AT115" i="24"/>
  <c r="AT116" i="24"/>
  <c r="AT117" i="24"/>
  <c r="AP118" i="24" a="1"/>
  <c r="AP118" i="24" s="1"/>
  <c r="AP117" i="24" a="1"/>
  <c r="AP117" i="24" s="1"/>
  <c r="AT114" i="24"/>
  <c r="AP114" i="24" a="1"/>
  <c r="AP114" i="24" s="1"/>
  <c r="AP104" i="24" a="1"/>
  <c r="AP104" i="24" s="1"/>
  <c r="AP102" i="24" a="1"/>
  <c r="AP102" i="24" s="1"/>
  <c r="AP103" i="24" a="1"/>
  <c r="AP103" i="24" s="1"/>
  <c r="AP101" i="24" a="1"/>
  <c r="AP101" i="24" s="1"/>
  <c r="AP100" i="24" a="1"/>
  <c r="AP100" i="24" s="1"/>
  <c r="Q104" i="24"/>
  <c r="Q102" i="24"/>
  <c r="Q103" i="24"/>
  <c r="Q101" i="24"/>
  <c r="AP90" i="24" a="1"/>
  <c r="AP90" i="24" s="1"/>
  <c r="AP89" i="24" a="1"/>
  <c r="AP89" i="24" s="1"/>
  <c r="AP87" i="24" a="1"/>
  <c r="AP87" i="24" s="1"/>
  <c r="AP88" i="24" a="1"/>
  <c r="AP88" i="24" s="1"/>
  <c r="AP86" i="24" a="1"/>
  <c r="AP86" i="24" s="1"/>
  <c r="Q88" i="24"/>
  <c r="Q90" i="24"/>
  <c r="Q89" i="24"/>
  <c r="Q87" i="24"/>
  <c r="AP76" i="24" a="1"/>
  <c r="AP76" i="24" s="1"/>
  <c r="AP75" i="24" a="1"/>
  <c r="AP75" i="24" s="1"/>
  <c r="AP73" i="24" a="1"/>
  <c r="AP73" i="24" s="1"/>
  <c r="AP74" i="24" a="1"/>
  <c r="AP74" i="24" s="1"/>
  <c r="AP72" i="24" a="1"/>
  <c r="AP72" i="24" s="1"/>
  <c r="Q75" i="24"/>
  <c r="Q74" i="24"/>
  <c r="Q76" i="24"/>
  <c r="Q73" i="24"/>
  <c r="Q61" i="24"/>
  <c r="Q60" i="24"/>
  <c r="Q62" i="24"/>
  <c r="Q59" i="24"/>
  <c r="AP61" i="24" a="1"/>
  <c r="AP61" i="24" s="1"/>
  <c r="AP60" i="24" a="1"/>
  <c r="AP60" i="24" s="1"/>
  <c r="AP59" i="24" a="1"/>
  <c r="AP59" i="24" s="1"/>
  <c r="AP58" i="24" a="1"/>
  <c r="AP58" i="24" s="1"/>
  <c r="AP62" i="24" a="1"/>
  <c r="AP62" i="24" s="1"/>
  <c r="Q47" i="24"/>
  <c r="Q48" i="24"/>
  <c r="Q46" i="24"/>
  <c r="Q45" i="24"/>
  <c r="AP48" i="24" a="1"/>
  <c r="AP48" i="24" s="1"/>
  <c r="AP47" i="24" a="1"/>
  <c r="AP47" i="24" s="1"/>
  <c r="AP45" i="24" a="1"/>
  <c r="AP45" i="24" s="1"/>
  <c r="AP46" i="24" a="1"/>
  <c r="AP46" i="24" s="1"/>
  <c r="AP44" i="24" a="1"/>
  <c r="AP44" i="24" s="1"/>
  <c r="Q32" i="24"/>
  <c r="Q34" i="24"/>
  <c r="Q31" i="24"/>
  <c r="Q33" i="24"/>
  <c r="AP34" i="24" a="1"/>
  <c r="AP34" i="24" s="1"/>
  <c r="AP33" i="24" a="1"/>
  <c r="AP33" i="24" s="1"/>
  <c r="AP32" i="24" a="1"/>
  <c r="AP32" i="24" s="1"/>
  <c r="AP31" i="24" a="1"/>
  <c r="AP31" i="24" s="1"/>
  <c r="AP30" i="24" a="1"/>
  <c r="AP30" i="24" s="1"/>
  <c r="Q18" i="24"/>
  <c r="Q20" i="24"/>
  <c r="Q19" i="24"/>
  <c r="Q17" i="24"/>
  <c r="AP19" i="24" a="1"/>
  <c r="AP19" i="24" s="1"/>
  <c r="AP20" i="24" a="1"/>
  <c r="AP20" i="24" s="1"/>
  <c r="AP18" i="24" a="1"/>
  <c r="AP18" i="24" s="1"/>
  <c r="AP17" i="24" a="1"/>
  <c r="AP17" i="24" s="1"/>
  <c r="AP16" i="24" a="1"/>
  <c r="AP16" i="24" s="1"/>
  <c r="K56" i="24"/>
  <c r="K182" i="24"/>
  <c r="K154" i="24"/>
  <c r="K210" i="24"/>
  <c r="K168" i="24"/>
  <c r="K126" i="24"/>
  <c r="K70" i="24"/>
  <c r="K112" i="24"/>
  <c r="K196" i="24"/>
  <c r="K84" i="24"/>
  <c r="AY112" i="1" a="1"/>
  <c r="AY112" i="1" s="1"/>
  <c r="S13" i="24"/>
  <c r="T13" i="24" s="1"/>
  <c r="U13" i="24"/>
  <c r="Z13" i="24" s="1"/>
  <c r="AR12" i="24"/>
  <c r="AY111" i="1" a="1"/>
  <c r="AY111" i="1" s="1"/>
  <c r="AY115" i="1" a="1"/>
  <c r="AY115" i="1" s="1"/>
  <c r="AY110" i="1" a="1"/>
  <c r="AY110" i="1" s="1"/>
  <c r="AY114" i="1" a="1"/>
  <c r="AY114" i="1" s="1"/>
  <c r="AY116" i="1" a="1"/>
  <c r="AY116" i="1" s="1"/>
  <c r="AY103" i="1" a="1"/>
  <c r="AY103" i="1" s="1"/>
  <c r="AY102" i="1" a="1"/>
  <c r="AY102" i="1" s="1"/>
  <c r="AP15" i="24" a="1"/>
  <c r="AP15" i="24" s="1"/>
  <c r="AY101" i="1" s="1" a="1"/>
  <c r="AY101" i="1" s="1"/>
  <c r="AY106" i="1" a="1"/>
  <c r="AY106" i="1" s="1"/>
  <c r="AY105" i="1" a="1"/>
  <c r="AY105" i="1" s="1"/>
  <c r="AY107" i="1" a="1"/>
  <c r="AY107" i="1" s="1"/>
  <c r="AY108" i="1" a="1"/>
  <c r="AY108" i="1" s="1"/>
  <c r="AY113" i="1" a="1"/>
  <c r="AY113" i="1" s="1"/>
  <c r="AY109" i="1" a="1"/>
  <c r="AY109" i="1" s="1"/>
  <c r="G15" i="27" a="1"/>
  <c r="G15" i="27" s="1"/>
  <c r="C13" i="27" a="1"/>
  <c r="C13" i="27" s="1"/>
  <c r="C15" i="27" a="1"/>
  <c r="C15" i="27" s="1"/>
  <c r="C14" i="27" a="1"/>
  <c r="C14" i="27" s="1"/>
  <c r="AR13" i="24"/>
  <c r="R11" i="24"/>
  <c r="AP13" i="24" a="1"/>
  <c r="AP13" i="24" s="1"/>
  <c r="AW71" i="26" a="1"/>
  <c r="AW71" i="26" s="1"/>
  <c r="AW63" i="26" a="1"/>
  <c r="AW63" i="26" s="1"/>
  <c r="AF13" i="24"/>
  <c r="AA12" i="24"/>
  <c r="AB12" i="24" s="1"/>
  <c r="K224" i="24"/>
  <c r="AV115" i="1" a="1"/>
  <c r="AV115" i="1" s="1"/>
  <c r="AT12" i="24"/>
  <c r="AP12" i="24" a="1"/>
  <c r="AP12" i="24" s="1"/>
  <c r="Q12" i="24"/>
  <c r="R12" i="24"/>
  <c r="AR11" i="24"/>
  <c r="AP11" i="24" a="1"/>
  <c r="AP11" i="24" s="1"/>
  <c r="Q11" i="24"/>
  <c r="AR10" i="24"/>
  <c r="C6" i="27" a="1"/>
  <c r="C6" i="27" s="1"/>
  <c r="P10" i="24"/>
  <c r="Q10" i="24"/>
  <c r="AP10" i="24" a="1"/>
  <c r="AP10" i="24" s="1"/>
  <c r="C4" i="27" a="1"/>
  <c r="C4" i="27" s="1"/>
  <c r="P9" i="24"/>
  <c r="AP9" i="24" a="1"/>
  <c r="AP9" i="24" s="1"/>
  <c r="AT112" i="1" a="1"/>
  <c r="AT112" i="1" s="1"/>
  <c r="AR9" i="24"/>
  <c r="Q9" i="24"/>
  <c r="O9" i="24"/>
  <c r="AS115" i="1" a="1"/>
  <c r="AS115" i="1" s="1"/>
  <c r="AP8" i="24" a="1"/>
  <c r="AP8" i="24" s="1"/>
  <c r="AR8" i="24"/>
  <c r="O8" i="24"/>
  <c r="Q8" i="24"/>
  <c r="P8" i="24"/>
  <c r="C8" i="27" a="1"/>
  <c r="C8" i="27" s="1"/>
  <c r="C9" i="27" a="1"/>
  <c r="C9" i="27" s="1"/>
  <c r="C5" i="27" a="1"/>
  <c r="C5" i="27" s="1"/>
  <c r="C7" i="27" a="1"/>
  <c r="C7" i="27" s="1"/>
  <c r="O7" i="24"/>
  <c r="O5" i="24"/>
  <c r="O6" i="24"/>
  <c r="O3" i="24"/>
  <c r="O4" i="24"/>
  <c r="Q3" i="24"/>
  <c r="Q7" i="24"/>
  <c r="Q4" i="24"/>
  <c r="Q5" i="24"/>
  <c r="Q6" i="24"/>
  <c r="AR7" i="24"/>
  <c r="AP7" i="24" a="1"/>
  <c r="AP7" i="24" s="1"/>
  <c r="AR115" i="1" a="1"/>
  <c r="AR115" i="1" s="1"/>
  <c r="AP6" i="24" a="1"/>
  <c r="AP6" i="24" s="1"/>
  <c r="AR6" i="24"/>
  <c r="N100" i="24"/>
  <c r="AT5" i="24"/>
  <c r="AP5" i="24" a="1"/>
  <c r="AP5" i="24" s="1"/>
  <c r="AR5" i="24"/>
  <c r="AP4" i="24" a="1"/>
  <c r="AP4" i="24" s="1"/>
  <c r="AP2" i="24" a="1"/>
  <c r="AP2" i="24" s="1"/>
  <c r="AP3" i="24" a="1"/>
  <c r="AP3" i="24" s="1"/>
  <c r="AR2" i="24"/>
  <c r="AT3" i="24"/>
  <c r="AT4" i="24"/>
  <c r="AR3" i="24"/>
  <c r="AR4" i="24"/>
  <c r="F5" i="27" a="1"/>
  <c r="F5" i="27" s="1"/>
  <c r="F9" i="27" a="1"/>
  <c r="F9" i="27" s="1"/>
  <c r="F10" i="27" a="1"/>
  <c r="F10" i="27" s="1"/>
  <c r="F4" i="27" a="1"/>
  <c r="F4" i="27" s="1"/>
  <c r="G195" i="25" l="1"/>
  <c r="AT105" i="1" a="1"/>
  <c r="AT105" i="1" s="1"/>
  <c r="AS103" i="1" a="1"/>
  <c r="AS103" i="1" s="1"/>
  <c r="AW102" i="1" a="1"/>
  <c r="AW102" i="1" s="1"/>
  <c r="AV116" i="1" a="1"/>
  <c r="AV116" i="1" s="1"/>
  <c r="AT116" i="1" a="1"/>
  <c r="AT116" i="1" s="1"/>
  <c r="AW114" i="1" a="1"/>
  <c r="AW114" i="1" s="1"/>
  <c r="AM104" i="1" a="1"/>
  <c r="AM104" i="1" s="1"/>
  <c r="AM108" i="1" a="1"/>
  <c r="AM108" i="1" s="1"/>
  <c r="AN111" i="1" a="1"/>
  <c r="AN111" i="1" s="1"/>
  <c r="AP106" i="1" a="1"/>
  <c r="AP106" i="1" s="1"/>
  <c r="AM115" i="1" a="1"/>
  <c r="AM115" i="1" s="1"/>
  <c r="AP113" i="1" a="1"/>
  <c r="AP113" i="1" s="1"/>
  <c r="AR111" i="1" a="1"/>
  <c r="AR111" i="1" s="1"/>
  <c r="AR109" i="1" a="1"/>
  <c r="AR109" i="1" s="1"/>
  <c r="AS107" i="1" a="1"/>
  <c r="AS107" i="1" s="1"/>
  <c r="AX106" i="1" a="1"/>
  <c r="AX106" i="1" s="1"/>
  <c r="AX116" i="1" a="1"/>
  <c r="AX116" i="1" s="1"/>
  <c r="AW116" i="1" a="1"/>
  <c r="AW116" i="1" s="1"/>
  <c r="AS116" i="1" a="1"/>
  <c r="AS116" i="1" s="1"/>
  <c r="AR112" i="1" a="1"/>
  <c r="AR112" i="1" s="1"/>
  <c r="AS101" i="1" a="1"/>
  <c r="AS101" i="1" s="1"/>
  <c r="AN103" i="1" a="1"/>
  <c r="AN103" i="1" s="1"/>
  <c r="AN108" i="1" a="1"/>
  <c r="AN108" i="1" s="1"/>
  <c r="AP103" i="1" a="1"/>
  <c r="AP103" i="1" s="1"/>
  <c r="AM105" i="1" a="1"/>
  <c r="AM105" i="1" s="1"/>
  <c r="AP107" i="1" a="1"/>
  <c r="AP107" i="1" s="1"/>
  <c r="AX109" i="1" a="1"/>
  <c r="AX109" i="1" s="1"/>
  <c r="AR108" i="1" a="1"/>
  <c r="AR108" i="1" s="1"/>
  <c r="AV107" i="1" a="1"/>
  <c r="AV107" i="1" s="1"/>
  <c r="AS102" i="1" a="1"/>
  <c r="AS102" i="1" s="1"/>
  <c r="AW103" i="1" a="1"/>
  <c r="AW103" i="1" s="1"/>
  <c r="AX113" i="1" a="1"/>
  <c r="AX113" i="1" s="1"/>
  <c r="AS112" i="1" a="1"/>
  <c r="AS112" i="1" s="1"/>
  <c r="AW112" i="1" a="1"/>
  <c r="AW112" i="1" s="1"/>
  <c r="AX115" i="1" a="1"/>
  <c r="AX115" i="1" s="1"/>
  <c r="AN106" i="1" a="1"/>
  <c r="AN106" i="1" s="1"/>
  <c r="AV109" i="1" a="1"/>
  <c r="AV109" i="1" s="1"/>
  <c r="AQ102" i="1" a="1"/>
  <c r="AQ102" i="1" s="1"/>
  <c r="AQ105" i="1" a="1"/>
  <c r="AQ105" i="1" s="1"/>
  <c r="AN107" i="1" a="1"/>
  <c r="AN107" i="1" s="1"/>
  <c r="AQ101" i="1" a="1"/>
  <c r="AQ101" i="1" s="1"/>
  <c r="AP102" i="1" a="1"/>
  <c r="AP102" i="1" s="1"/>
  <c r="AN104" i="1" a="1"/>
  <c r="AN104" i="1" s="1"/>
  <c r="AQ106" i="1" a="1"/>
  <c r="AQ106" i="1" s="1"/>
  <c r="AP108" i="1" a="1"/>
  <c r="AP108" i="1" s="1"/>
  <c r="AQ114" i="1" a="1"/>
  <c r="AQ114" i="1" s="1"/>
  <c r="AP114" i="1" a="1"/>
  <c r="AP114" i="1" s="1"/>
  <c r="AW101" i="1" a="1"/>
  <c r="AW101" i="1" s="1"/>
  <c r="AX101" i="1" a="1"/>
  <c r="AX101" i="1" s="1"/>
  <c r="AQ103" i="1" a="1"/>
  <c r="AQ103" i="1" s="1"/>
  <c r="AP104" i="1" a="1"/>
  <c r="AP104" i="1" s="1"/>
  <c r="AN105" i="1" a="1"/>
  <c r="AN105" i="1" s="1"/>
  <c r="AQ107" i="1" a="1"/>
  <c r="AQ107" i="1" s="1"/>
  <c r="AM110" i="1" a="1"/>
  <c r="AM110" i="1" s="1"/>
  <c r="AQ112" i="1" a="1"/>
  <c r="AQ112" i="1" s="1"/>
  <c r="AQ113" i="1" a="1"/>
  <c r="AQ113" i="1" s="1"/>
  <c r="AM114" i="1" a="1"/>
  <c r="AM114" i="1" s="1"/>
  <c r="AN115" i="1" a="1"/>
  <c r="AN115" i="1" s="1"/>
  <c r="AM113" i="1" a="1"/>
  <c r="AM113" i="1" s="1"/>
  <c r="AT115" i="1" a="1"/>
  <c r="AT115" i="1" s="1"/>
  <c r="AW111" i="1" a="1"/>
  <c r="AW111" i="1" s="1"/>
  <c r="AT107" i="1" a="1"/>
  <c r="AT107" i="1" s="1"/>
  <c r="AX107" i="1" a="1"/>
  <c r="AX107" i="1" s="1"/>
  <c r="AX103" i="1" a="1"/>
  <c r="AX103" i="1" s="1"/>
  <c r="AT108" i="1" a="1"/>
  <c r="AT108" i="1" s="1"/>
  <c r="AX112" i="1" a="1"/>
  <c r="AX112" i="1" s="1"/>
  <c r="AP110" i="1" a="1"/>
  <c r="AP110" i="1" s="1"/>
  <c r="AR101" i="1" a="1"/>
  <c r="AR101" i="1" s="1"/>
  <c r="AQ108" i="1" a="1"/>
  <c r="AQ108" i="1" s="1"/>
  <c r="AN109" i="1" a="1"/>
  <c r="AN109" i="1" s="1"/>
  <c r="AQ110" i="1" a="1"/>
  <c r="AQ110" i="1" s="1"/>
  <c r="AP111" i="1" a="1"/>
  <c r="AP111" i="1" s="1"/>
  <c r="AM112" i="1" a="1"/>
  <c r="AM112" i="1" s="1"/>
  <c r="AM116" i="1" a="1"/>
  <c r="AM116" i="1" s="1"/>
  <c r="AP116" i="1" a="1"/>
  <c r="AP116" i="1" s="1"/>
  <c r="H14" i="27" a="1"/>
  <c r="H14" i="27" s="1"/>
  <c r="AR114" i="1" a="1"/>
  <c r="AR114" i="1" s="1"/>
  <c r="AS111" i="1" a="1"/>
  <c r="AS111" i="1" s="1"/>
  <c r="AV112" i="1" a="1"/>
  <c r="AV112" i="1" s="1"/>
  <c r="AX108" i="1" a="1"/>
  <c r="AX108" i="1" s="1"/>
  <c r="AR107" i="1" a="1"/>
  <c r="AR107" i="1" s="1"/>
  <c r="AV105" i="1" a="1"/>
  <c r="AV105" i="1" s="1"/>
  <c r="AS105" i="1" a="1"/>
  <c r="AS105" i="1" s="1"/>
  <c r="AV102" i="1" a="1"/>
  <c r="AV102" i="1" s="1"/>
  <c r="AV103" i="1" a="1"/>
  <c r="AV103" i="1" s="1"/>
  <c r="AV111" i="1" a="1"/>
  <c r="AV111" i="1" s="1"/>
  <c r="AT109" i="1" a="1"/>
  <c r="AT109" i="1" s="1"/>
  <c r="AS110" i="1" a="1"/>
  <c r="AS110" i="1" s="1"/>
  <c r="AS113" i="1" a="1"/>
  <c r="AS113" i="1" s="1"/>
  <c r="AT114" i="1" a="1"/>
  <c r="AT114" i="1" s="1"/>
  <c r="AW115" i="1" a="1"/>
  <c r="AW115" i="1" s="1"/>
  <c r="AX110" i="1" a="1"/>
  <c r="AX110" i="1" s="1"/>
  <c r="AQ109" i="1" a="1"/>
  <c r="AQ109" i="1" s="1"/>
  <c r="AQ116" i="1" a="1"/>
  <c r="AQ116" i="1" s="1"/>
  <c r="AP105" i="1" a="1"/>
  <c r="AP105" i="1" s="1"/>
  <c r="AM109" i="1" a="1"/>
  <c r="AM109" i="1" s="1"/>
  <c r="AN110" i="1" a="1"/>
  <c r="AN110" i="1" s="1"/>
  <c r="AP112" i="1" a="1"/>
  <c r="AP112" i="1" s="1"/>
  <c r="AN112" i="1" a="1"/>
  <c r="AN112" i="1" s="1"/>
  <c r="AN114" i="1" a="1"/>
  <c r="AN114" i="1" s="1"/>
  <c r="AN116" i="1" a="1"/>
  <c r="AN116" i="1" s="1"/>
  <c r="AV108" i="1" a="1"/>
  <c r="AV108" i="1" s="1"/>
  <c r="AS106" i="1" a="1"/>
  <c r="AS106" i="1" s="1"/>
  <c r="AR106" i="1" a="1"/>
  <c r="AR106" i="1" s="1"/>
  <c r="AW106" i="1" a="1"/>
  <c r="AW106" i="1" s="1"/>
  <c r="AT106" i="1" a="1"/>
  <c r="AT106" i="1" s="1"/>
  <c r="AT102" i="1" a="1"/>
  <c r="AT102" i="1" s="1"/>
  <c r="AR113" i="1" a="1"/>
  <c r="AR113" i="1" s="1"/>
  <c r="AS109" i="1" a="1"/>
  <c r="AS109" i="1" s="1"/>
  <c r="AT113" i="1" a="1"/>
  <c r="AT113" i="1" s="1"/>
  <c r="AW109" i="1" a="1"/>
  <c r="AW109" i="1" s="1"/>
  <c r="AX111" i="1" a="1"/>
  <c r="AX111" i="1" s="1"/>
  <c r="AV114" i="1" a="1"/>
  <c r="AV114" i="1" s="1"/>
  <c r="AS108" i="1" a="1"/>
  <c r="AS108" i="1" s="1"/>
  <c r="AW107" i="1" a="1"/>
  <c r="AW107" i="1" s="1"/>
  <c r="AX102" i="1" a="1"/>
  <c r="AX102" i="1" s="1"/>
  <c r="AR102" i="1" a="1"/>
  <c r="AR102" i="1" s="1"/>
  <c r="AR103" i="1" a="1"/>
  <c r="AR103" i="1" s="1"/>
  <c r="AR116" i="1" a="1"/>
  <c r="AR116" i="1" s="1"/>
  <c r="AS114" i="1" a="1"/>
  <c r="AS114" i="1" s="1"/>
  <c r="AX114" i="1" a="1"/>
  <c r="AX114" i="1" s="1"/>
  <c r="AT101" i="1" a="1"/>
  <c r="AT101" i="1" s="1"/>
  <c r="AM102" i="1" a="1"/>
  <c r="AM102" i="1" s="1"/>
  <c r="AM106" i="1" a="1"/>
  <c r="AM106" i="1" s="1"/>
  <c r="AV101" i="1" a="1"/>
  <c r="AV101" i="1" s="1"/>
  <c r="AN102" i="1" a="1"/>
  <c r="AN102" i="1" s="1"/>
  <c r="AM103" i="1" a="1"/>
  <c r="AM103" i="1" s="1"/>
  <c r="AM107" i="1" a="1"/>
  <c r="AM107" i="1" s="1"/>
  <c r="AM111" i="1" a="1"/>
  <c r="AM111" i="1" s="1"/>
  <c r="AP115" i="1" a="1"/>
  <c r="AP115" i="1" s="1"/>
  <c r="AQ115" i="1" a="1"/>
  <c r="AQ115" i="1" s="1"/>
  <c r="AW110" i="1" a="1"/>
  <c r="AW110" i="1" s="1"/>
  <c r="AV110" i="1" a="1"/>
  <c r="AV110" i="1" s="1"/>
  <c r="AX105" i="1" a="1"/>
  <c r="AX105" i="1" s="1"/>
  <c r="AR105" i="1" a="1"/>
  <c r="AR105" i="1" s="1"/>
  <c r="AW105" i="1" a="1"/>
  <c r="AW105" i="1" s="1"/>
  <c r="AV113" i="1" a="1"/>
  <c r="AV113" i="1" s="1"/>
  <c r="AT110" i="1" a="1"/>
  <c r="AT110" i="1" s="1"/>
  <c r="AT111" i="1" a="1"/>
  <c r="AT111" i="1" s="1"/>
  <c r="AW113" i="1" a="1"/>
  <c r="AW113" i="1" s="1"/>
  <c r="AW108" i="1" a="1"/>
  <c r="AW108" i="1" s="1"/>
  <c r="W201" i="24"/>
  <c r="AN66" i="24"/>
  <c r="AN24" i="24"/>
  <c r="V214" i="24"/>
  <c r="V215" i="24" s="1"/>
  <c r="V212" i="24"/>
  <c r="V213" i="24" s="1"/>
  <c r="W213" i="24" s="1"/>
  <c r="AE42" i="24"/>
  <c r="AD28" i="24"/>
  <c r="AF28" i="24" s="1"/>
  <c r="U28" i="24"/>
  <c r="AA28" i="24" s="1"/>
  <c r="S28" i="24"/>
  <c r="T28" i="24" s="1"/>
  <c r="W203" i="24"/>
  <c r="AD98" i="24"/>
  <c r="AF98" i="24" s="1"/>
  <c r="AB188" i="24"/>
  <c r="AB189" i="24" s="1"/>
  <c r="AB190" i="24" s="1"/>
  <c r="AA153" i="24"/>
  <c r="AB153" i="24" s="1"/>
  <c r="AA201" i="24"/>
  <c r="AA213" i="24"/>
  <c r="X213" i="24"/>
  <c r="Y213" i="24" s="1"/>
  <c r="X214" i="24"/>
  <c r="Y214" i="24" s="1"/>
  <c r="X216" i="24"/>
  <c r="Y216" i="24" s="1"/>
  <c r="X215" i="24"/>
  <c r="Y215" i="24" s="1"/>
  <c r="X217" i="24"/>
  <c r="Y217" i="24" s="1"/>
  <c r="AB175" i="24"/>
  <c r="AA176" i="24"/>
  <c r="AB191" i="24"/>
  <c r="AA192" i="24"/>
  <c r="AA193" i="24" s="1"/>
  <c r="AB193" i="24" s="1"/>
  <c r="AB194" i="24" s="1"/>
  <c r="AA199" i="24"/>
  <c r="AB199" i="24" s="1"/>
  <c r="AB200" i="24" s="1"/>
  <c r="AB185" i="24"/>
  <c r="G204" i="25"/>
  <c r="G197" i="25"/>
  <c r="G196" i="25"/>
  <c r="O153" i="24"/>
  <c r="AE98" i="24"/>
  <c r="U98" i="24"/>
  <c r="AA98" i="24" s="1"/>
  <c r="Q27" i="24"/>
  <c r="O209" i="24"/>
  <c r="O55" i="24"/>
  <c r="Q111" i="24"/>
  <c r="Q139" i="24"/>
  <c r="Q181" i="24"/>
  <c r="Q55" i="24"/>
  <c r="O195" i="24"/>
  <c r="O139" i="24"/>
  <c r="Q195" i="24"/>
  <c r="Q83" i="24"/>
  <c r="Q223" i="24"/>
  <c r="O223" i="24"/>
  <c r="Q41" i="24"/>
  <c r="Q97" i="24"/>
  <c r="Q13" i="24"/>
  <c r="O181" i="24"/>
  <c r="Q167" i="24"/>
  <c r="O167" i="24"/>
  <c r="Q69" i="24"/>
  <c r="Q209" i="24"/>
  <c r="Q125" i="24"/>
  <c r="Q153" i="24"/>
  <c r="O125" i="24"/>
  <c r="H218" i="25"/>
  <c r="L112" i="24"/>
  <c r="H224" i="25"/>
  <c r="L196" i="24"/>
  <c r="H225" i="25"/>
  <c r="L210" i="24"/>
  <c r="H215" i="25"/>
  <c r="L70" i="24"/>
  <c r="H216" i="25"/>
  <c r="L84" i="24"/>
  <c r="H214" i="25"/>
  <c r="L56" i="24"/>
  <c r="H222" i="25"/>
  <c r="L168" i="24"/>
  <c r="H219" i="25"/>
  <c r="L126" i="24"/>
  <c r="F213" i="25"/>
  <c r="I213" i="25" s="1"/>
  <c r="H221" i="25"/>
  <c r="L154" i="24"/>
  <c r="F218" i="25"/>
  <c r="I218" i="25" s="1"/>
  <c r="H223" i="25"/>
  <c r="L182" i="24"/>
  <c r="K113" i="24"/>
  <c r="AE113" i="24" s="1"/>
  <c r="E141" i="24" a="1"/>
  <c r="E141" i="24" s="1"/>
  <c r="F17" i="27" s="1" a="1"/>
  <c r="F17" i="27" s="1"/>
  <c r="E71" i="24" a="1"/>
  <c r="E71" i="24" s="1"/>
  <c r="F71" i="24" s="1"/>
  <c r="E211" i="24" a="1"/>
  <c r="E211" i="24" s="1"/>
  <c r="F211" i="24" s="1"/>
  <c r="E43" i="24" a="1"/>
  <c r="E43" i="24" s="1"/>
  <c r="F43" i="24" s="1"/>
  <c r="H211" i="25"/>
  <c r="L14" i="24"/>
  <c r="F214" i="25"/>
  <c r="I214" i="25" s="1"/>
  <c r="F216" i="25"/>
  <c r="I216" i="25" s="1"/>
  <c r="G198" i="25"/>
  <c r="G206" i="25"/>
  <c r="E225" i="24" a="1"/>
  <c r="E225" i="24" s="1"/>
  <c r="F221" i="25"/>
  <c r="I221" i="25" s="1"/>
  <c r="F223" i="25"/>
  <c r="I223" i="25" s="1"/>
  <c r="K183" i="24"/>
  <c r="S183" i="24" s="1"/>
  <c r="E85" i="24" a="1"/>
  <c r="E85" i="24" s="1"/>
  <c r="E99" i="24" a="1"/>
  <c r="E99" i="24" s="1"/>
  <c r="K225" i="24"/>
  <c r="AD225" i="24" s="1"/>
  <c r="AF225" i="24" s="1"/>
  <c r="K169" i="24"/>
  <c r="S169" i="24" s="1"/>
  <c r="F211" i="25"/>
  <c r="I211" i="25" s="1"/>
  <c r="H212" i="25"/>
  <c r="L28" i="24"/>
  <c r="G210" i="25"/>
  <c r="G208" i="25"/>
  <c r="G203" i="25"/>
  <c r="G207" i="25"/>
  <c r="K57" i="24"/>
  <c r="U57" i="24" s="1"/>
  <c r="E169" i="24" a="1"/>
  <c r="E169" i="24" s="1"/>
  <c r="F169" i="24" s="1"/>
  <c r="F224" i="25"/>
  <c r="I224" i="25" s="1"/>
  <c r="F222" i="25"/>
  <c r="I222" i="25" s="1"/>
  <c r="F215" i="25"/>
  <c r="I215" i="25" s="1"/>
  <c r="E127" i="24" a="1"/>
  <c r="E127" i="24" s="1"/>
  <c r="E57" i="24" a="1"/>
  <c r="E57" i="24" s="1"/>
  <c r="J15" i="27" a="1"/>
  <c r="J15" i="27" s="1"/>
  <c r="F212" i="25"/>
  <c r="I212" i="25" s="1"/>
  <c r="K11" i="27" a="1"/>
  <c r="K11" i="27" s="1"/>
  <c r="H226" i="25"/>
  <c r="L224" i="24"/>
  <c r="G205" i="25"/>
  <c r="H213" i="25"/>
  <c r="L42" i="24"/>
  <c r="H217" i="25"/>
  <c r="L98" i="24"/>
  <c r="F219" i="25"/>
  <c r="I219" i="25" s="1"/>
  <c r="G219" i="25" s="1"/>
  <c r="H220" i="25"/>
  <c r="L140" i="24"/>
  <c r="G202" i="25"/>
  <c r="G200" i="25"/>
  <c r="K85" i="24"/>
  <c r="U85" i="24" s="1"/>
  <c r="E183" i="24" a="1"/>
  <c r="E183" i="24" s="1"/>
  <c r="F183" i="24" s="1"/>
  <c r="E197" i="24" a="1"/>
  <c r="E197" i="24" s="1"/>
  <c r="F197" i="24" s="1"/>
  <c r="K5" i="27" a="1"/>
  <c r="K5" i="27" s="1"/>
  <c r="F225" i="25"/>
  <c r="I225" i="25" s="1"/>
  <c r="G199" i="25"/>
  <c r="O83" i="24"/>
  <c r="O111" i="24"/>
  <c r="O97" i="24"/>
  <c r="O13" i="24"/>
  <c r="O41" i="24"/>
  <c r="O69" i="24"/>
  <c r="O27" i="24"/>
  <c r="E113" i="24" a="1"/>
  <c r="E113" i="24" s="1"/>
  <c r="F217" i="25"/>
  <c r="I217" i="25" s="1"/>
  <c r="F226" i="25"/>
  <c r="I226" i="25" s="1"/>
  <c r="F220" i="25"/>
  <c r="I220" i="25" s="1"/>
  <c r="G201" i="25"/>
  <c r="G209" i="25"/>
  <c r="AD42" i="24"/>
  <c r="AF42" i="24" s="1"/>
  <c r="S42" i="24"/>
  <c r="T42" i="24" s="1"/>
  <c r="F8" i="24"/>
  <c r="V8" i="24" s="1"/>
  <c r="K71" i="24"/>
  <c r="AD71" i="24" s="1"/>
  <c r="K6" i="27" a="1"/>
  <c r="K6" i="27" s="1"/>
  <c r="K9" i="27" a="1"/>
  <c r="K9" i="27" s="1"/>
  <c r="J14" i="27" a="1"/>
  <c r="J14" i="27" s="1"/>
  <c r="J8" i="27" a="1"/>
  <c r="J8" i="27" s="1"/>
  <c r="K43" i="24"/>
  <c r="J7" i="27" a="1"/>
  <c r="J7" i="27" s="1"/>
  <c r="J12" i="27" a="1"/>
  <c r="J12" i="27" s="1"/>
  <c r="K17" i="27" a="1"/>
  <c r="K17" i="27" s="1"/>
  <c r="K15" i="27" a="1"/>
  <c r="K15" i="27" s="1"/>
  <c r="K16" i="27" a="1"/>
  <c r="K16" i="27" s="1"/>
  <c r="K7" i="27" a="1"/>
  <c r="K7" i="27" s="1"/>
  <c r="K14" i="27" a="1"/>
  <c r="K14" i="27" s="1"/>
  <c r="J10" i="27" a="1"/>
  <c r="J10" i="27" s="1"/>
  <c r="AE197" i="24"/>
  <c r="U197" i="24"/>
  <c r="S197" i="24"/>
  <c r="K141" i="24"/>
  <c r="J11" i="27" a="1"/>
  <c r="J11" i="27" s="1"/>
  <c r="J13" i="27" a="1"/>
  <c r="J13" i="27" s="1"/>
  <c r="K29" i="24"/>
  <c r="J4" i="27" a="1"/>
  <c r="J4" i="27" s="1"/>
  <c r="K10" i="27" a="1"/>
  <c r="K10" i="27" s="1"/>
  <c r="J9" i="27" a="1"/>
  <c r="J9" i="27" s="1"/>
  <c r="K211" i="24"/>
  <c r="AD211" i="24" s="1"/>
  <c r="S155" i="24"/>
  <c r="AE155" i="24"/>
  <c r="U155" i="24"/>
  <c r="AA155" i="24" s="1"/>
  <c r="K127" i="24"/>
  <c r="AD127" i="24" s="1"/>
  <c r="J6" i="27" a="1"/>
  <c r="J6" i="27" s="1"/>
  <c r="K8" i="27" a="1"/>
  <c r="K8" i="27" s="1"/>
  <c r="J17" i="27" a="1"/>
  <c r="J17" i="27" s="1"/>
  <c r="K99" i="24"/>
  <c r="K12" i="27" a="1"/>
  <c r="K12" i="27" s="1"/>
  <c r="J5" i="27" a="1"/>
  <c r="J5" i="27" s="1"/>
  <c r="K13" i="27" a="1"/>
  <c r="K13" i="27" s="1"/>
  <c r="F41" i="1" a="1"/>
  <c r="F41" i="1" s="1"/>
  <c r="D41" i="1" s="1" a="1"/>
  <c r="D41" i="1" s="1"/>
  <c r="I41" i="1" a="1"/>
  <c r="I41" i="1" s="1"/>
  <c r="G41" i="1" s="1" a="1"/>
  <c r="G41" i="1" s="1"/>
  <c r="AO24" i="24" a="1"/>
  <c r="AO24" i="24" s="1"/>
  <c r="AH13" i="24"/>
  <c r="AH96" i="24"/>
  <c r="AH40" i="24"/>
  <c r="AH110" i="24"/>
  <c r="AH68" i="24"/>
  <c r="AH82" i="24"/>
  <c r="AH54" i="24"/>
  <c r="R124" i="24"/>
  <c r="R201" i="24"/>
  <c r="R194" i="24"/>
  <c r="R200" i="24"/>
  <c r="R206" i="24"/>
  <c r="R204" i="24"/>
  <c r="R198" i="24"/>
  <c r="R203" i="24"/>
  <c r="R207" i="24"/>
  <c r="R138" i="24"/>
  <c r="R205" i="24"/>
  <c r="R202" i="24"/>
  <c r="R199" i="24"/>
  <c r="AA217" i="24"/>
  <c r="AU42" i="24"/>
  <c r="AU89" i="24"/>
  <c r="AU69" i="24"/>
  <c r="AU54" i="24"/>
  <c r="AG25" i="24"/>
  <c r="AU35" i="24"/>
  <c r="AG70" i="24"/>
  <c r="AU96" i="24"/>
  <c r="AU74" i="24"/>
  <c r="AU59" i="24"/>
  <c r="AU55" i="24"/>
  <c r="AG21" i="24"/>
  <c r="AU34" i="24"/>
  <c r="AU18" i="24"/>
  <c r="AA218" i="24"/>
  <c r="AA219" i="24" s="1"/>
  <c r="X218" i="24"/>
  <c r="Y218" i="24" s="1"/>
  <c r="AA203" i="24"/>
  <c r="AS124" i="24"/>
  <c r="AS202" i="24"/>
  <c r="N13" i="24"/>
  <c r="P13" i="24"/>
  <c r="AS201" i="24"/>
  <c r="T209" i="24"/>
  <c r="P153" i="24"/>
  <c r="AS54" i="24"/>
  <c r="AS194" i="24"/>
  <c r="R68" i="24"/>
  <c r="P209" i="24"/>
  <c r="R110" i="24"/>
  <c r="N125" i="24"/>
  <c r="R82" i="24"/>
  <c r="U210" i="24"/>
  <c r="S210" i="24"/>
  <c r="AE210" i="24"/>
  <c r="AD210" i="24"/>
  <c r="P83" i="24"/>
  <c r="P139" i="24"/>
  <c r="AA181" i="24"/>
  <c r="AB181" i="24" s="1"/>
  <c r="Z181" i="24"/>
  <c r="N153" i="24"/>
  <c r="AS55" i="24"/>
  <c r="AF55" i="24"/>
  <c r="AS217" i="24"/>
  <c r="AS35" i="24"/>
  <c r="AS147" i="24"/>
  <c r="AS105" i="24"/>
  <c r="AS49" i="24"/>
  <c r="AS91" i="24"/>
  <c r="AS189" i="24"/>
  <c r="AS133" i="24"/>
  <c r="AS77" i="24"/>
  <c r="AS175" i="24"/>
  <c r="AS21" i="24"/>
  <c r="AS119" i="24"/>
  <c r="AS203" i="24"/>
  <c r="AS63" i="24"/>
  <c r="AS161" i="24"/>
  <c r="AQ223" i="24"/>
  <c r="AG223" i="24"/>
  <c r="AF223" i="24"/>
  <c r="AG167" i="24"/>
  <c r="AG139" i="24"/>
  <c r="AG195" i="24"/>
  <c r="AG153" i="24"/>
  <c r="AH153" i="24" s="1"/>
  <c r="AG209" i="24"/>
  <c r="AG181" i="24"/>
  <c r="AU181" i="24"/>
  <c r="AQ41" i="24"/>
  <c r="AQ83" i="24"/>
  <c r="AQ167" i="24"/>
  <c r="AQ209" i="24"/>
  <c r="AQ97" i="24"/>
  <c r="AQ181" i="24"/>
  <c r="AQ27" i="24"/>
  <c r="AQ195" i="24"/>
  <c r="AQ55" i="24"/>
  <c r="AQ111" i="24"/>
  <c r="AQ69" i="24"/>
  <c r="AQ125" i="24"/>
  <c r="AQ139" i="24"/>
  <c r="AQ153" i="24"/>
  <c r="AQ218" i="24"/>
  <c r="AG218" i="24"/>
  <c r="AF218" i="24"/>
  <c r="AG120" i="24"/>
  <c r="AG162" i="24"/>
  <c r="AG204" i="24"/>
  <c r="AH204" i="24" s="1"/>
  <c r="AU190" i="24"/>
  <c r="AU176" i="24"/>
  <c r="AG176" i="24"/>
  <c r="AG134" i="24"/>
  <c r="AG190" i="24"/>
  <c r="AU120" i="24"/>
  <c r="AU204" i="24"/>
  <c r="AU162" i="24"/>
  <c r="AU148" i="24"/>
  <c r="AU134" i="24"/>
  <c r="AQ36" i="24"/>
  <c r="AQ190" i="24"/>
  <c r="AQ64" i="24"/>
  <c r="AM64" i="24" s="1"/>
  <c r="AQ204" i="24"/>
  <c r="AQ106" i="24"/>
  <c r="AQ50" i="24"/>
  <c r="AQ134" i="24"/>
  <c r="AQ22" i="24"/>
  <c r="AM22" i="24" s="1"/>
  <c r="AQ78" i="24"/>
  <c r="AQ148" i="24"/>
  <c r="AQ162" i="24"/>
  <c r="AQ120" i="24"/>
  <c r="AQ92" i="24"/>
  <c r="AQ176" i="24"/>
  <c r="AA125" i="24"/>
  <c r="Z125" i="24"/>
  <c r="AX64" i="26" a="1"/>
  <c r="AX64" i="26" s="1"/>
  <c r="AX69" i="26" a="1"/>
  <c r="AX69" i="26" s="1"/>
  <c r="AE84" i="24"/>
  <c r="S84" i="24"/>
  <c r="U84" i="24"/>
  <c r="AD84" i="24"/>
  <c r="U154" i="24"/>
  <c r="S154" i="24"/>
  <c r="AE154" i="24"/>
  <c r="AD154" i="24"/>
  <c r="AD155" i="24"/>
  <c r="T223" i="24"/>
  <c r="T218" i="24"/>
  <c r="T221" i="24"/>
  <c r="T219" i="24"/>
  <c r="T222" i="24"/>
  <c r="T220" i="24"/>
  <c r="T217" i="24"/>
  <c r="AA167" i="24"/>
  <c r="Z167" i="24"/>
  <c r="AW73" i="26" a="1"/>
  <c r="AW73" i="26" s="1"/>
  <c r="N69" i="24"/>
  <c r="P125" i="24"/>
  <c r="AS111" i="24"/>
  <c r="AF111" i="24"/>
  <c r="AA223" i="24"/>
  <c r="N167" i="24"/>
  <c r="AS69" i="24"/>
  <c r="AF69" i="24"/>
  <c r="AS153" i="24"/>
  <c r="AS195" i="24"/>
  <c r="AF195" i="24"/>
  <c r="AQ220" i="24"/>
  <c r="AG220" i="24"/>
  <c r="AF220" i="24"/>
  <c r="AU136" i="24"/>
  <c r="AG136" i="24"/>
  <c r="AG122" i="24"/>
  <c r="AG164" i="24"/>
  <c r="AU192" i="24"/>
  <c r="AU164" i="24"/>
  <c r="AU178" i="24"/>
  <c r="AU150" i="24"/>
  <c r="AU220" i="24"/>
  <c r="AU122" i="24"/>
  <c r="AU206" i="24"/>
  <c r="AG192" i="24"/>
  <c r="AG206" i="24"/>
  <c r="AH206" i="24" s="1"/>
  <c r="AG150" i="24"/>
  <c r="AG178" i="24"/>
  <c r="AQ38" i="24"/>
  <c r="AQ164" i="24"/>
  <c r="AQ94" i="24"/>
  <c r="AQ178" i="24"/>
  <c r="AQ192" i="24"/>
  <c r="AQ52" i="24"/>
  <c r="AQ122" i="24"/>
  <c r="AQ206" i="24"/>
  <c r="AQ66" i="24"/>
  <c r="AM66" i="24" s="1"/>
  <c r="AQ108" i="24"/>
  <c r="AQ136" i="24"/>
  <c r="AQ24" i="24"/>
  <c r="AM24" i="24" s="1"/>
  <c r="AQ80" i="24"/>
  <c r="AQ150" i="24"/>
  <c r="S224" i="24"/>
  <c r="U224" i="24"/>
  <c r="AE224" i="24"/>
  <c r="U196" i="24"/>
  <c r="AE196" i="24"/>
  <c r="S196" i="24"/>
  <c r="AD196" i="24"/>
  <c r="AD197" i="24"/>
  <c r="K14" i="24"/>
  <c r="AD15" i="24" s="1"/>
  <c r="AF15" i="24" s="1"/>
  <c r="P27" i="24"/>
  <c r="P69" i="24"/>
  <c r="R153" i="24"/>
  <c r="AS83" i="24"/>
  <c r="AF83" i="24"/>
  <c r="N195" i="24"/>
  <c r="AA55" i="24"/>
  <c r="AB55" i="24" s="1"/>
  <c r="Z55" i="24"/>
  <c r="AS222" i="24"/>
  <c r="AG217" i="24"/>
  <c r="AF217" i="24"/>
  <c r="AQ217" i="24"/>
  <c r="AG133" i="24"/>
  <c r="AU133" i="24"/>
  <c r="AU161" i="24"/>
  <c r="AG203" i="24"/>
  <c r="AH203" i="24" s="1"/>
  <c r="AU175" i="24"/>
  <c r="AU189" i="24"/>
  <c r="AU147" i="24"/>
  <c r="AG175" i="24"/>
  <c r="AG161" i="24"/>
  <c r="AU119" i="24"/>
  <c r="AU217" i="24"/>
  <c r="AG189" i="24"/>
  <c r="AG147" i="24"/>
  <c r="AG119" i="24"/>
  <c r="AQ35" i="24"/>
  <c r="AQ91" i="24"/>
  <c r="AQ189" i="24"/>
  <c r="AQ49" i="24"/>
  <c r="AQ105" i="24"/>
  <c r="AQ203" i="24"/>
  <c r="AQ133" i="24"/>
  <c r="AQ21" i="24"/>
  <c r="AQ77" i="24"/>
  <c r="AQ147" i="24"/>
  <c r="AQ119" i="24"/>
  <c r="AQ161" i="24"/>
  <c r="AQ175" i="24"/>
  <c r="AQ63" i="24"/>
  <c r="AE112" i="24"/>
  <c r="U112" i="24"/>
  <c r="S112" i="24"/>
  <c r="AD112" i="24"/>
  <c r="U182" i="24"/>
  <c r="S182" i="24"/>
  <c r="AE182" i="24"/>
  <c r="AD182" i="24"/>
  <c r="AS209" i="24"/>
  <c r="AF209" i="24"/>
  <c r="N41" i="24"/>
  <c r="N83" i="24"/>
  <c r="P167" i="24"/>
  <c r="AW66" i="26" a="1"/>
  <c r="AW66" i="26" s="1"/>
  <c r="AS208" i="24"/>
  <c r="AF208" i="24"/>
  <c r="AS96" i="24"/>
  <c r="AS139" i="24"/>
  <c r="AF139" i="24"/>
  <c r="N181" i="24"/>
  <c r="AS219" i="24"/>
  <c r="AS177" i="24"/>
  <c r="AS149" i="24"/>
  <c r="AS23" i="24"/>
  <c r="AS121" i="24"/>
  <c r="AS163" i="24"/>
  <c r="AS37" i="24"/>
  <c r="AS107" i="24"/>
  <c r="AS191" i="24"/>
  <c r="AS79" i="24"/>
  <c r="AS205" i="24"/>
  <c r="AS93" i="24"/>
  <c r="AS135" i="24"/>
  <c r="AS51" i="24"/>
  <c r="AS65" i="24"/>
  <c r="AA195" i="24"/>
  <c r="Z195" i="24"/>
  <c r="AG225" i="24"/>
  <c r="AQ225" i="24"/>
  <c r="AU195" i="24"/>
  <c r="AU203" i="24"/>
  <c r="AU218" i="24"/>
  <c r="AG127" i="24"/>
  <c r="AU211" i="24"/>
  <c r="AG125" i="24"/>
  <c r="AU135" i="24"/>
  <c r="AG148" i="24"/>
  <c r="AG183" i="24"/>
  <c r="AU149" i="24"/>
  <c r="AU222" i="24"/>
  <c r="AU123" i="24"/>
  <c r="AU205" i="24"/>
  <c r="AU197" i="24"/>
  <c r="AU209" i="24"/>
  <c r="AG211" i="24"/>
  <c r="AU193" i="24"/>
  <c r="AU155" i="24"/>
  <c r="AU179" i="24"/>
  <c r="AG121" i="24"/>
  <c r="AG141" i="24"/>
  <c r="AU151" i="24"/>
  <c r="AU225" i="24"/>
  <c r="AU169" i="24"/>
  <c r="AU165" i="24"/>
  <c r="AU177" i="24"/>
  <c r="AU207" i="24"/>
  <c r="AU219" i="24"/>
  <c r="AU183" i="24"/>
  <c r="AG155" i="24"/>
  <c r="AU141" i="24"/>
  <c r="AG169" i="24"/>
  <c r="AU127" i="24"/>
  <c r="AG197" i="24"/>
  <c r="AU139" i="24"/>
  <c r="AU121" i="24"/>
  <c r="AU125" i="24"/>
  <c r="AU223" i="24"/>
  <c r="AU167" i="24"/>
  <c r="AG135" i="24"/>
  <c r="AU191" i="24"/>
  <c r="AU153" i="24"/>
  <c r="AU163" i="24"/>
  <c r="AQ29" i="24"/>
  <c r="AQ169" i="24"/>
  <c r="AQ183" i="24"/>
  <c r="AQ57" i="24"/>
  <c r="E17" i="27" s="1" a="1"/>
  <c r="E17" i="27" s="1"/>
  <c r="AQ99" i="24"/>
  <c r="AQ211" i="24"/>
  <c r="AQ113" i="24"/>
  <c r="AQ127" i="24"/>
  <c r="AQ71" i="24"/>
  <c r="AQ141" i="24"/>
  <c r="AQ197" i="24"/>
  <c r="AQ43" i="24"/>
  <c r="AQ85" i="24"/>
  <c r="AQ155" i="24"/>
  <c r="AS180" i="24"/>
  <c r="AS68" i="24"/>
  <c r="K140" i="24"/>
  <c r="S56" i="24"/>
  <c r="U56" i="24"/>
  <c r="AE56" i="24"/>
  <c r="AD56" i="24"/>
  <c r="Z217" i="24"/>
  <c r="Z220" i="24"/>
  <c r="Z223" i="24"/>
  <c r="Z218" i="24"/>
  <c r="Z221" i="24"/>
  <c r="Z219" i="24"/>
  <c r="Z222" i="24"/>
  <c r="AS152" i="24"/>
  <c r="R96" i="24"/>
  <c r="P41" i="24"/>
  <c r="P97" i="24"/>
  <c r="P181" i="24"/>
  <c r="R40" i="24"/>
  <c r="AS110" i="24"/>
  <c r="AS181" i="24"/>
  <c r="AF181" i="24"/>
  <c r="AA111" i="24"/>
  <c r="AB111" i="24" s="1"/>
  <c r="Z111" i="24"/>
  <c r="AA139" i="24"/>
  <c r="Z139" i="24"/>
  <c r="T98" i="24"/>
  <c r="N209" i="24"/>
  <c r="AS26" i="24"/>
  <c r="AA69" i="24"/>
  <c r="Z69" i="24"/>
  <c r="AD224" i="24"/>
  <c r="AF224" i="24" s="1"/>
  <c r="AF222" i="24"/>
  <c r="AQ222" i="24"/>
  <c r="AG222" i="24"/>
  <c r="AU152" i="24"/>
  <c r="AU166" i="24"/>
  <c r="AG166" i="24"/>
  <c r="AG208" i="24"/>
  <c r="AU194" i="24"/>
  <c r="AU180" i="24"/>
  <c r="AG138" i="24"/>
  <c r="AH138" i="24" s="1"/>
  <c r="AG124" i="24"/>
  <c r="AH124" i="24" s="1"/>
  <c r="AU138" i="24"/>
  <c r="AU208" i="24"/>
  <c r="AG194" i="24"/>
  <c r="AH194" i="24" s="1"/>
  <c r="AU124" i="24"/>
  <c r="AG152" i="24"/>
  <c r="AH152" i="24" s="1"/>
  <c r="AG180" i="24"/>
  <c r="AQ110" i="24"/>
  <c r="AQ152" i="24"/>
  <c r="AQ68" i="24"/>
  <c r="AQ124" i="24"/>
  <c r="AQ138" i="24"/>
  <c r="AQ40" i="24"/>
  <c r="AQ82" i="24"/>
  <c r="AQ166" i="24"/>
  <c r="AQ96" i="24"/>
  <c r="AQ180" i="24"/>
  <c r="AQ194" i="24"/>
  <c r="AQ26" i="24"/>
  <c r="AQ54" i="24"/>
  <c r="AQ208" i="24"/>
  <c r="AS41" i="24"/>
  <c r="AF41" i="24"/>
  <c r="AS27" i="24"/>
  <c r="AF27" i="24"/>
  <c r="AX68" i="26" a="1"/>
  <c r="AX68" i="26" s="1"/>
  <c r="AX67" i="26" a="1"/>
  <c r="AX67" i="26" s="1"/>
  <c r="AX70" i="26" a="1"/>
  <c r="AX70" i="26" s="1"/>
  <c r="AX76" i="26" a="1"/>
  <c r="AX76" i="26" s="1"/>
  <c r="AX73" i="26" a="1"/>
  <c r="AX73" i="26" s="1"/>
  <c r="U70" i="24"/>
  <c r="AE70" i="24"/>
  <c r="S70" i="24"/>
  <c r="AD70" i="24"/>
  <c r="Z209" i="24"/>
  <c r="N55" i="24"/>
  <c r="N111" i="24"/>
  <c r="P195" i="24"/>
  <c r="AS97" i="24"/>
  <c r="AF97" i="24"/>
  <c r="AA83" i="24"/>
  <c r="Z83" i="24"/>
  <c r="AS166" i="24"/>
  <c r="N223" i="24"/>
  <c r="AS82" i="24"/>
  <c r="AS218" i="24"/>
  <c r="AS134" i="24"/>
  <c r="AS106" i="24"/>
  <c r="AS64" i="24"/>
  <c r="AS204" i="24"/>
  <c r="AS36" i="24"/>
  <c r="AS120" i="24"/>
  <c r="AS78" i="24"/>
  <c r="AS176" i="24"/>
  <c r="AS162" i="24"/>
  <c r="AS92" i="24"/>
  <c r="AS148" i="24"/>
  <c r="AS22" i="24"/>
  <c r="AS190" i="24"/>
  <c r="AS50" i="24"/>
  <c r="AS221" i="24"/>
  <c r="AS123" i="24"/>
  <c r="AS109" i="24"/>
  <c r="AS67" i="24"/>
  <c r="AS137" i="24"/>
  <c r="AS151" i="24"/>
  <c r="AS207" i="24"/>
  <c r="AS53" i="24"/>
  <c r="AS95" i="24"/>
  <c r="AS165" i="24"/>
  <c r="AS25" i="24"/>
  <c r="AS179" i="24"/>
  <c r="AS39" i="24"/>
  <c r="AS81" i="24"/>
  <c r="AS193" i="24"/>
  <c r="R152" i="24"/>
  <c r="AQ219" i="24"/>
  <c r="AG219" i="24"/>
  <c r="AF219" i="24"/>
  <c r="AG191" i="24"/>
  <c r="AG163" i="24"/>
  <c r="AG149" i="24"/>
  <c r="AG205" i="24"/>
  <c r="AH205" i="24" s="1"/>
  <c r="AG177" i="24"/>
  <c r="AQ65" i="24"/>
  <c r="AQ135" i="24"/>
  <c r="AQ121" i="24"/>
  <c r="AQ23" i="24"/>
  <c r="AQ163" i="24"/>
  <c r="AQ79" i="24"/>
  <c r="AQ37" i="24"/>
  <c r="AQ93" i="24"/>
  <c r="AQ177" i="24"/>
  <c r="AQ191" i="24"/>
  <c r="AQ149" i="24"/>
  <c r="AQ51" i="24"/>
  <c r="AQ107" i="24"/>
  <c r="AQ205" i="24"/>
  <c r="R54" i="24"/>
  <c r="AX77" i="26" a="1"/>
  <c r="AX77" i="26" s="1"/>
  <c r="AX65" i="26" a="1"/>
  <c r="AX65" i="26" s="1"/>
  <c r="AX75" i="26" a="1"/>
  <c r="AX75" i="26" s="1"/>
  <c r="AX63" i="26" a="1"/>
  <c r="AX63" i="26" s="1"/>
  <c r="S126" i="24"/>
  <c r="U126" i="24"/>
  <c r="AE126" i="24"/>
  <c r="AD126" i="24"/>
  <c r="AS167" i="24"/>
  <c r="AF167" i="24"/>
  <c r="N27" i="24"/>
  <c r="P111" i="24"/>
  <c r="P223" i="24"/>
  <c r="AA208" i="24"/>
  <c r="AB208" i="24" s="1"/>
  <c r="Z208" i="24"/>
  <c r="N139" i="24"/>
  <c r="Z42" i="24"/>
  <c r="AS223" i="24"/>
  <c r="AQ224" i="24"/>
  <c r="AG224" i="24"/>
  <c r="AG140" i="24"/>
  <c r="AG196" i="24"/>
  <c r="AU182" i="24"/>
  <c r="AG168" i="24"/>
  <c r="AU126" i="24"/>
  <c r="AG154" i="24"/>
  <c r="AG126" i="24"/>
  <c r="AU210" i="24"/>
  <c r="AG182" i="24"/>
  <c r="AU196" i="24"/>
  <c r="AU168" i="24"/>
  <c r="AU154" i="24"/>
  <c r="AU140" i="24"/>
  <c r="AU224" i="24"/>
  <c r="AG210" i="24"/>
  <c r="AQ140" i="24"/>
  <c r="AQ168" i="24"/>
  <c r="AQ84" i="24"/>
  <c r="AQ154" i="24"/>
  <c r="AQ42" i="24"/>
  <c r="AQ182" i="24"/>
  <c r="AQ28" i="24"/>
  <c r="AQ98" i="24"/>
  <c r="AQ196" i="24"/>
  <c r="AQ56" i="24"/>
  <c r="AQ210" i="24"/>
  <c r="AQ112" i="24"/>
  <c r="AQ14" i="24"/>
  <c r="AQ70" i="24"/>
  <c r="AQ126" i="24"/>
  <c r="AX66" i="26" a="1"/>
  <c r="AX66" i="26" s="1"/>
  <c r="AE168" i="24"/>
  <c r="U168" i="24"/>
  <c r="S168" i="24"/>
  <c r="AD168" i="24"/>
  <c r="P55" i="24"/>
  <c r="N97" i="24"/>
  <c r="AA97" i="24"/>
  <c r="AB97" i="24" s="1"/>
  <c r="Z97" i="24"/>
  <c r="AS138" i="24"/>
  <c r="AS220" i="24"/>
  <c r="AS136" i="24"/>
  <c r="AS24" i="24"/>
  <c r="AS122" i="24"/>
  <c r="AS38" i="24"/>
  <c r="AS206" i="24"/>
  <c r="AS108" i="24"/>
  <c r="AS94" i="24"/>
  <c r="AS52" i="24"/>
  <c r="AS80" i="24"/>
  <c r="AS192" i="24"/>
  <c r="AS150" i="24"/>
  <c r="AS164" i="24"/>
  <c r="AS178" i="24"/>
  <c r="AS66" i="24"/>
  <c r="AS40" i="24"/>
  <c r="AQ221" i="24"/>
  <c r="AG221" i="24"/>
  <c r="AF221" i="24"/>
  <c r="AG123" i="24"/>
  <c r="AG165" i="24"/>
  <c r="AG151" i="24"/>
  <c r="AG193" i="24"/>
  <c r="AG179" i="24"/>
  <c r="AU221" i="24"/>
  <c r="AU137" i="24"/>
  <c r="AG137" i="24"/>
  <c r="AG207" i="24"/>
  <c r="AH207" i="24" s="1"/>
  <c r="AQ53" i="24"/>
  <c r="AQ67" i="24"/>
  <c r="AQ165" i="24"/>
  <c r="AQ95" i="24"/>
  <c r="AQ179" i="24"/>
  <c r="AQ109" i="24"/>
  <c r="AQ207" i="24"/>
  <c r="AQ25" i="24"/>
  <c r="AQ193" i="24"/>
  <c r="AQ81" i="24"/>
  <c r="AQ123" i="24"/>
  <c r="AQ137" i="24"/>
  <c r="AQ39" i="24"/>
  <c r="AQ151" i="24"/>
  <c r="AA41" i="24"/>
  <c r="Z41" i="24"/>
  <c r="AA27" i="24"/>
  <c r="AB27" i="24" s="1"/>
  <c r="Z27" i="24"/>
  <c r="AS125" i="24"/>
  <c r="AF125" i="24"/>
  <c r="AF213" i="24"/>
  <c r="AG213" i="24"/>
  <c r="AU213" i="24"/>
  <c r="AQ213" i="24"/>
  <c r="AG212" i="24"/>
  <c r="AQ212" i="24"/>
  <c r="T212" i="24"/>
  <c r="T216" i="24"/>
  <c r="T215" i="24"/>
  <c r="T214" i="24"/>
  <c r="T213" i="24"/>
  <c r="AG214" i="24"/>
  <c r="AF214" i="24"/>
  <c r="AU214" i="24"/>
  <c r="AQ214" i="24"/>
  <c r="AA214" i="24"/>
  <c r="Z214" i="24"/>
  <c r="Z213" i="24"/>
  <c r="Z212" i="24"/>
  <c r="R212" i="24" s="1"/>
  <c r="AA212" i="24"/>
  <c r="AB212" i="24" s="1"/>
  <c r="Z215" i="24"/>
  <c r="Z216" i="24"/>
  <c r="AF212" i="24"/>
  <c r="AS212" i="24"/>
  <c r="AG215" i="24"/>
  <c r="AF215" i="24"/>
  <c r="AU215" i="24"/>
  <c r="AQ215" i="24"/>
  <c r="AF216" i="24"/>
  <c r="AG216" i="24"/>
  <c r="AU212" i="24"/>
  <c r="AU216" i="24"/>
  <c r="AQ216" i="24"/>
  <c r="AU171" i="24"/>
  <c r="AU199" i="24"/>
  <c r="AG199" i="24"/>
  <c r="AH199" i="24" s="1"/>
  <c r="AQ199" i="24"/>
  <c r="AQ184" i="24"/>
  <c r="AU198" i="24"/>
  <c r="AG198" i="24"/>
  <c r="AH198" i="24" s="1"/>
  <c r="AQ198" i="24"/>
  <c r="AS200" i="24"/>
  <c r="AU172" i="24"/>
  <c r="AG200" i="24"/>
  <c r="AH200" i="24" s="1"/>
  <c r="AU200" i="24"/>
  <c r="AQ200" i="24"/>
  <c r="AU174" i="24"/>
  <c r="AG202" i="24"/>
  <c r="AH202" i="24" s="1"/>
  <c r="AU202" i="24"/>
  <c r="AQ202" i="24"/>
  <c r="AG188" i="24"/>
  <c r="AG173" i="24"/>
  <c r="AG201" i="24"/>
  <c r="AH201" i="24" s="1"/>
  <c r="AU201" i="24"/>
  <c r="AQ201" i="24"/>
  <c r="AS199" i="24"/>
  <c r="AQ186" i="24"/>
  <c r="AG187" i="24"/>
  <c r="AQ185" i="24"/>
  <c r="AG186" i="24"/>
  <c r="AU185" i="24"/>
  <c r="AR188" i="24"/>
  <c r="AR187" i="24"/>
  <c r="AQ174" i="24"/>
  <c r="AU186" i="24"/>
  <c r="AG185" i="24"/>
  <c r="AG184" i="24"/>
  <c r="AU184" i="24"/>
  <c r="AQ188" i="24"/>
  <c r="AQ187" i="24"/>
  <c r="AU188" i="24"/>
  <c r="N174" i="24"/>
  <c r="N173" i="24"/>
  <c r="N172" i="24"/>
  <c r="AQ172" i="24"/>
  <c r="AQ170" i="24"/>
  <c r="AU170" i="24"/>
  <c r="AG172" i="24"/>
  <c r="AQ171" i="24"/>
  <c r="AU173" i="24"/>
  <c r="AR173" i="24"/>
  <c r="AR174" i="24"/>
  <c r="AR172" i="24"/>
  <c r="AR171" i="24"/>
  <c r="AQ173" i="24"/>
  <c r="AG170" i="24"/>
  <c r="AG171" i="24"/>
  <c r="AG174" i="24"/>
  <c r="AG156" i="24"/>
  <c r="AQ159" i="24"/>
  <c r="AU157" i="24"/>
  <c r="AQ158" i="24"/>
  <c r="AQ160" i="24"/>
  <c r="AG160" i="24"/>
  <c r="AQ157" i="24"/>
  <c r="AU156" i="24"/>
  <c r="AG157" i="24"/>
  <c r="N156" i="24"/>
  <c r="N159" i="24"/>
  <c r="P160" i="24"/>
  <c r="N158" i="24"/>
  <c r="P158" i="24"/>
  <c r="P156" i="24"/>
  <c r="AQ156" i="24"/>
  <c r="AU158" i="24"/>
  <c r="AG158" i="24"/>
  <c r="AU160" i="24"/>
  <c r="AR159" i="24"/>
  <c r="AR160" i="24"/>
  <c r="AR158" i="24"/>
  <c r="AR157" i="24"/>
  <c r="AR156" i="24"/>
  <c r="AG159" i="24"/>
  <c r="AU159" i="24"/>
  <c r="AR146" i="24"/>
  <c r="AR145" i="24"/>
  <c r="AR144" i="24"/>
  <c r="AR143" i="24"/>
  <c r="AR142" i="24"/>
  <c r="AQ142" i="24"/>
  <c r="AQ145" i="24"/>
  <c r="AU145" i="24"/>
  <c r="AG143" i="24"/>
  <c r="AQ143" i="24"/>
  <c r="AQ144" i="24"/>
  <c r="AG144" i="24"/>
  <c r="AQ146" i="24"/>
  <c r="AU144" i="24"/>
  <c r="AU146" i="24"/>
  <c r="AU143" i="24"/>
  <c r="AG142" i="24"/>
  <c r="AG145" i="24"/>
  <c r="AG146" i="24"/>
  <c r="AU142" i="24"/>
  <c r="N144" i="24"/>
  <c r="N146" i="24"/>
  <c r="N145" i="24"/>
  <c r="P145" i="24"/>
  <c r="P144" i="24"/>
  <c r="P142" i="24"/>
  <c r="N142" i="24"/>
  <c r="P146" i="24"/>
  <c r="AQ131" i="24"/>
  <c r="AQ129" i="24"/>
  <c r="AQ130" i="24"/>
  <c r="AQ132" i="24"/>
  <c r="AU128" i="24"/>
  <c r="AG131" i="24"/>
  <c r="AU131" i="24"/>
  <c r="AU130" i="24"/>
  <c r="AG130" i="24"/>
  <c r="AU132" i="24"/>
  <c r="AU129" i="24"/>
  <c r="AG132" i="24"/>
  <c r="AG128" i="24"/>
  <c r="AQ128" i="24"/>
  <c r="AR130" i="24"/>
  <c r="AR132" i="24"/>
  <c r="AR131" i="24"/>
  <c r="AR129" i="24"/>
  <c r="AR128" i="24"/>
  <c r="AG129" i="24"/>
  <c r="N131" i="24"/>
  <c r="P132" i="24"/>
  <c r="N132" i="24"/>
  <c r="P131" i="24"/>
  <c r="P130" i="24"/>
  <c r="P128" i="24"/>
  <c r="N128" i="24"/>
  <c r="N130" i="24"/>
  <c r="N117" i="24"/>
  <c r="P118" i="24"/>
  <c r="N118" i="24"/>
  <c r="N116" i="24"/>
  <c r="P117" i="24"/>
  <c r="P116" i="24"/>
  <c r="P114" i="24"/>
  <c r="N114" i="24"/>
  <c r="AQ117" i="24"/>
  <c r="AQ116" i="24"/>
  <c r="AQ118" i="24"/>
  <c r="AQ115" i="24"/>
  <c r="AG115" i="24"/>
  <c r="AU116" i="24"/>
  <c r="AU115" i="24"/>
  <c r="AG114" i="24"/>
  <c r="AU114" i="24"/>
  <c r="AG117" i="24"/>
  <c r="AU117" i="24"/>
  <c r="AG116" i="24"/>
  <c r="AG118" i="24"/>
  <c r="AQ114" i="24"/>
  <c r="AU118" i="24"/>
  <c r="AR118" i="24"/>
  <c r="AR117" i="24"/>
  <c r="AR116" i="24"/>
  <c r="AR115" i="24"/>
  <c r="AR114" i="24"/>
  <c r="AR104" i="24"/>
  <c r="AR103" i="24"/>
  <c r="AR102" i="24"/>
  <c r="AR101" i="24"/>
  <c r="AR100" i="24"/>
  <c r="P103" i="24"/>
  <c r="P104" i="24"/>
  <c r="P102" i="24"/>
  <c r="P100" i="24"/>
  <c r="AQ102" i="24"/>
  <c r="AQ104" i="24"/>
  <c r="AQ101" i="24"/>
  <c r="AQ103" i="24"/>
  <c r="AQ100" i="24"/>
  <c r="P89" i="24"/>
  <c r="P90" i="24"/>
  <c r="P88" i="24"/>
  <c r="P86" i="24"/>
  <c r="AQ89" i="24"/>
  <c r="AM89" i="24" s="1"/>
  <c r="AQ90" i="24"/>
  <c r="AQ87" i="24"/>
  <c r="AQ86" i="24"/>
  <c r="AQ88" i="24"/>
  <c r="AR90" i="24"/>
  <c r="AR89" i="24"/>
  <c r="AR88" i="24"/>
  <c r="AR87" i="24"/>
  <c r="AR86" i="24"/>
  <c r="P75" i="24"/>
  <c r="P76" i="24"/>
  <c r="P74" i="24"/>
  <c r="P72" i="24"/>
  <c r="AQ76" i="24"/>
  <c r="AQ75" i="24"/>
  <c r="AQ73" i="24"/>
  <c r="AQ72" i="24"/>
  <c r="AQ74" i="24"/>
  <c r="AR76" i="24"/>
  <c r="AR75" i="24"/>
  <c r="AR74" i="24"/>
  <c r="AR73" i="24"/>
  <c r="AR72" i="24"/>
  <c r="AR61" i="24"/>
  <c r="AR62" i="24"/>
  <c r="AR59" i="24"/>
  <c r="AR60" i="24"/>
  <c r="AR58" i="24"/>
  <c r="P61" i="24"/>
  <c r="P62" i="24"/>
  <c r="P60" i="24"/>
  <c r="P58" i="24"/>
  <c r="AQ62" i="24"/>
  <c r="AQ61" i="24"/>
  <c r="AM61" i="24" s="1"/>
  <c r="AQ60" i="24"/>
  <c r="AQ59" i="24"/>
  <c r="AQ58" i="24"/>
  <c r="AQ48" i="24"/>
  <c r="AQ45" i="24"/>
  <c r="AQ47" i="24"/>
  <c r="AQ46" i="24"/>
  <c r="AQ44" i="24"/>
  <c r="AR48" i="24"/>
  <c r="AR47" i="24"/>
  <c r="AR46" i="24"/>
  <c r="AR45" i="24"/>
  <c r="AR44" i="24"/>
  <c r="P47" i="24"/>
  <c r="P48" i="24"/>
  <c r="P46" i="24"/>
  <c r="P44" i="24"/>
  <c r="P33" i="24"/>
  <c r="P34" i="24"/>
  <c r="P32" i="24"/>
  <c r="P30" i="24"/>
  <c r="AQ33" i="24"/>
  <c r="AQ32" i="24"/>
  <c r="AQ31" i="24"/>
  <c r="AQ34" i="24"/>
  <c r="AQ30" i="24"/>
  <c r="AR34" i="24"/>
  <c r="AR33" i="24"/>
  <c r="AR32" i="24"/>
  <c r="AR31" i="24"/>
  <c r="AR30" i="24"/>
  <c r="P19" i="24"/>
  <c r="P20" i="24"/>
  <c r="P18" i="24"/>
  <c r="P16" i="24"/>
  <c r="AQ20" i="24"/>
  <c r="AQ17" i="24"/>
  <c r="AQ18" i="24"/>
  <c r="AQ16" i="24"/>
  <c r="AQ19" i="24"/>
  <c r="AR20" i="24"/>
  <c r="AR18" i="24"/>
  <c r="AR19" i="24"/>
  <c r="AR17" i="24"/>
  <c r="AR16" i="24"/>
  <c r="AX78" i="26" a="1"/>
  <c r="AX78" i="26" s="1"/>
  <c r="S15" i="24"/>
  <c r="U15" i="24"/>
  <c r="AY104" i="1" a="1"/>
  <c r="AY104" i="1" s="1"/>
  <c r="D16" i="27" a="1"/>
  <c r="D16" i="27" s="1"/>
  <c r="AX71" i="26" a="1"/>
  <c r="AX71" i="26" s="1"/>
  <c r="AQ15" i="24"/>
  <c r="AY98" i="1" a="1"/>
  <c r="AY98" i="1" s="1"/>
  <c r="AY90" i="1" a="1"/>
  <c r="AY90" i="1" s="1"/>
  <c r="AY97" i="1" a="1"/>
  <c r="AY97" i="1" s="1"/>
  <c r="AY89" i="1" a="1"/>
  <c r="AY89" i="1" s="1"/>
  <c r="AY96" i="1" a="1"/>
  <c r="AY96" i="1" s="1"/>
  <c r="AY88" i="1" a="1"/>
  <c r="AY88" i="1" s="1"/>
  <c r="AY95" i="1" a="1"/>
  <c r="AY95" i="1" s="1"/>
  <c r="AY87" i="1" a="1"/>
  <c r="AY87" i="1" s="1"/>
  <c r="AY94" i="1" a="1"/>
  <c r="AY94" i="1" s="1"/>
  <c r="AY86" i="1" a="1"/>
  <c r="AY86" i="1" s="1"/>
  <c r="AY93" i="1" a="1"/>
  <c r="AY93" i="1" s="1"/>
  <c r="AY85" i="1" a="1"/>
  <c r="AY85" i="1" s="1"/>
  <c r="AY92" i="1" a="1"/>
  <c r="AY92" i="1" s="1"/>
  <c r="AY84" i="1" a="1"/>
  <c r="AY84" i="1" s="1"/>
  <c r="AY91" i="1" a="1"/>
  <c r="AY91" i="1" s="1"/>
  <c r="AY83" i="1" a="1"/>
  <c r="AY83" i="1" s="1"/>
  <c r="I40" i="1" a="1"/>
  <c r="I40" i="1" s="1"/>
  <c r="G40" i="1" s="1" a="1"/>
  <c r="G40" i="1" s="1"/>
  <c r="F40" i="1" a="1"/>
  <c r="F40" i="1" s="1"/>
  <c r="D40" i="1" s="1" a="1"/>
  <c r="D40" i="1" s="1"/>
  <c r="H15" i="27" a="1"/>
  <c r="H15" i="27" s="1"/>
  <c r="AX104" i="1" a="1"/>
  <c r="AX104" i="1" s="1"/>
  <c r="D15" i="27" a="1"/>
  <c r="D15" i="27" s="1"/>
  <c r="AS13" i="24"/>
  <c r="AQ13" i="24"/>
  <c r="R13" i="24"/>
  <c r="AX94" i="1" a="1"/>
  <c r="AX94" i="1" s="1"/>
  <c r="AX90" i="1" a="1"/>
  <c r="AX90" i="1" s="1"/>
  <c r="AX98" i="1" a="1"/>
  <c r="AX98" i="1" s="1"/>
  <c r="AX86" i="1" a="1"/>
  <c r="AX86" i="1" s="1"/>
  <c r="AX93" i="1" a="1"/>
  <c r="AX93" i="1" s="1"/>
  <c r="AX89" i="1" a="1"/>
  <c r="AX89" i="1" s="1"/>
  <c r="AX97" i="1" a="1"/>
  <c r="AX97" i="1" s="1"/>
  <c r="AX85" i="1" a="1"/>
  <c r="AX85" i="1" s="1"/>
  <c r="AX92" i="1" a="1"/>
  <c r="AX92" i="1" s="1"/>
  <c r="AX84" i="1" a="1"/>
  <c r="AX84" i="1" s="1"/>
  <c r="AX96" i="1" a="1"/>
  <c r="AX96" i="1" s="1"/>
  <c r="AX88" i="1" a="1"/>
  <c r="AX88" i="1" s="1"/>
  <c r="AX91" i="1" a="1"/>
  <c r="AX91" i="1" s="1"/>
  <c r="AX83" i="1" a="1"/>
  <c r="AX83" i="1" s="1"/>
  <c r="AX95" i="1" a="1"/>
  <c r="AX95" i="1" s="1"/>
  <c r="AX87" i="1" a="1"/>
  <c r="AX87" i="1" s="1"/>
  <c r="I39" i="1" a="1"/>
  <c r="I39" i="1" s="1"/>
  <c r="G39" i="1" s="1" a="1"/>
  <c r="G39" i="1" s="1"/>
  <c r="F39" i="1" a="1"/>
  <c r="F39" i="1" s="1"/>
  <c r="D39" i="1" s="1" a="1"/>
  <c r="D39" i="1" s="1"/>
  <c r="AA13" i="24"/>
  <c r="AB13" i="24" s="1"/>
  <c r="AW104" i="1" a="1"/>
  <c r="AW104" i="1" s="1"/>
  <c r="D14" i="27" a="1"/>
  <c r="D14" i="27" s="1"/>
  <c r="AS12" i="24"/>
  <c r="AQ12" i="24"/>
  <c r="AW96" i="1" a="1"/>
  <c r="AW96" i="1" s="1"/>
  <c r="AW88" i="1" a="1"/>
  <c r="AW88" i="1" s="1"/>
  <c r="AW93" i="1" a="1"/>
  <c r="AW93" i="1" s="1"/>
  <c r="AW85" i="1" a="1"/>
  <c r="AW85" i="1" s="1"/>
  <c r="AW98" i="1" a="1"/>
  <c r="AW98" i="1" s="1"/>
  <c r="AW90" i="1" a="1"/>
  <c r="AW90" i="1" s="1"/>
  <c r="AW95" i="1" a="1"/>
  <c r="AW95" i="1" s="1"/>
  <c r="AW87" i="1" a="1"/>
  <c r="AW87" i="1" s="1"/>
  <c r="AW92" i="1" a="1"/>
  <c r="AW92" i="1" s="1"/>
  <c r="AW84" i="1" a="1"/>
  <c r="AW84" i="1" s="1"/>
  <c r="AW97" i="1" a="1"/>
  <c r="AW97" i="1" s="1"/>
  <c r="AW89" i="1" a="1"/>
  <c r="AW89" i="1" s="1"/>
  <c r="AW94" i="1" a="1"/>
  <c r="AW94" i="1" s="1"/>
  <c r="AW86" i="1" a="1"/>
  <c r="AW86" i="1" s="1"/>
  <c r="AW91" i="1" a="1"/>
  <c r="AW91" i="1" s="1"/>
  <c r="AW83" i="1" a="1"/>
  <c r="AW83" i="1" s="1"/>
  <c r="I38" i="1" a="1"/>
  <c r="I38" i="1" s="1"/>
  <c r="G38" i="1" s="1" a="1"/>
  <c r="G38" i="1" s="1"/>
  <c r="F38" i="1" a="1"/>
  <c r="F38" i="1" s="1"/>
  <c r="D38" i="1" s="1" a="1"/>
  <c r="D38" i="1" s="1"/>
  <c r="H13" i="27" a="1"/>
  <c r="H13" i="27" s="1"/>
  <c r="C18" i="27"/>
  <c r="H9" i="27" a="1"/>
  <c r="H9" i="27" s="1"/>
  <c r="H11" i="27" a="1"/>
  <c r="H11" i="27" s="1"/>
  <c r="H12" i="27" a="1"/>
  <c r="H12" i="27" s="1"/>
  <c r="AS119" i="1" a="1"/>
  <c r="AS119" i="1" s="1"/>
  <c r="H10" i="27" a="1"/>
  <c r="H10" i="27" s="1"/>
  <c r="AN113" i="1" a="1"/>
  <c r="AN113" i="1" s="1"/>
  <c r="AV106" i="1" a="1"/>
  <c r="AV106" i="1" s="1"/>
  <c r="AR110" i="1" a="1"/>
  <c r="AR110" i="1" s="1"/>
  <c r="AP109" i="1" a="1"/>
  <c r="AP109" i="1" s="1"/>
  <c r="AQ111" i="1" a="1"/>
  <c r="AQ111" i="1" s="1"/>
  <c r="AT103" i="1" a="1"/>
  <c r="AT103" i="1" s="1"/>
  <c r="D12" i="27" a="1"/>
  <c r="D12" i="27" s="1"/>
  <c r="AT104" i="1" a="1"/>
  <c r="AT104" i="1" s="1"/>
  <c r="D11" i="27" a="1"/>
  <c r="D11" i="27" s="1"/>
  <c r="AV104" i="1" a="1"/>
  <c r="AV104" i="1" s="1"/>
  <c r="D13" i="27" a="1"/>
  <c r="D13" i="27" s="1"/>
  <c r="AS11" i="24"/>
  <c r="AV96" i="1" a="1"/>
  <c r="AV96" i="1" s="1"/>
  <c r="AV90" i="1" a="1"/>
  <c r="AV90" i="1" s="1"/>
  <c r="AV92" i="1" a="1"/>
  <c r="AV92" i="1" s="1"/>
  <c r="AV86" i="1" a="1"/>
  <c r="AV86" i="1" s="1"/>
  <c r="AV94" i="1" a="1"/>
  <c r="AV94" i="1" s="1"/>
  <c r="AV84" i="1" a="1"/>
  <c r="AV84" i="1" s="1"/>
  <c r="AV98" i="1" a="1"/>
  <c r="AV98" i="1" s="1"/>
  <c r="AV88" i="1" a="1"/>
  <c r="AV88" i="1" s="1"/>
  <c r="AV95" i="1" a="1"/>
  <c r="AV95" i="1" s="1"/>
  <c r="AV89" i="1" a="1"/>
  <c r="AV89" i="1" s="1"/>
  <c r="AV91" i="1" a="1"/>
  <c r="AV91" i="1" s="1"/>
  <c r="AV85" i="1" a="1"/>
  <c r="AV85" i="1" s="1"/>
  <c r="AV93" i="1" a="1"/>
  <c r="AV93" i="1" s="1"/>
  <c r="AV83" i="1" a="1"/>
  <c r="AV83" i="1" s="1"/>
  <c r="AV97" i="1" a="1"/>
  <c r="AV97" i="1" s="1"/>
  <c r="AV87" i="1" a="1"/>
  <c r="AV87" i="1" s="1"/>
  <c r="I37" i="1" a="1"/>
  <c r="I37" i="1" s="1"/>
  <c r="G37" i="1" s="1" a="1"/>
  <c r="G37" i="1" s="1"/>
  <c r="F37" i="1" a="1"/>
  <c r="F37" i="1" s="1"/>
  <c r="D37" i="1" s="1" a="1"/>
  <c r="D37" i="1" s="1"/>
  <c r="AQ11" i="24"/>
  <c r="AU112" i="1" a="1"/>
  <c r="AU112" i="1" s="1"/>
  <c r="AU102" i="1" a="1"/>
  <c r="AU102" i="1" s="1"/>
  <c r="AU111" i="1" a="1"/>
  <c r="AU111" i="1" s="1"/>
  <c r="AU101" i="1" a="1"/>
  <c r="AU101" i="1" s="1"/>
  <c r="AU110" i="1" a="1"/>
  <c r="AU110" i="1" s="1"/>
  <c r="AU107" i="1" a="1"/>
  <c r="AU107" i="1" s="1"/>
  <c r="AU103" i="1" a="1"/>
  <c r="AU103" i="1" s="1"/>
  <c r="AU108" i="1" a="1"/>
  <c r="AU108" i="1" s="1"/>
  <c r="AU116" i="1" a="1"/>
  <c r="AU116" i="1" s="1"/>
  <c r="AU109" i="1" a="1"/>
  <c r="AU109" i="1" s="1"/>
  <c r="AU104" i="1" a="1"/>
  <c r="AU104" i="1" s="1"/>
  <c r="AU105" i="1" a="1"/>
  <c r="AU105" i="1" s="1"/>
  <c r="AU115" i="1" a="1"/>
  <c r="AU115" i="1" s="1"/>
  <c r="AU113" i="1" a="1"/>
  <c r="AU113" i="1" s="1"/>
  <c r="AU106" i="1" a="1"/>
  <c r="AU106" i="1" s="1"/>
  <c r="AU114" i="1" a="1"/>
  <c r="AU114" i="1" s="1"/>
  <c r="AU10" i="24"/>
  <c r="AQ10" i="24"/>
  <c r="AU94" i="1" a="1"/>
  <c r="AU94" i="1" s="1"/>
  <c r="AU86" i="1" a="1"/>
  <c r="AU86" i="1" s="1"/>
  <c r="AU97" i="1" a="1"/>
  <c r="AU97" i="1" s="1"/>
  <c r="AU89" i="1" a="1"/>
  <c r="AU89" i="1" s="1"/>
  <c r="AU92" i="1" a="1"/>
  <c r="AU92" i="1" s="1"/>
  <c r="AU84" i="1" a="1"/>
  <c r="AU84" i="1" s="1"/>
  <c r="AU95" i="1" a="1"/>
  <c r="AU95" i="1" s="1"/>
  <c r="AU87" i="1" a="1"/>
  <c r="AU87" i="1" s="1"/>
  <c r="AU98" i="1" a="1"/>
  <c r="AU98" i="1" s="1"/>
  <c r="AU90" i="1" a="1"/>
  <c r="AU90" i="1" s="1"/>
  <c r="AU93" i="1" a="1"/>
  <c r="AU93" i="1" s="1"/>
  <c r="AU85" i="1" a="1"/>
  <c r="AU85" i="1" s="1"/>
  <c r="AU96" i="1" a="1"/>
  <c r="AU96" i="1" s="1"/>
  <c r="AU88" i="1" a="1"/>
  <c r="AU88" i="1" s="1"/>
  <c r="AU91" i="1" a="1"/>
  <c r="AU91" i="1" s="1"/>
  <c r="AU83" i="1" a="1"/>
  <c r="AU83" i="1" s="1"/>
  <c r="F36" i="1" a="1"/>
  <c r="F36" i="1" s="1"/>
  <c r="D36" i="1" s="1" a="1"/>
  <c r="D36" i="1" s="1"/>
  <c r="I36" i="1" a="1"/>
  <c r="I36" i="1" s="1"/>
  <c r="G36" i="1" s="1" a="1"/>
  <c r="G36" i="1" s="1"/>
  <c r="AS10" i="24"/>
  <c r="AS9" i="24"/>
  <c r="AS104" i="1" a="1"/>
  <c r="AS104" i="1" s="1"/>
  <c r="D10" i="27" a="1"/>
  <c r="D10" i="27" s="1"/>
  <c r="AG9" i="24"/>
  <c r="AQ9" i="24"/>
  <c r="AT92" i="1" a="1"/>
  <c r="AT92" i="1" s="1"/>
  <c r="AT88" i="1" a="1"/>
  <c r="AT88" i="1" s="1"/>
  <c r="AT96" i="1" a="1"/>
  <c r="AT96" i="1" s="1"/>
  <c r="AT84" i="1" a="1"/>
  <c r="AT84" i="1" s="1"/>
  <c r="AT93" i="1" a="1"/>
  <c r="AT93" i="1" s="1"/>
  <c r="AT89" i="1" a="1"/>
  <c r="AT89" i="1" s="1"/>
  <c r="AT97" i="1" a="1"/>
  <c r="AT97" i="1" s="1"/>
  <c r="AT85" i="1" a="1"/>
  <c r="AT85" i="1" s="1"/>
  <c r="AT98" i="1" a="1"/>
  <c r="AT98" i="1" s="1"/>
  <c r="AT86" i="1" a="1"/>
  <c r="AT86" i="1" s="1"/>
  <c r="AT94" i="1" a="1"/>
  <c r="AT94" i="1" s="1"/>
  <c r="AT90" i="1" a="1"/>
  <c r="AT90" i="1" s="1"/>
  <c r="AT95" i="1" a="1"/>
  <c r="AT95" i="1" s="1"/>
  <c r="AT87" i="1" a="1"/>
  <c r="AT87" i="1" s="1"/>
  <c r="AT91" i="1" a="1"/>
  <c r="AT91" i="1" s="1"/>
  <c r="AT83" i="1" a="1"/>
  <c r="AT83" i="1" s="1"/>
  <c r="F35" i="1" a="1"/>
  <c r="F35" i="1" s="1"/>
  <c r="D35" i="1" s="1" a="1"/>
  <c r="D35" i="1" s="1"/>
  <c r="I35" i="1" a="1"/>
  <c r="I35" i="1" s="1"/>
  <c r="G35" i="1" s="1" a="1"/>
  <c r="G35" i="1" s="1"/>
  <c r="AS92" i="1" a="1"/>
  <c r="AS92" i="1" s="1"/>
  <c r="AS84" i="1" a="1"/>
  <c r="AS84" i="1" s="1"/>
  <c r="AS93" i="1" a="1"/>
  <c r="AS93" i="1" s="1"/>
  <c r="AS85" i="1" a="1"/>
  <c r="AS85" i="1" s="1"/>
  <c r="AS94" i="1" a="1"/>
  <c r="AS94" i="1" s="1"/>
  <c r="AS86" i="1" a="1"/>
  <c r="AS86" i="1" s="1"/>
  <c r="AS95" i="1" a="1"/>
  <c r="AS95" i="1" s="1"/>
  <c r="AS87" i="1" a="1"/>
  <c r="AS87" i="1" s="1"/>
  <c r="AS96" i="1" a="1"/>
  <c r="AS96" i="1" s="1"/>
  <c r="AS88" i="1" a="1"/>
  <c r="AS88" i="1" s="1"/>
  <c r="AS97" i="1" a="1"/>
  <c r="AS97" i="1" s="1"/>
  <c r="AS89" i="1" a="1"/>
  <c r="AS89" i="1" s="1"/>
  <c r="AS98" i="1" a="1"/>
  <c r="AS98" i="1" s="1"/>
  <c r="AS90" i="1" a="1"/>
  <c r="AS90" i="1" s="1"/>
  <c r="AS91" i="1" a="1"/>
  <c r="AS91" i="1" s="1"/>
  <c r="AS83" i="1" a="1"/>
  <c r="AS83" i="1" s="1"/>
  <c r="I34" i="1" a="1"/>
  <c r="I34" i="1" s="1"/>
  <c r="G34" i="1" s="1" a="1"/>
  <c r="G34" i="1" s="1"/>
  <c r="F34" i="1" a="1"/>
  <c r="F34" i="1" s="1"/>
  <c r="D34" i="1" s="1" a="1"/>
  <c r="D34" i="1" s="1"/>
  <c r="AS8" i="24"/>
  <c r="AQ8" i="24"/>
  <c r="AQ104" i="1" a="1"/>
  <c r="AQ104" i="1" s="1"/>
  <c r="D8" i="27" a="1"/>
  <c r="D8" i="27" s="1"/>
  <c r="AR104" i="1" a="1"/>
  <c r="AR104" i="1" s="1"/>
  <c r="D9" i="27" a="1"/>
  <c r="D9" i="27" s="1"/>
  <c r="AS7" i="24"/>
  <c r="AR93" i="1" a="1"/>
  <c r="AR93" i="1" s="1"/>
  <c r="AR87" i="1" a="1"/>
  <c r="AR87" i="1" s="1"/>
  <c r="AR95" i="1" a="1"/>
  <c r="AR95" i="1" s="1"/>
  <c r="AR84" i="1" a="1"/>
  <c r="AR84" i="1" s="1"/>
  <c r="AR96" i="1" a="1"/>
  <c r="AR96" i="1" s="1"/>
  <c r="AR83" i="1" a="1"/>
  <c r="AR83" i="1" s="1"/>
  <c r="AR94" i="1" a="1"/>
  <c r="AR94" i="1" s="1"/>
  <c r="AR88" i="1" a="1"/>
  <c r="AR88" i="1" s="1"/>
  <c r="AR92" i="1" a="1"/>
  <c r="AR92" i="1" s="1"/>
  <c r="AR86" i="1" a="1"/>
  <c r="AR86" i="1" s="1"/>
  <c r="AR97" i="1" a="1"/>
  <c r="AR97" i="1" s="1"/>
  <c r="AR90" i="1" a="1"/>
  <c r="AR90" i="1" s="1"/>
  <c r="AR91" i="1" a="1"/>
  <c r="AR91" i="1" s="1"/>
  <c r="AR85" i="1" a="1"/>
  <c r="AR85" i="1" s="1"/>
  <c r="AR98" i="1" a="1"/>
  <c r="AR98" i="1" s="1"/>
  <c r="AR89" i="1" a="1"/>
  <c r="AR89" i="1" s="1"/>
  <c r="F33" i="1" a="1"/>
  <c r="F33" i="1" s="1"/>
  <c r="D33" i="1" s="1" a="1"/>
  <c r="D33" i="1" s="1"/>
  <c r="I33" i="1" a="1"/>
  <c r="I33" i="1" s="1"/>
  <c r="G33" i="1" s="1" a="1"/>
  <c r="G33" i="1" s="1"/>
  <c r="AQ7" i="24"/>
  <c r="AU6" i="24"/>
  <c r="AG6" i="24"/>
  <c r="AQ6" i="24"/>
  <c r="AS6" i="24"/>
  <c r="AQ94" i="1" a="1"/>
  <c r="AQ94" i="1" s="1"/>
  <c r="AQ86" i="1" a="1"/>
  <c r="AQ86" i="1" s="1"/>
  <c r="AQ93" i="1" a="1"/>
  <c r="AQ93" i="1" s="1"/>
  <c r="AQ85" i="1" a="1"/>
  <c r="AQ85" i="1" s="1"/>
  <c r="AQ92" i="1" a="1"/>
  <c r="AQ92" i="1" s="1"/>
  <c r="AQ84" i="1" a="1"/>
  <c r="AQ84" i="1" s="1"/>
  <c r="AQ91" i="1" a="1"/>
  <c r="AQ91" i="1" s="1"/>
  <c r="AQ83" i="1" a="1"/>
  <c r="AQ83" i="1" s="1"/>
  <c r="AQ98" i="1" a="1"/>
  <c r="AQ98" i="1" s="1"/>
  <c r="AQ90" i="1" a="1"/>
  <c r="AQ90" i="1" s="1"/>
  <c r="AQ97" i="1" a="1"/>
  <c r="AQ97" i="1" s="1"/>
  <c r="AQ89" i="1" a="1"/>
  <c r="AQ89" i="1" s="1"/>
  <c r="AQ96" i="1" a="1"/>
  <c r="AQ96" i="1" s="1"/>
  <c r="AQ88" i="1" a="1"/>
  <c r="AQ88" i="1" s="1"/>
  <c r="AQ95" i="1" a="1"/>
  <c r="AQ95" i="1" s="1"/>
  <c r="AQ87" i="1" a="1"/>
  <c r="AQ87" i="1" s="1"/>
  <c r="I32" i="1" a="1"/>
  <c r="I32" i="1" s="1"/>
  <c r="G32" i="1" s="1" a="1"/>
  <c r="G32" i="1" s="1"/>
  <c r="F32" i="1" a="1"/>
  <c r="F32" i="1" s="1"/>
  <c r="D32" i="1" s="1" a="1"/>
  <c r="D32" i="1" s="1"/>
  <c r="F122" i="24"/>
  <c r="F181" i="24"/>
  <c r="F207" i="24"/>
  <c r="F95" i="24"/>
  <c r="F206" i="24"/>
  <c r="F107" i="24"/>
  <c r="V107" i="24" s="1"/>
  <c r="F29" i="24"/>
  <c r="F108" i="24"/>
  <c r="F10" i="24"/>
  <c r="F220" i="24"/>
  <c r="F221" i="24"/>
  <c r="F52" i="24"/>
  <c r="F11" i="24"/>
  <c r="F94" i="24"/>
  <c r="F136" i="24"/>
  <c r="F110" i="24"/>
  <c r="F93" i="24"/>
  <c r="V93" i="24" s="1"/>
  <c r="F41" i="24"/>
  <c r="F51" i="24"/>
  <c r="V51" i="24" s="1"/>
  <c r="F99" i="24"/>
  <c r="F138" i="24"/>
  <c r="F69" i="24"/>
  <c r="F25" i="24"/>
  <c r="F55" i="24"/>
  <c r="F219" i="24"/>
  <c r="V219" i="24" s="1"/>
  <c r="F79" i="24"/>
  <c r="V79" i="24" s="1"/>
  <c r="F180" i="24"/>
  <c r="F153" i="24"/>
  <c r="F194" i="24"/>
  <c r="F97" i="24"/>
  <c r="F149" i="24"/>
  <c r="V149" i="24" s="1"/>
  <c r="F82" i="24"/>
  <c r="F68" i="24"/>
  <c r="F27" i="24"/>
  <c r="F65" i="24"/>
  <c r="V65" i="24" s="1"/>
  <c r="F67" i="24"/>
  <c r="F111" i="24"/>
  <c r="F83" i="24"/>
  <c r="F155" i="24"/>
  <c r="F191" i="24"/>
  <c r="V191" i="24" s="1"/>
  <c r="F12" i="24"/>
  <c r="F81" i="24"/>
  <c r="F125" i="24"/>
  <c r="F109" i="24"/>
  <c r="F195" i="24"/>
  <c r="F39" i="24"/>
  <c r="F150" i="24"/>
  <c r="F24" i="24"/>
  <c r="F192" i="24"/>
  <c r="F23" i="24"/>
  <c r="V23" i="24" s="1"/>
  <c r="F151" i="24"/>
  <c r="F37" i="24"/>
  <c r="V37" i="24" s="1"/>
  <c r="F53" i="24"/>
  <c r="F223" i="24"/>
  <c r="F177" i="24"/>
  <c r="V177" i="24" s="1"/>
  <c r="F15" i="24"/>
  <c r="F209" i="24"/>
  <c r="F121" i="24"/>
  <c r="V121" i="24" s="1"/>
  <c r="F179" i="24"/>
  <c r="F113" i="24"/>
  <c r="F124" i="24"/>
  <c r="F152" i="24"/>
  <c r="F96" i="24"/>
  <c r="F178" i="24"/>
  <c r="F167" i="24"/>
  <c r="F57" i="24"/>
  <c r="F205" i="24"/>
  <c r="V205" i="24" s="1"/>
  <c r="F85" i="24"/>
  <c r="F135" i="24"/>
  <c r="V135" i="24" s="1"/>
  <c r="F54" i="24"/>
  <c r="F38" i="24"/>
  <c r="F166" i="24"/>
  <c r="F66" i="24"/>
  <c r="F80" i="24"/>
  <c r="F137" i="24"/>
  <c r="F193" i="24"/>
  <c r="F139" i="24"/>
  <c r="F127" i="24"/>
  <c r="F123" i="24"/>
  <c r="F26" i="24"/>
  <c r="F40" i="24"/>
  <c r="D4" i="27" a="1"/>
  <c r="D4" i="27" s="1"/>
  <c r="D6" i="27" a="1"/>
  <c r="D6" i="27" s="1"/>
  <c r="D7" i="27" a="1"/>
  <c r="D7" i="27" s="1"/>
  <c r="AP101" i="1" a="1"/>
  <c r="AP101" i="1" s="1"/>
  <c r="AN101" i="1" a="1"/>
  <c r="AN101" i="1" s="1"/>
  <c r="D5" i="27" a="1"/>
  <c r="D5" i="27" s="1"/>
  <c r="AS5" i="24"/>
  <c r="AQ5" i="24"/>
  <c r="AP90" i="1" a="1"/>
  <c r="AP90" i="1" s="1"/>
  <c r="AP93" i="1" a="1"/>
  <c r="AP93" i="1" s="1"/>
  <c r="AP89" i="1" a="1"/>
  <c r="AP89" i="1" s="1"/>
  <c r="AP91" i="1" a="1"/>
  <c r="AP91" i="1" s="1"/>
  <c r="AP97" i="1" a="1"/>
  <c r="AP97" i="1" s="1"/>
  <c r="AP85" i="1" a="1"/>
  <c r="AP85" i="1" s="1"/>
  <c r="AP92" i="1" a="1"/>
  <c r="AP92" i="1" s="1"/>
  <c r="AP88" i="1" a="1"/>
  <c r="AP88" i="1" s="1"/>
  <c r="AP95" i="1" a="1"/>
  <c r="AP95" i="1" s="1"/>
  <c r="AP83" i="1" a="1"/>
  <c r="AP83" i="1" s="1"/>
  <c r="AP86" i="1" a="1"/>
  <c r="AP86" i="1" s="1"/>
  <c r="AP96" i="1" a="1"/>
  <c r="AP96" i="1" s="1"/>
  <c r="AP84" i="1" a="1"/>
  <c r="AP84" i="1" s="1"/>
  <c r="AP87" i="1" a="1"/>
  <c r="AP87" i="1" s="1"/>
  <c r="AP94" i="1" a="1"/>
  <c r="AP94" i="1" s="1"/>
  <c r="AP98" i="1" a="1"/>
  <c r="AP98" i="1" s="1"/>
  <c r="I31" i="1" a="1"/>
  <c r="I31" i="1" s="1"/>
  <c r="G31" i="1" s="1" a="1"/>
  <c r="G31" i="1" s="1"/>
  <c r="F31" i="1" a="1"/>
  <c r="F31" i="1" s="1"/>
  <c r="D31" i="1" s="1" a="1"/>
  <c r="D31" i="1" s="1"/>
  <c r="AO111" i="1" a="1"/>
  <c r="AO111" i="1" s="1"/>
  <c r="AO105" i="1" a="1"/>
  <c r="AO105" i="1" s="1"/>
  <c r="AO112" i="1" a="1"/>
  <c r="AO112" i="1" s="1"/>
  <c r="AO106" i="1" a="1"/>
  <c r="AO106" i="1" s="1"/>
  <c r="AO113" i="1" a="1"/>
  <c r="AO113" i="1" s="1"/>
  <c r="AO104" i="1" a="1"/>
  <c r="AO104" i="1" s="1"/>
  <c r="AO114" i="1" a="1"/>
  <c r="AO114" i="1" s="1"/>
  <c r="AO102" i="1" a="1"/>
  <c r="AO102" i="1" s="1"/>
  <c r="AO109" i="1" a="1"/>
  <c r="AO109" i="1" s="1"/>
  <c r="AO103" i="1" a="1"/>
  <c r="AO103" i="1" s="1"/>
  <c r="AO108" i="1" a="1"/>
  <c r="AO108" i="1" s="1"/>
  <c r="AO107" i="1" a="1"/>
  <c r="AO107" i="1" s="1"/>
  <c r="AO116" i="1" a="1"/>
  <c r="AO116" i="1" s="1"/>
  <c r="AO115" i="1" a="1"/>
  <c r="AO115" i="1" s="1"/>
  <c r="AO110" i="1" a="1"/>
  <c r="AO110" i="1" s="1"/>
  <c r="AO101" i="1" a="1"/>
  <c r="AO101" i="1" s="1"/>
  <c r="AO95" i="1" a="1"/>
  <c r="AO95" i="1" s="1"/>
  <c r="AO90" i="1" a="1"/>
  <c r="AO90" i="1" s="1"/>
  <c r="AO86" i="1" a="1"/>
  <c r="AO86" i="1" s="1"/>
  <c r="AN91" i="1" a="1"/>
  <c r="AN91" i="1" s="1"/>
  <c r="AO93" i="1" a="1"/>
  <c r="AO93" i="1" s="1"/>
  <c r="AO91" i="1" a="1"/>
  <c r="AO91" i="1" s="1"/>
  <c r="AO85" i="1" a="1"/>
  <c r="AO85" i="1" s="1"/>
  <c r="AN90" i="1" a="1"/>
  <c r="AN90" i="1" s="1"/>
  <c r="AN84" i="1" a="1"/>
  <c r="AN84" i="1" s="1"/>
  <c r="AO94" i="1" a="1"/>
  <c r="AO94" i="1" s="1"/>
  <c r="AO92" i="1" a="1"/>
  <c r="AO92" i="1" s="1"/>
  <c r="AO84" i="1" a="1"/>
  <c r="AO84" i="1" s="1"/>
  <c r="AN89" i="1" a="1"/>
  <c r="AN89" i="1" s="1"/>
  <c r="AO96" i="1" a="1"/>
  <c r="AO96" i="1" s="1"/>
  <c r="AO88" i="1" a="1"/>
  <c r="AO88" i="1" s="1"/>
  <c r="AO83" i="1" a="1"/>
  <c r="AO83" i="1" s="1"/>
  <c r="AN92" i="1" a="1"/>
  <c r="AN92" i="1" s="1"/>
  <c r="AN83" i="1" a="1"/>
  <c r="AN83" i="1" s="1"/>
  <c r="AO98" i="1" a="1"/>
  <c r="AO98" i="1" s="1"/>
  <c r="AO89" i="1" a="1"/>
  <c r="AO89" i="1" s="1"/>
  <c r="AO87" i="1" a="1"/>
  <c r="AO87" i="1" s="1"/>
  <c r="AN93" i="1" a="1"/>
  <c r="AN93" i="1" s="1"/>
  <c r="AN85" i="1" a="1"/>
  <c r="AN85" i="1" s="1"/>
  <c r="AO97" i="1" a="1"/>
  <c r="AO97" i="1" s="1"/>
  <c r="AN94" i="1" a="1"/>
  <c r="AN94" i="1" s="1"/>
  <c r="AN86" i="1" a="1"/>
  <c r="AN86" i="1" s="1"/>
  <c r="AN98" i="1" a="1"/>
  <c r="AN98" i="1" s="1"/>
  <c r="AN97" i="1" a="1"/>
  <c r="AN97" i="1" s="1"/>
  <c r="AN96" i="1" a="1"/>
  <c r="AN96" i="1" s="1"/>
  <c r="AN88" i="1" a="1"/>
  <c r="AN88" i="1" s="1"/>
  <c r="AN95" i="1" a="1"/>
  <c r="AN95" i="1" s="1"/>
  <c r="AN87" i="1" a="1"/>
  <c r="AN87" i="1" s="1"/>
  <c r="AQ2" i="24"/>
  <c r="AM101" i="1" a="1"/>
  <c r="AM101" i="1" s="1"/>
  <c r="AM83" i="1" a="1"/>
  <c r="AM83" i="1" s="1"/>
  <c r="AM94" i="1" a="1"/>
  <c r="AM94" i="1" s="1"/>
  <c r="AM86" i="1" a="1"/>
  <c r="AM86" i="1" s="1"/>
  <c r="AM98" i="1" a="1"/>
  <c r="AM98" i="1" s="1"/>
  <c r="AM90" i="1" a="1"/>
  <c r="AM90" i="1" s="1"/>
  <c r="AM84" i="1" a="1"/>
  <c r="AM84" i="1" s="1"/>
  <c r="AM93" i="1" a="1"/>
  <c r="AM93" i="1" s="1"/>
  <c r="AM89" i="1" a="1"/>
  <c r="AM89" i="1" s="1"/>
  <c r="AM95" i="1" a="1"/>
  <c r="AM95" i="1" s="1"/>
  <c r="AM97" i="1" a="1"/>
  <c r="AM97" i="1" s="1"/>
  <c r="AM85" i="1" a="1"/>
  <c r="AM85" i="1" s="1"/>
  <c r="AM91" i="1" a="1"/>
  <c r="AM91" i="1" s="1"/>
  <c r="AM96" i="1" a="1"/>
  <c r="AM96" i="1" s="1"/>
  <c r="AM92" i="1" a="1"/>
  <c r="AM92" i="1" s="1"/>
  <c r="AM87" i="1" a="1"/>
  <c r="AM87" i="1" s="1"/>
  <c r="AM88" i="1" a="1"/>
  <c r="AM88" i="1" s="1"/>
  <c r="I30" i="1" a="1"/>
  <c r="I30" i="1" s="1"/>
  <c r="F30" i="1" a="1"/>
  <c r="F30" i="1" s="1"/>
  <c r="I28" i="1" a="1"/>
  <c r="I28" i="1" s="1"/>
  <c r="F28" i="1" a="1"/>
  <c r="F28" i="1" s="1"/>
  <c r="D28" i="1" s="1" a="1"/>
  <c r="D28" i="1" s="1"/>
  <c r="F29" i="1" a="1"/>
  <c r="F29" i="1" s="1"/>
  <c r="AU2" i="24"/>
  <c r="AU4" i="24"/>
  <c r="AU3" i="24"/>
  <c r="AS4" i="24"/>
  <c r="AS3" i="24"/>
  <c r="AS2" i="24"/>
  <c r="AQ3" i="24"/>
  <c r="AQ4" i="24"/>
  <c r="AG2" i="24"/>
  <c r="AG3" i="24"/>
  <c r="AG4" i="24"/>
  <c r="AN119" i="1" a="1"/>
  <c r="AN119" i="1" s="1"/>
  <c r="AM119" i="1" a="1"/>
  <c r="AM119" i="1" s="1"/>
  <c r="AF4" i="24"/>
  <c r="AO119" i="1" a="1"/>
  <c r="AO119" i="1" s="1"/>
  <c r="L6" i="27" a="1"/>
  <c r="L6" i="27" s="1"/>
  <c r="L8" i="27" a="1"/>
  <c r="L8" i="27" s="1"/>
  <c r="L10" i="27" a="1"/>
  <c r="L10" i="27" s="1"/>
  <c r="L9" i="27" a="1"/>
  <c r="L9" i="27" s="1"/>
  <c r="L5" i="27" a="1"/>
  <c r="L5" i="27" s="1"/>
  <c r="L4" i="27" a="1"/>
  <c r="L4" i="27" s="1"/>
  <c r="L7" i="27" a="1"/>
  <c r="L7" i="27" s="1"/>
  <c r="B34" i="6"/>
  <c r="B33" i="6"/>
  <c r="B32" i="6"/>
  <c r="P32" i="6" s="1" a="1"/>
  <c r="P32" i="6" s="1"/>
  <c r="B31" i="6"/>
  <c r="P31" i="6" s="1" a="1"/>
  <c r="P31" i="6" s="1"/>
  <c r="B30" i="6"/>
  <c r="B29" i="6"/>
  <c r="P29" i="6" s="1" a="1"/>
  <c r="P29" i="6" s="1"/>
  <c r="B28" i="6"/>
  <c r="B27" i="6"/>
  <c r="B26" i="6"/>
  <c r="P26" i="6" s="1" a="1"/>
  <c r="P26" i="6" s="1"/>
  <c r="B25" i="6"/>
  <c r="B24" i="6"/>
  <c r="B23" i="6"/>
  <c r="P23" i="6" s="1" a="1"/>
  <c r="P23" i="6" s="1"/>
  <c r="B22" i="6"/>
  <c r="B21" i="6"/>
  <c r="B20" i="6"/>
  <c r="B19" i="6"/>
  <c r="P19" i="6" s="1" a="1"/>
  <c r="P19" i="6" s="1"/>
  <c r="B17" i="6"/>
  <c r="P17" i="6" s="1" a="1"/>
  <c r="P17" i="6" s="1"/>
  <c r="B16" i="6"/>
  <c r="P16" i="6" s="1" a="1"/>
  <c r="P16" i="6" s="1"/>
  <c r="B15" i="6"/>
  <c r="P15" i="6" s="1" a="1"/>
  <c r="P15" i="6" s="1"/>
  <c r="B14" i="6"/>
  <c r="P14" i="6" s="1" a="1"/>
  <c r="P14" i="6" s="1"/>
  <c r="B13" i="6"/>
  <c r="P13" i="6" s="1" a="1"/>
  <c r="P13" i="6" s="1"/>
  <c r="B12" i="6"/>
  <c r="P12" i="6" s="1" a="1"/>
  <c r="P12" i="6" s="1"/>
  <c r="B11" i="6"/>
  <c r="P11" i="6" s="1" a="1"/>
  <c r="P11" i="6" s="1"/>
  <c r="B10" i="6"/>
  <c r="P10" i="6" s="1" a="1"/>
  <c r="P10" i="6" s="1"/>
  <c r="B9" i="6"/>
  <c r="P9" i="6" s="1" a="1"/>
  <c r="P9" i="6" s="1"/>
  <c r="B8" i="6"/>
  <c r="P8" i="6" s="1" a="1"/>
  <c r="P8" i="6" s="1"/>
  <c r="B7" i="6"/>
  <c r="P7" i="6" s="1" a="1"/>
  <c r="P7" i="6" s="1"/>
  <c r="B6" i="6"/>
  <c r="P6" i="6" s="1" a="1"/>
  <c r="P6" i="6" s="1"/>
  <c r="B5" i="6"/>
  <c r="P5" i="6" s="1" a="1"/>
  <c r="P5" i="6" s="1"/>
  <c r="B4" i="6"/>
  <c r="P4" i="6" s="1" a="1"/>
  <c r="P4" i="6" s="1"/>
  <c r="B3" i="6"/>
  <c r="P3" i="6" s="1" a="1"/>
  <c r="P3" i="6" s="1"/>
  <c r="B2" i="6"/>
  <c r="P2" i="6" s="1" a="1"/>
  <c r="P2" i="6" s="1"/>
  <c r="AT124" i="1" a="1"/>
  <c r="AT124" i="1" s="1"/>
  <c r="AT123" i="1" a="1"/>
  <c r="AT123" i="1" s="1"/>
  <c r="AW122" i="1" a="1"/>
  <c r="AW122" i="1" s="1"/>
  <c r="AV122" i="1" a="1"/>
  <c r="AV122" i="1" s="1"/>
  <c r="AU122" i="1" a="1"/>
  <c r="AU122" i="1" s="1"/>
  <c r="AT122" i="1" a="1"/>
  <c r="AT122" i="1" s="1"/>
  <c r="AS122" i="1" a="1"/>
  <c r="AS122" i="1" s="1"/>
  <c r="AR122" i="1" a="1"/>
  <c r="AR122" i="1" s="1"/>
  <c r="AX121" i="1" a="1"/>
  <c r="AX121" i="1" s="1"/>
  <c r="AW121" i="1" a="1"/>
  <c r="AW121" i="1" s="1"/>
  <c r="AV121" i="1" a="1"/>
  <c r="AV121" i="1" s="1"/>
  <c r="AU121" i="1" a="1"/>
  <c r="AU121" i="1" s="1"/>
  <c r="AT121" i="1" a="1"/>
  <c r="AT121" i="1" s="1"/>
  <c r="AS121" i="1" a="1"/>
  <c r="AS121" i="1" s="1"/>
  <c r="AR121" i="1" a="1"/>
  <c r="AR121" i="1" s="1"/>
  <c r="AX120" i="1" a="1"/>
  <c r="AX120" i="1" s="1"/>
  <c r="AW120" i="1" a="1"/>
  <c r="AW120" i="1" s="1"/>
  <c r="AV120" i="1" a="1"/>
  <c r="AV120" i="1" s="1"/>
  <c r="AU120" i="1" a="1"/>
  <c r="AU120" i="1" s="1"/>
  <c r="AT120" i="1" a="1"/>
  <c r="AT120" i="1" s="1"/>
  <c r="AS120" i="1" a="1"/>
  <c r="AS120" i="1" s="1"/>
  <c r="AR120" i="1" a="1"/>
  <c r="AR120" i="1" s="1"/>
  <c r="AX119" i="1" a="1"/>
  <c r="AX119" i="1" s="1"/>
  <c r="AW119" i="1" a="1"/>
  <c r="AW119" i="1" s="1"/>
  <c r="AV119" i="1" a="1"/>
  <c r="AV119" i="1" s="1"/>
  <c r="AU119" i="1" a="1"/>
  <c r="AU119" i="1" s="1"/>
  <c r="AR119" i="1" a="1"/>
  <c r="AR119" i="1" s="1"/>
  <c r="AQ119" i="1" a="1"/>
  <c r="AQ119" i="1" s="1"/>
  <c r="AP119" i="1" a="1"/>
  <c r="AP119" i="1" s="1"/>
  <c r="L3" i="35" l="1" a="1"/>
  <c r="L3" i="35" s="1"/>
  <c r="D34" i="35" s="1"/>
  <c r="V155" i="24"/>
  <c r="V197" i="24"/>
  <c r="V38" i="24"/>
  <c r="G220" i="25"/>
  <c r="V206" i="24"/>
  <c r="V207" i="24"/>
  <c r="F3" i="35" a="1"/>
  <c r="F3" i="35" s="1"/>
  <c r="D75" i="35" s="1"/>
  <c r="J18" i="27"/>
  <c r="N3" i="35" a="1"/>
  <c r="N3" i="35" s="1"/>
  <c r="D83" i="35" s="1"/>
  <c r="K3" i="35" a="1"/>
  <c r="K3" i="35" s="1"/>
  <c r="D80" i="35" s="1"/>
  <c r="V216" i="24"/>
  <c r="W215" i="24"/>
  <c r="AO120" i="1" a="1"/>
  <c r="AO120" i="1" s="1"/>
  <c r="AP122" i="1" a="1"/>
  <c r="AP122" i="1" s="1"/>
  <c r="H6" i="27" a="1"/>
  <c r="H6" i="27" s="1"/>
  <c r="AQ120" i="1" a="1"/>
  <c r="AQ120" i="1" s="1"/>
  <c r="AQ122" i="1" a="1"/>
  <c r="AQ122" i="1" s="1"/>
  <c r="AO123" i="1" a="1"/>
  <c r="AO123" i="1" s="1"/>
  <c r="AM121" i="1" a="1"/>
  <c r="AM121" i="1" s="1"/>
  <c r="AN121" i="1" a="1"/>
  <c r="AN121" i="1" s="1"/>
  <c r="H4" i="27" a="1"/>
  <c r="H4" i="27" s="1"/>
  <c r="AM120" i="1" a="1"/>
  <c r="AM120" i="1" s="1"/>
  <c r="AO121" i="1" a="1"/>
  <c r="AO121" i="1" s="1"/>
  <c r="AM122" i="1" a="1"/>
  <c r="AM122" i="1" s="1"/>
  <c r="H5" i="27" a="1"/>
  <c r="H5" i="27" s="1"/>
  <c r="AN120" i="1" a="1"/>
  <c r="AN120" i="1" s="1"/>
  <c r="AP121" i="1" a="1"/>
  <c r="AP121" i="1" s="1"/>
  <c r="AN122" i="1" a="1"/>
  <c r="AN122" i="1" s="1"/>
  <c r="H7" i="27" a="1"/>
  <c r="H7" i="27" s="1"/>
  <c r="AP120" i="1" a="1"/>
  <c r="AP120" i="1" s="1"/>
  <c r="AQ121" i="1" a="1"/>
  <c r="AQ121" i="1" s="1"/>
  <c r="AO122" i="1" a="1"/>
  <c r="AO122" i="1" s="1"/>
  <c r="AO124" i="1" a="1"/>
  <c r="AO124" i="1" s="1"/>
  <c r="H8" i="27" a="1"/>
  <c r="H8" i="27" s="1"/>
  <c r="Z28" i="24"/>
  <c r="R28" i="24" s="1"/>
  <c r="AB213" i="24"/>
  <c r="AB214" i="24" s="1"/>
  <c r="V136" i="24"/>
  <c r="V137" i="24" s="1"/>
  <c r="W137" i="24" s="1"/>
  <c r="V69" i="24"/>
  <c r="W69" i="24" s="1"/>
  <c r="V108" i="24"/>
  <c r="V123" i="24"/>
  <c r="W123" i="24" s="1"/>
  <c r="V122" i="24"/>
  <c r="W122" i="24" s="1"/>
  <c r="V24" i="24"/>
  <c r="V220" i="24"/>
  <c r="V221" i="24" s="1"/>
  <c r="W221" i="24" s="1"/>
  <c r="V181" i="24"/>
  <c r="W181" i="24" s="1"/>
  <c r="V139" i="24"/>
  <c r="V140" i="24" s="1"/>
  <c r="V124" i="24"/>
  <c r="V125" i="24" s="1"/>
  <c r="W125" i="24" s="1"/>
  <c r="V80" i="24"/>
  <c r="W80" i="24" s="1"/>
  <c r="V194" i="24"/>
  <c r="V195" i="24" s="1"/>
  <c r="W195" i="24" s="1"/>
  <c r="V138" i="24"/>
  <c r="W138" i="24" s="1"/>
  <c r="V66" i="24"/>
  <c r="V67" i="24" s="1"/>
  <c r="V68" i="24" s="1"/>
  <c r="W68" i="24" s="1"/>
  <c r="V179" i="24"/>
  <c r="V180" i="24" s="1"/>
  <c r="W180" i="24" s="1"/>
  <c r="V151" i="24"/>
  <c r="W151" i="24" s="1"/>
  <c r="V109" i="24"/>
  <c r="V52" i="24"/>
  <c r="V53" i="24" s="1"/>
  <c r="W53" i="24" s="1"/>
  <c r="V39" i="24"/>
  <c r="V182" i="24"/>
  <c r="W182" i="24" s="1"/>
  <c r="V94" i="24"/>
  <c r="V95" i="24" s="1"/>
  <c r="W95" i="24" s="1"/>
  <c r="V152" i="24"/>
  <c r="V153" i="24" s="1"/>
  <c r="W153" i="24" s="1"/>
  <c r="V178" i="24"/>
  <c r="W178" i="24" s="1"/>
  <c r="V150" i="24"/>
  <c r="W150" i="24" s="1"/>
  <c r="V192" i="24"/>
  <c r="V193" i="24" s="1"/>
  <c r="V110" i="24"/>
  <c r="W110" i="24" s="1"/>
  <c r="V196" i="24"/>
  <c r="V154" i="24"/>
  <c r="W154" i="24" s="1"/>
  <c r="V126" i="24"/>
  <c r="V96" i="24"/>
  <c r="V97" i="24" s="1"/>
  <c r="W97" i="24" s="1"/>
  <c r="V98" i="24"/>
  <c r="W98" i="24" s="1"/>
  <c r="V81" i="24"/>
  <c r="W81" i="24" s="1"/>
  <c r="V84" i="24"/>
  <c r="V82" i="24"/>
  <c r="V83" i="24" s="1"/>
  <c r="W83" i="24" s="1"/>
  <c r="V111" i="24"/>
  <c r="V112" i="24" s="1"/>
  <c r="V70" i="24"/>
  <c r="W70" i="24" s="1"/>
  <c r="V54" i="24"/>
  <c r="W54" i="24" s="1"/>
  <c r="V40" i="24"/>
  <c r="V41" i="24" s="1"/>
  <c r="W41" i="24" s="1"/>
  <c r="V55" i="24"/>
  <c r="V56" i="24" s="1"/>
  <c r="V42" i="24"/>
  <c r="W42" i="24" s="1"/>
  <c r="V28" i="24"/>
  <c r="V25" i="24"/>
  <c r="W25" i="24" s="1"/>
  <c r="V26" i="24"/>
  <c r="V27" i="24" s="1"/>
  <c r="W27" i="24" s="1"/>
  <c r="W212" i="24"/>
  <c r="AB201" i="24"/>
  <c r="AB202" i="24" s="1"/>
  <c r="AB203" i="24" s="1"/>
  <c r="W214" i="24"/>
  <c r="X8" i="24"/>
  <c r="Y8" i="24" s="1"/>
  <c r="P3" i="35" a="1"/>
  <c r="P3" i="35" s="1"/>
  <c r="D85" i="35" s="1"/>
  <c r="P28" i="6" a="1"/>
  <c r="P28" i="6" s="1"/>
  <c r="Z98" i="24"/>
  <c r="AH98" i="24" s="1"/>
  <c r="P24" i="6" a="1"/>
  <c r="P24" i="6" s="1"/>
  <c r="G214" i="25"/>
  <c r="G215" i="25"/>
  <c r="AB192" i="24"/>
  <c r="AB195" i="24"/>
  <c r="AA57" i="24"/>
  <c r="AB57" i="24" s="1"/>
  <c r="AB176" i="24"/>
  <c r="AB177" i="24" s="1"/>
  <c r="AB178" i="24" s="1"/>
  <c r="AA197" i="24"/>
  <c r="AB197" i="24" s="1"/>
  <c r="G217" i="25"/>
  <c r="G223" i="25"/>
  <c r="G226" i="25"/>
  <c r="G211" i="25"/>
  <c r="P30" i="6" a="1"/>
  <c r="P30" i="6" s="1"/>
  <c r="AD57" i="24"/>
  <c r="AD169" i="24"/>
  <c r="U225" i="24"/>
  <c r="G222" i="25"/>
  <c r="G221" i="25"/>
  <c r="AE225" i="24"/>
  <c r="S225" i="24"/>
  <c r="T225" i="24" s="1"/>
  <c r="AD113" i="24"/>
  <c r="AF113" i="24" s="1"/>
  <c r="AD183" i="24"/>
  <c r="AD85" i="24"/>
  <c r="AE183" i="24"/>
  <c r="P22" i="6" a="1"/>
  <c r="P22" i="6" s="1"/>
  <c r="AE169" i="24"/>
  <c r="U169" i="24"/>
  <c r="Z169" i="24" s="1"/>
  <c r="AE57" i="24"/>
  <c r="S57" i="24"/>
  <c r="T57" i="24" s="1"/>
  <c r="U183" i="24"/>
  <c r="AA183" i="24" s="1"/>
  <c r="AB183" i="24" s="1"/>
  <c r="S113" i="24"/>
  <c r="T113" i="24" s="1"/>
  <c r="U113" i="24"/>
  <c r="AA113" i="24" s="1"/>
  <c r="AB113" i="24" s="1"/>
  <c r="S85" i="24"/>
  <c r="T85" i="24" s="1"/>
  <c r="O196" i="24"/>
  <c r="O154" i="24"/>
  <c r="O140" i="24"/>
  <c r="O224" i="24"/>
  <c r="O210" i="24"/>
  <c r="O182" i="24"/>
  <c r="O168" i="24"/>
  <c r="G213" i="25"/>
  <c r="O98" i="24"/>
  <c r="O84" i="24"/>
  <c r="O14" i="24"/>
  <c r="O112" i="24"/>
  <c r="O70" i="24"/>
  <c r="O28" i="24"/>
  <c r="O42" i="24"/>
  <c r="O56" i="24"/>
  <c r="Q14" i="24"/>
  <c r="Q56" i="24"/>
  <c r="Q140" i="24"/>
  <c r="Q98" i="24"/>
  <c r="Q196" i="24"/>
  <c r="Q168" i="24"/>
  <c r="Q70" i="24"/>
  <c r="Q210" i="24"/>
  <c r="Q224" i="24"/>
  <c r="Q182" i="24"/>
  <c r="Q42" i="24"/>
  <c r="Q28" i="24"/>
  <c r="Q84" i="24"/>
  <c r="Q126" i="24"/>
  <c r="Q154" i="24"/>
  <c r="Q112" i="24"/>
  <c r="AE85" i="24"/>
  <c r="G212" i="25"/>
  <c r="O126" i="24"/>
  <c r="G225" i="25"/>
  <c r="K18" i="27"/>
  <c r="G224" i="25"/>
  <c r="N183" i="24"/>
  <c r="G216" i="25"/>
  <c r="G218" i="25"/>
  <c r="AR15" i="24"/>
  <c r="P33" i="6" a="1"/>
  <c r="P33" i="6" s="1"/>
  <c r="P27" i="6" a="1"/>
  <c r="P27" i="6" s="1"/>
  <c r="AB155" i="24"/>
  <c r="U99" i="24"/>
  <c r="X99" i="24" s="1"/>
  <c r="Y99" i="24" s="1"/>
  <c r="AE99" i="24"/>
  <c r="S99" i="24"/>
  <c r="T99" i="24" s="1"/>
  <c r="AD99" i="24"/>
  <c r="AF99" i="24" s="1"/>
  <c r="AE141" i="24"/>
  <c r="U141" i="24"/>
  <c r="AA141" i="24" s="1"/>
  <c r="S141" i="24"/>
  <c r="G17" i="27" a="1"/>
  <c r="G17" i="27" s="1"/>
  <c r="L17" i="27" s="1" a="1"/>
  <c r="L17" i="27" s="1"/>
  <c r="S43" i="24"/>
  <c r="T43" i="24" s="1"/>
  <c r="AE43" i="24"/>
  <c r="U43" i="24"/>
  <c r="Z43" i="24" s="1"/>
  <c r="AH43" i="24" s="1"/>
  <c r="AD43" i="24"/>
  <c r="AF43" i="24" s="1"/>
  <c r="U71" i="24"/>
  <c r="X71" i="24" s="1"/>
  <c r="Y71" i="24" s="1"/>
  <c r="AE71" i="24"/>
  <c r="S71" i="24"/>
  <c r="T71" i="24" s="1"/>
  <c r="AE29" i="24"/>
  <c r="S29" i="24"/>
  <c r="T29" i="24" s="1"/>
  <c r="U29" i="24"/>
  <c r="X29" i="24" s="1"/>
  <c r="Y29" i="24" s="1"/>
  <c r="AD29" i="24"/>
  <c r="AF29" i="24" s="1"/>
  <c r="S127" i="24"/>
  <c r="T127" i="24" s="1"/>
  <c r="U127" i="24"/>
  <c r="Z127" i="24" s="1"/>
  <c r="AE127" i="24"/>
  <c r="U211" i="24"/>
  <c r="Z211" i="24" s="1"/>
  <c r="S211" i="24"/>
  <c r="T211" i="24" s="1"/>
  <c r="AE211" i="24"/>
  <c r="AH132" i="24"/>
  <c r="AH159" i="24"/>
  <c r="AH174" i="24"/>
  <c r="AH180" i="24"/>
  <c r="AH135" i="24"/>
  <c r="AH148" i="24"/>
  <c r="AH161" i="24"/>
  <c r="AH133" i="24"/>
  <c r="AH150" i="24"/>
  <c r="AH134" i="24"/>
  <c r="AH171" i="24"/>
  <c r="AH179" i="24"/>
  <c r="AH177" i="24"/>
  <c r="AH175" i="24"/>
  <c r="AH176" i="24"/>
  <c r="AH118" i="24"/>
  <c r="AH115" i="24"/>
  <c r="AH157" i="24"/>
  <c r="AH160" i="24"/>
  <c r="AH170" i="24"/>
  <c r="AH193" i="24"/>
  <c r="AH192" i="24"/>
  <c r="AH164" i="24"/>
  <c r="AH25" i="24"/>
  <c r="AK109" i="24" s="1" a="1"/>
  <c r="AK109" i="24" s="1"/>
  <c r="AH116" i="24"/>
  <c r="AH129" i="24"/>
  <c r="AH130" i="24"/>
  <c r="AH144" i="24"/>
  <c r="AH151" i="24"/>
  <c r="AH149" i="24"/>
  <c r="AH166" i="24"/>
  <c r="AH119" i="24"/>
  <c r="AH122" i="24"/>
  <c r="AH146" i="24"/>
  <c r="AH184" i="24"/>
  <c r="AH165" i="24"/>
  <c r="AH163" i="24"/>
  <c r="AH121" i="24"/>
  <c r="AH147" i="24"/>
  <c r="AH136" i="24"/>
  <c r="AH117" i="24"/>
  <c r="AH145" i="24"/>
  <c r="AH186" i="24"/>
  <c r="AH173" i="24"/>
  <c r="AH123" i="24"/>
  <c r="AH191" i="24"/>
  <c r="AH189" i="24"/>
  <c r="AH162" i="24"/>
  <c r="AH3" i="24"/>
  <c r="AH131" i="24"/>
  <c r="AH142" i="24"/>
  <c r="AH143" i="24"/>
  <c r="AH185" i="24"/>
  <c r="AH188" i="24"/>
  <c r="AH137" i="24"/>
  <c r="AH120" i="24"/>
  <c r="AH114" i="24"/>
  <c r="AH128" i="24"/>
  <c r="AH158" i="24"/>
  <c r="AH156" i="24"/>
  <c r="AH172" i="24"/>
  <c r="AH187" i="24"/>
  <c r="AH178" i="24"/>
  <c r="AH190" i="24"/>
  <c r="AH2" i="24"/>
  <c r="AH6" i="24"/>
  <c r="AK90" i="24" s="1" a="1"/>
  <c r="AK90" i="24" s="1"/>
  <c r="AH21" i="24"/>
  <c r="AK77" i="24" s="1" a="1"/>
  <c r="AK77" i="24" s="1"/>
  <c r="AH4" i="24"/>
  <c r="AK74" i="24" s="1" a="1"/>
  <c r="AK74" i="24" s="1"/>
  <c r="AH9" i="24"/>
  <c r="AK37" i="24" s="1" a="1"/>
  <c r="AK37" i="24" s="1"/>
  <c r="AH27" i="24"/>
  <c r="AH209" i="24"/>
  <c r="AH111" i="24"/>
  <c r="AH195" i="24"/>
  <c r="AH83" i="24"/>
  <c r="AH223" i="24"/>
  <c r="AH41" i="24"/>
  <c r="AH55" i="24"/>
  <c r="AH167" i="24"/>
  <c r="AH42" i="24"/>
  <c r="AH139" i="24"/>
  <c r="AH97" i="24"/>
  <c r="AH69" i="24"/>
  <c r="AH216" i="24"/>
  <c r="AH214" i="24"/>
  <c r="AH208" i="24"/>
  <c r="AH222" i="24"/>
  <c r="AH215" i="24"/>
  <c r="AH219" i="24"/>
  <c r="AH221" i="24"/>
  <c r="AH125" i="24"/>
  <c r="AH218" i="24"/>
  <c r="AH212" i="24"/>
  <c r="AH220" i="24"/>
  <c r="AH181" i="24"/>
  <c r="AH213" i="24"/>
  <c r="AH217" i="24"/>
  <c r="AK68" i="24" a="1"/>
  <c r="AK68" i="24" s="1"/>
  <c r="AL82" i="24" a="1"/>
  <c r="AL82" i="24" s="1"/>
  <c r="AL54" i="24" a="1"/>
  <c r="AL54" i="24" s="1"/>
  <c r="AL12" i="24" a="1"/>
  <c r="AL12" i="24" s="1"/>
  <c r="AK96" i="24" a="1"/>
  <c r="AK96" i="24" s="1"/>
  <c r="AK12" i="24" a="1"/>
  <c r="AK12" i="24" s="1"/>
  <c r="AL110" i="24" a="1"/>
  <c r="AL110" i="24" s="1"/>
  <c r="AK26" i="24" a="1"/>
  <c r="AK26" i="24" s="1"/>
  <c r="AK40" i="24" a="1"/>
  <c r="AK40" i="24" s="1"/>
  <c r="AL40" i="24" a="1"/>
  <c r="AL40" i="24" s="1"/>
  <c r="AK54" i="24" a="1"/>
  <c r="AK54" i="24" s="1"/>
  <c r="AK82" i="24" a="1"/>
  <c r="AK82" i="24" s="1"/>
  <c r="AL26" i="24" a="1"/>
  <c r="AL26" i="24" s="1"/>
  <c r="AL68" i="24" a="1"/>
  <c r="AL68" i="24" s="1"/>
  <c r="AM68" i="24" s="1"/>
  <c r="AK110" i="24" a="1"/>
  <c r="AK110" i="24" s="1"/>
  <c r="R213" i="24"/>
  <c r="R215" i="24"/>
  <c r="AL96" i="24" a="1"/>
  <c r="AL96" i="24" s="1"/>
  <c r="P20" i="6" a="1"/>
  <c r="P20" i="6" s="1"/>
  <c r="O20" i="6" a="1"/>
  <c r="O20" i="6" s="1"/>
  <c r="AA220" i="24"/>
  <c r="O27" i="6" a="1"/>
  <c r="O27" i="6" s="1"/>
  <c r="AK3" i="6"/>
  <c r="O22" i="6" a="1"/>
  <c r="O22" i="6" s="1"/>
  <c r="AA204" i="24"/>
  <c r="N34" i="6" a="1"/>
  <c r="N34" i="6" s="1"/>
  <c r="P34" i="6" a="1"/>
  <c r="P34" i="6" s="1"/>
  <c r="O23" i="6" a="1"/>
  <c r="O23" i="6" s="1"/>
  <c r="P21" i="6" a="1"/>
  <c r="P21" i="6" s="1"/>
  <c r="O21" i="6" a="1"/>
  <c r="O21" i="6" s="1"/>
  <c r="O31" i="6" a="1"/>
  <c r="O31" i="6" s="1"/>
  <c r="O32" i="6" a="1"/>
  <c r="O32" i="6" s="1"/>
  <c r="O33" i="6" a="1"/>
  <c r="O33" i="6" s="1"/>
  <c r="AK2" i="6"/>
  <c r="O30" i="6" a="1"/>
  <c r="O30" i="6" s="1"/>
  <c r="O24" i="6" a="1"/>
  <c r="O24" i="6" s="1"/>
  <c r="O26" i="6" a="1"/>
  <c r="O26" i="6" s="1"/>
  <c r="O29" i="6" a="1"/>
  <c r="O29" i="6" s="1"/>
  <c r="P25" i="6" a="1"/>
  <c r="P25" i="6" s="1"/>
  <c r="O25" i="6" a="1"/>
  <c r="O25" i="6" s="1"/>
  <c r="X112" i="24"/>
  <c r="Y112" i="24" s="1"/>
  <c r="X41" i="24"/>
  <c r="Y41" i="24" s="1"/>
  <c r="X98" i="24"/>
  <c r="Y98" i="24" s="1"/>
  <c r="X139" i="24"/>
  <c r="Y139" i="24" s="1"/>
  <c r="W121" i="24"/>
  <c r="X121" i="24"/>
  <c r="Y121" i="24" s="1"/>
  <c r="X122" i="24"/>
  <c r="Y122" i="24" s="1"/>
  <c r="X124" i="24"/>
  <c r="Y124" i="24" s="1"/>
  <c r="X123" i="24"/>
  <c r="Y123" i="24" s="1"/>
  <c r="W26" i="24"/>
  <c r="W28" i="24"/>
  <c r="X23" i="24"/>
  <c r="Y23" i="24" s="1"/>
  <c r="X24" i="24"/>
  <c r="Y24" i="24" s="1"/>
  <c r="X25" i="24"/>
  <c r="Y25" i="24" s="1"/>
  <c r="X26" i="24"/>
  <c r="Y26" i="24" s="1"/>
  <c r="W65" i="24"/>
  <c r="X65" i="24"/>
  <c r="Y65" i="24" s="1"/>
  <c r="X67" i="24"/>
  <c r="Y67" i="24" s="1"/>
  <c r="X66" i="24"/>
  <c r="Y66" i="24" s="1"/>
  <c r="X68" i="24"/>
  <c r="Y68" i="24" s="1"/>
  <c r="W51" i="24"/>
  <c r="W56" i="24"/>
  <c r="X51" i="24"/>
  <c r="Y51" i="24" s="1"/>
  <c r="X52" i="24"/>
  <c r="Y52" i="24" s="1"/>
  <c r="X53" i="24"/>
  <c r="Y53" i="24" s="1"/>
  <c r="X55" i="24"/>
  <c r="Y55" i="24" s="1"/>
  <c r="X54" i="24"/>
  <c r="Y54" i="24" s="1"/>
  <c r="X97" i="24"/>
  <c r="Y97" i="24" s="1"/>
  <c r="X196" i="24"/>
  <c r="Y196" i="24" s="1"/>
  <c r="W84" i="24"/>
  <c r="W79" i="24"/>
  <c r="X79" i="24"/>
  <c r="Y79" i="24" s="1"/>
  <c r="X80" i="24"/>
  <c r="Y80" i="24" s="1"/>
  <c r="X81" i="24"/>
  <c r="Y81" i="24" s="1"/>
  <c r="X82" i="24"/>
  <c r="Y82" i="24" s="1"/>
  <c r="X219" i="24"/>
  <c r="Y219" i="24" s="1"/>
  <c r="X220" i="24"/>
  <c r="Y220" i="24" s="1"/>
  <c r="X221" i="24"/>
  <c r="Y221" i="24" s="1"/>
  <c r="W93" i="24"/>
  <c r="X93" i="24"/>
  <c r="Y93" i="24" s="1"/>
  <c r="X94" i="24"/>
  <c r="Y94" i="24" s="1"/>
  <c r="X95" i="24"/>
  <c r="Y95" i="24" s="1"/>
  <c r="X96" i="24"/>
  <c r="Y96" i="24" s="1"/>
  <c r="W136" i="24"/>
  <c r="W140" i="24"/>
  <c r="W135" i="24"/>
  <c r="W139" i="24"/>
  <c r="X135" i="24"/>
  <c r="Y135" i="24" s="1"/>
  <c r="X136" i="24"/>
  <c r="Y136" i="24" s="1"/>
  <c r="X138" i="24"/>
  <c r="Y138" i="24" s="1"/>
  <c r="X137" i="24"/>
  <c r="Y137" i="24" s="1"/>
  <c r="W177" i="24"/>
  <c r="X177" i="24"/>
  <c r="Y177" i="24" s="1"/>
  <c r="X178" i="24"/>
  <c r="Y178" i="24" s="1"/>
  <c r="X179" i="24"/>
  <c r="Y179" i="24" s="1"/>
  <c r="X180" i="24"/>
  <c r="Y180" i="24" s="1"/>
  <c r="W192" i="24"/>
  <c r="W193" i="24"/>
  <c r="W197" i="24"/>
  <c r="W191" i="24"/>
  <c r="W196" i="24"/>
  <c r="X191" i="24"/>
  <c r="Y191" i="24" s="1"/>
  <c r="X192" i="24"/>
  <c r="Y192" i="24" s="1"/>
  <c r="X193" i="24"/>
  <c r="Y193" i="24" s="1"/>
  <c r="X194" i="24"/>
  <c r="Y194" i="24" s="1"/>
  <c r="X42" i="24"/>
  <c r="Y42" i="24" s="1"/>
  <c r="W155" i="24"/>
  <c r="W149" i="24"/>
  <c r="X149" i="24"/>
  <c r="Y149" i="24" s="1"/>
  <c r="X150" i="24"/>
  <c r="Y150" i="24" s="1"/>
  <c r="X151" i="24"/>
  <c r="Y151" i="24" s="1"/>
  <c r="X153" i="24"/>
  <c r="Y153" i="24" s="1"/>
  <c r="X152" i="24"/>
  <c r="Y152" i="24" s="1"/>
  <c r="X28" i="24"/>
  <c r="Y28" i="24" s="1"/>
  <c r="W219" i="24"/>
  <c r="W109" i="24"/>
  <c r="W107" i="24"/>
  <c r="W108" i="24"/>
  <c r="W112" i="24"/>
  <c r="W111" i="24"/>
  <c r="X107" i="24"/>
  <c r="Y107" i="24" s="1"/>
  <c r="X108" i="24"/>
  <c r="Y108" i="24" s="1"/>
  <c r="X109" i="24"/>
  <c r="Y109" i="24" s="1"/>
  <c r="X110" i="24"/>
  <c r="Y110" i="24" s="1"/>
  <c r="X181" i="24"/>
  <c r="Y181" i="24" s="1"/>
  <c r="W206" i="24"/>
  <c r="W205" i="24"/>
  <c r="W207" i="24"/>
  <c r="X205" i="24"/>
  <c r="Y205" i="24" s="1"/>
  <c r="X206" i="24"/>
  <c r="Y206" i="24" s="1"/>
  <c r="X207" i="24"/>
  <c r="Y207" i="24" s="1"/>
  <c r="W39" i="24"/>
  <c r="W38" i="24"/>
  <c r="W37" i="24"/>
  <c r="X37" i="24"/>
  <c r="Y37" i="24" s="1"/>
  <c r="X38" i="24"/>
  <c r="Y38" i="24" s="1"/>
  <c r="X39" i="24"/>
  <c r="Y39" i="24" s="1"/>
  <c r="X40" i="24"/>
  <c r="Y40" i="24" s="1"/>
  <c r="X83" i="24"/>
  <c r="Y83" i="24" s="1"/>
  <c r="X84" i="24"/>
  <c r="Y84" i="24" s="1"/>
  <c r="X57" i="24"/>
  <c r="Y57" i="24" s="1"/>
  <c r="X195" i="24"/>
  <c r="Y195" i="24" s="1"/>
  <c r="X69" i="24"/>
  <c r="Y69" i="24" s="1"/>
  <c r="Z224" i="24"/>
  <c r="AR112" i="24"/>
  <c r="AR168" i="24"/>
  <c r="AR70" i="24"/>
  <c r="AR126" i="24"/>
  <c r="AB69" i="24"/>
  <c r="AB139" i="24"/>
  <c r="AB167" i="24"/>
  <c r="AB125" i="24"/>
  <c r="AB83" i="24"/>
  <c r="AA85" i="24"/>
  <c r="R83" i="24"/>
  <c r="AB41" i="24"/>
  <c r="R167" i="24"/>
  <c r="R42" i="24"/>
  <c r="R97" i="24"/>
  <c r="N210" i="24"/>
  <c r="AB28" i="24"/>
  <c r="AX72" i="26" a="1"/>
  <c r="AX72" i="26" s="1"/>
  <c r="N154" i="24"/>
  <c r="N126" i="24"/>
  <c r="N182" i="24"/>
  <c r="N224" i="24"/>
  <c r="R208" i="24"/>
  <c r="R111" i="24"/>
  <c r="T224" i="24"/>
  <c r="R220" i="24"/>
  <c r="T112" i="24"/>
  <c r="T155" i="24"/>
  <c r="T154" i="24"/>
  <c r="T84" i="24"/>
  <c r="AF210" i="24"/>
  <c r="T168" i="24"/>
  <c r="T169" i="24"/>
  <c r="AA168" i="24"/>
  <c r="AB168" i="24" s="1"/>
  <c r="Z168" i="24"/>
  <c r="N140" i="24"/>
  <c r="AA42" i="24"/>
  <c r="AB42" i="24" s="1"/>
  <c r="AA126" i="24"/>
  <c r="AB126" i="24" s="1"/>
  <c r="Z126" i="24"/>
  <c r="AA56" i="24"/>
  <c r="AB56" i="24" s="1"/>
  <c r="Z56" i="24"/>
  <c r="Z57" i="24"/>
  <c r="R195" i="24"/>
  <c r="T183" i="24"/>
  <c r="T182" i="24"/>
  <c r="AA112" i="24"/>
  <c r="AB112" i="24" s="1"/>
  <c r="Z112" i="24"/>
  <c r="R55" i="24"/>
  <c r="AR196" i="24"/>
  <c r="AA154" i="24"/>
  <c r="AB154" i="24" s="1"/>
  <c r="Z155" i="24"/>
  <c r="Z154" i="24"/>
  <c r="X154" i="24"/>
  <c r="Y154" i="24" s="1"/>
  <c r="X155" i="24"/>
  <c r="Y155" i="24" s="1"/>
  <c r="R125" i="24"/>
  <c r="AF211" i="24"/>
  <c r="R41" i="24"/>
  <c r="N168" i="24"/>
  <c r="T126" i="24"/>
  <c r="R209" i="24"/>
  <c r="R139" i="24"/>
  <c r="R221" i="24"/>
  <c r="R217" i="24"/>
  <c r="AR56" i="24"/>
  <c r="AA182" i="24"/>
  <c r="AB182" i="24" s="1"/>
  <c r="Z182" i="24"/>
  <c r="S14" i="24"/>
  <c r="T14" i="24" s="1"/>
  <c r="AR14" i="24"/>
  <c r="AE14" i="24"/>
  <c r="O19" i="6" a="1"/>
  <c r="O19" i="6" s="1"/>
  <c r="U14" i="24"/>
  <c r="Z15" i="24" s="1"/>
  <c r="AD14" i="24"/>
  <c r="AR28" i="24"/>
  <c r="AR98" i="24"/>
  <c r="AR42" i="24"/>
  <c r="AA196" i="24"/>
  <c r="AB196" i="24" s="1"/>
  <c r="Z197" i="24"/>
  <c r="Z196" i="24"/>
  <c r="X197" i="24"/>
  <c r="Y197" i="24" s="1"/>
  <c r="R223" i="24"/>
  <c r="AR154" i="24"/>
  <c r="R181" i="24"/>
  <c r="P210" i="24"/>
  <c r="P224" i="24"/>
  <c r="P196" i="24"/>
  <c r="P182" i="24"/>
  <c r="P154" i="24"/>
  <c r="P168" i="24"/>
  <c r="P140" i="24"/>
  <c r="P126" i="24"/>
  <c r="N98" i="24"/>
  <c r="P112" i="24"/>
  <c r="N112" i="24"/>
  <c r="N84" i="24"/>
  <c r="N56" i="24"/>
  <c r="P98" i="24"/>
  <c r="P84" i="24"/>
  <c r="N42" i="24"/>
  <c r="P70" i="24"/>
  <c r="P56" i="24"/>
  <c r="N70" i="24"/>
  <c r="N28" i="24"/>
  <c r="P14" i="24"/>
  <c r="N14" i="24"/>
  <c r="P28" i="24"/>
  <c r="P42" i="24"/>
  <c r="AA209" i="24"/>
  <c r="AA210" i="24" s="1"/>
  <c r="AB210" i="24" s="1"/>
  <c r="AA70" i="24"/>
  <c r="Z70" i="24"/>
  <c r="T56" i="24"/>
  <c r="AE15" i="24"/>
  <c r="AR43" i="24"/>
  <c r="AR127" i="24"/>
  <c r="AR155" i="24"/>
  <c r="AR99" i="24"/>
  <c r="AR183" i="24"/>
  <c r="AR211" i="24"/>
  <c r="AR71" i="24"/>
  <c r="AR57" i="24"/>
  <c r="AR113" i="24"/>
  <c r="AR169" i="24"/>
  <c r="AR85" i="24"/>
  <c r="AR29" i="24"/>
  <c r="AR225" i="24"/>
  <c r="AR197" i="24"/>
  <c r="AR141" i="24"/>
  <c r="H17" i="27" s="1" a="1"/>
  <c r="H17" i="27" s="1"/>
  <c r="AF84" i="24"/>
  <c r="N196" i="24"/>
  <c r="AF127" i="24"/>
  <c r="AX74" i="26" a="1"/>
  <c r="AX74" i="26" s="1"/>
  <c r="X70" i="24"/>
  <c r="Y70" i="24" s="1"/>
  <c r="R222" i="24"/>
  <c r="R218" i="24"/>
  <c r="AR140" i="24"/>
  <c r="S140" i="24"/>
  <c r="AE140" i="24"/>
  <c r="U140" i="24"/>
  <c r="M12" i="35" s="1" a="1"/>
  <c r="M12" i="35" s="1"/>
  <c r="D50" i="35" s="1"/>
  <c r="O28" i="6" a="1"/>
  <c r="O28" i="6" s="1"/>
  <c r="AD141" i="24"/>
  <c r="AD140" i="24"/>
  <c r="AR182" i="24"/>
  <c r="AF197" i="24"/>
  <c r="AA224" i="24"/>
  <c r="X27" i="24"/>
  <c r="Y27" i="24" s="1"/>
  <c r="X111" i="24"/>
  <c r="Y111" i="24" s="1"/>
  <c r="X56" i="24"/>
  <c r="Y56" i="24" s="1"/>
  <c r="X125" i="24"/>
  <c r="Y125" i="24" s="1"/>
  <c r="X85" i="24"/>
  <c r="Y85" i="24" s="1"/>
  <c r="AF155" i="24"/>
  <c r="AF85" i="24"/>
  <c r="T210" i="24"/>
  <c r="R27" i="24"/>
  <c r="AF126" i="24"/>
  <c r="AF71" i="24"/>
  <c r="R219" i="24"/>
  <c r="AF56" i="24"/>
  <c r="G16" i="27" a="1"/>
  <c r="G16" i="27" s="1"/>
  <c r="G18" i="27" s="1"/>
  <c r="X182" i="24"/>
  <c r="Y182" i="24" s="1"/>
  <c r="AF196" i="24"/>
  <c r="AF154" i="24"/>
  <c r="AA84" i="24"/>
  <c r="Z85" i="24"/>
  <c r="Z84" i="24"/>
  <c r="Z210" i="24"/>
  <c r="AF168" i="24"/>
  <c r="AF70" i="24"/>
  <c r="AF57" i="24"/>
  <c r="AF183" i="24"/>
  <c r="AF112" i="24"/>
  <c r="AB98" i="24"/>
  <c r="T196" i="24"/>
  <c r="T197" i="24"/>
  <c r="AR224" i="24"/>
  <c r="AR210" i="24"/>
  <c r="AF169" i="24"/>
  <c r="T70" i="24"/>
  <c r="R69" i="24"/>
  <c r="AF182" i="24"/>
  <c r="AR84" i="24"/>
  <c r="X126" i="24"/>
  <c r="Y126" i="24" s="1"/>
  <c r="AA215" i="24"/>
  <c r="R216" i="24"/>
  <c r="R214" i="24"/>
  <c r="AS186" i="24"/>
  <c r="AS185" i="24"/>
  <c r="AS187" i="24"/>
  <c r="AS184" i="24"/>
  <c r="AS188" i="24"/>
  <c r="AS173" i="24"/>
  <c r="AS174" i="24"/>
  <c r="AS171" i="24"/>
  <c r="AS170" i="24"/>
  <c r="AS172" i="24"/>
  <c r="AS157" i="24"/>
  <c r="AS158" i="24"/>
  <c r="AS160" i="24"/>
  <c r="AS159" i="24"/>
  <c r="AS156" i="24"/>
  <c r="AS145" i="24"/>
  <c r="AS144" i="24"/>
  <c r="AS143" i="24"/>
  <c r="AS142" i="24"/>
  <c r="AS146" i="24"/>
  <c r="AS131" i="24"/>
  <c r="I7" i="27" s="1" a="1"/>
  <c r="I7" i="27" s="1"/>
  <c r="AS129" i="24"/>
  <c r="I5" i="27" s="1" a="1"/>
  <c r="I5" i="27" s="1"/>
  <c r="AS130" i="24"/>
  <c r="I6" i="27" s="1" a="1"/>
  <c r="I6" i="27" s="1"/>
  <c r="AS132" i="24"/>
  <c r="I8" i="27" s="1" a="1"/>
  <c r="I8" i="27" s="1"/>
  <c r="AS128" i="24"/>
  <c r="AS118" i="24"/>
  <c r="AS116" i="24"/>
  <c r="AS115" i="24"/>
  <c r="AS117" i="24"/>
  <c r="AS114" i="24"/>
  <c r="AS104" i="24"/>
  <c r="AS103" i="24"/>
  <c r="AS101" i="24"/>
  <c r="AS102" i="24"/>
  <c r="AS100" i="24"/>
  <c r="AS90" i="24"/>
  <c r="AS87" i="24"/>
  <c r="AS88" i="24"/>
  <c r="AS89" i="24"/>
  <c r="AS86" i="24"/>
  <c r="AS76" i="24"/>
  <c r="AS75" i="24"/>
  <c r="AS73" i="24"/>
  <c r="AS74" i="24"/>
  <c r="AS72" i="24"/>
  <c r="AS62" i="24"/>
  <c r="AS61" i="24"/>
  <c r="AS59" i="24"/>
  <c r="AS60" i="24"/>
  <c r="AS58" i="24"/>
  <c r="AS48" i="24"/>
  <c r="AS45" i="24"/>
  <c r="AS46" i="24"/>
  <c r="AS47" i="24"/>
  <c r="AS44" i="24"/>
  <c r="AS32" i="24"/>
  <c r="AS31" i="24"/>
  <c r="AS33" i="24"/>
  <c r="AS34" i="24"/>
  <c r="AS30" i="24"/>
  <c r="AS17" i="24"/>
  <c r="AS18" i="24"/>
  <c r="AS20" i="24"/>
  <c r="AS19" i="24"/>
  <c r="AS16" i="24"/>
  <c r="D18" i="27"/>
  <c r="F141" i="24"/>
  <c r="F16" i="27" a="1"/>
  <c r="F16" i="27" s="1"/>
  <c r="N8" i="6" a="1"/>
  <c r="N8" i="6" s="1"/>
  <c r="O8" i="6" a="1"/>
  <c r="O8" i="6" s="1"/>
  <c r="N25" i="6" a="1"/>
  <c r="N25" i="6" s="1"/>
  <c r="N2" i="6" a="1"/>
  <c r="N2" i="6" s="1"/>
  <c r="O2" i="6" a="1"/>
  <c r="O2" i="6" s="1"/>
  <c r="N19" i="6" a="1"/>
  <c r="N19" i="6" s="1"/>
  <c r="N3" i="6" a="1"/>
  <c r="N3" i="6" s="1"/>
  <c r="O3" i="6" a="1"/>
  <c r="O3" i="6" s="1"/>
  <c r="N20" i="6" a="1"/>
  <c r="N20" i="6" s="1"/>
  <c r="N10" i="6" a="1"/>
  <c r="N10" i="6" s="1"/>
  <c r="O10" i="6" a="1"/>
  <c r="O10" i="6" s="1"/>
  <c r="N27" i="6" a="1"/>
  <c r="N27" i="6" s="1"/>
  <c r="O34" i="6" a="1"/>
  <c r="O34" i="6" s="1"/>
  <c r="N26" i="6" a="1"/>
  <c r="N26" i="6" s="1"/>
  <c r="N11" i="6" a="1"/>
  <c r="N11" i="6" s="1"/>
  <c r="O11" i="6" a="1"/>
  <c r="O11" i="6" s="1"/>
  <c r="N28" i="6" a="1"/>
  <c r="N28" i="6" s="1"/>
  <c r="N4" i="6" a="1"/>
  <c r="N4" i="6" s="1"/>
  <c r="O4" i="6" a="1"/>
  <c r="O4" i="6" s="1"/>
  <c r="N12" i="6" a="1"/>
  <c r="N12" i="6" s="1"/>
  <c r="O12" i="6" a="1"/>
  <c r="O12" i="6" s="1"/>
  <c r="N21" i="6" a="1"/>
  <c r="N21" i="6" s="1"/>
  <c r="N29" i="6" a="1"/>
  <c r="N29" i="6" s="1"/>
  <c r="N5" i="6" a="1"/>
  <c r="N5" i="6" s="1"/>
  <c r="O5" i="6" a="1"/>
  <c r="O5" i="6" s="1"/>
  <c r="N13" i="6" a="1"/>
  <c r="N13" i="6" s="1"/>
  <c r="O13" i="6" a="1"/>
  <c r="O13" i="6" s="1"/>
  <c r="N22" i="6" a="1"/>
  <c r="N22" i="6" s="1"/>
  <c r="N30" i="6" a="1"/>
  <c r="N30" i="6" s="1"/>
  <c r="N14" i="6" a="1"/>
  <c r="N14" i="6" s="1"/>
  <c r="O14" i="6" a="1"/>
  <c r="O14" i="6" s="1"/>
  <c r="N23" i="6" a="1"/>
  <c r="N23" i="6" s="1"/>
  <c r="N31" i="6" a="1"/>
  <c r="N31" i="6" s="1"/>
  <c r="N9" i="6" a="1"/>
  <c r="N9" i="6" s="1"/>
  <c r="O9" i="6" a="1"/>
  <c r="O9" i="6" s="1"/>
  <c r="N17" i="6" a="1"/>
  <c r="N17" i="6" s="1"/>
  <c r="O17" i="6" a="1"/>
  <c r="O17" i="6" s="1"/>
  <c r="N6" i="6" a="1"/>
  <c r="N6" i="6" s="1"/>
  <c r="O6" i="6" a="1"/>
  <c r="O6" i="6" s="1"/>
  <c r="N7" i="6" a="1"/>
  <c r="N7" i="6" s="1"/>
  <c r="O7" i="6" a="1"/>
  <c r="O7" i="6" s="1"/>
  <c r="N15" i="6" a="1"/>
  <c r="N15" i="6" s="1"/>
  <c r="O15" i="6" a="1"/>
  <c r="O15" i="6" s="1"/>
  <c r="N24" i="6" a="1"/>
  <c r="N24" i="6" s="1"/>
  <c r="N32" i="6" a="1"/>
  <c r="N32" i="6" s="1"/>
  <c r="N16" i="6" a="1"/>
  <c r="N16" i="6" s="1"/>
  <c r="O16" i="6" a="1"/>
  <c r="O16" i="6" s="1"/>
  <c r="N33" i="6" a="1"/>
  <c r="N33" i="6" s="1"/>
  <c r="AA15" i="24"/>
  <c r="AB15" i="24" s="1"/>
  <c r="L18" i="35" a="1"/>
  <c r="L18" i="35" s="1"/>
  <c r="G4" i="35" a="1"/>
  <c r="G4" i="35" s="1"/>
  <c r="C9" i="35" a="1"/>
  <c r="C9" i="35" s="1"/>
  <c r="E8" i="35" a="1"/>
  <c r="E8" i="35" s="1"/>
  <c r="P18" i="35" a="1"/>
  <c r="P18" i="35" s="1"/>
  <c r="I18" i="35" a="1"/>
  <c r="I18" i="35" s="1"/>
  <c r="J6" i="35" a="1"/>
  <c r="J6" i="35" s="1"/>
  <c r="R15" i="35" a="1"/>
  <c r="R15" i="35" s="1"/>
  <c r="H5" i="35" a="1"/>
  <c r="H5" i="35" s="1"/>
  <c r="J18" i="35" a="1"/>
  <c r="J18" i="35" s="1"/>
  <c r="Q18" i="35" a="1"/>
  <c r="Q18" i="35" s="1"/>
  <c r="F225" i="24"/>
  <c r="H13" i="35" a="1"/>
  <c r="H13" i="35" s="1"/>
  <c r="L13" i="35" a="1"/>
  <c r="L13" i="35" s="1"/>
  <c r="I9" i="35" a="1"/>
  <c r="I9" i="35" s="1"/>
  <c r="J12" i="35" a="1"/>
  <c r="J12" i="35" s="1"/>
  <c r="D47" i="35" s="1"/>
  <c r="J10" i="35" a="1"/>
  <c r="J10" i="35" s="1"/>
  <c r="R3" i="35" a="1"/>
  <c r="R3" i="35" s="1"/>
  <c r="D87" i="35" s="1"/>
  <c r="C17" i="35" a="1"/>
  <c r="C17" i="35" s="1"/>
  <c r="M13" i="35" a="1"/>
  <c r="M13" i="35" s="1"/>
  <c r="P11" i="35" a="1"/>
  <c r="P11" i="35" s="1"/>
  <c r="M10" i="35" a="1"/>
  <c r="M10" i="35" s="1"/>
  <c r="L10" i="35" a="1"/>
  <c r="L10" i="35" s="1"/>
  <c r="H10" i="35" a="1"/>
  <c r="H10" i="35" s="1"/>
  <c r="K7" i="35" a="1"/>
  <c r="K7" i="35" s="1"/>
  <c r="C3" i="35" a="1"/>
  <c r="C3" i="35" s="1"/>
  <c r="O17" i="35" a="1"/>
  <c r="O17" i="35" s="1"/>
  <c r="C18" i="35" a="1"/>
  <c r="C18" i="35" s="1"/>
  <c r="Q6" i="35" a="1"/>
  <c r="Q6" i="35" s="1"/>
  <c r="I15" i="35" a="1"/>
  <c r="I15" i="35" s="1"/>
  <c r="D62" i="35" s="1"/>
  <c r="M7" i="35" a="1"/>
  <c r="M7" i="35" s="1"/>
  <c r="O4" i="35" a="1"/>
  <c r="O4" i="35" s="1"/>
  <c r="J8" i="35" a="1"/>
  <c r="J8" i="35" s="1"/>
  <c r="K11" i="35" a="1"/>
  <c r="K11" i="35" s="1"/>
  <c r="N14" i="35" a="1"/>
  <c r="N14" i="35" s="1"/>
  <c r="H11" i="35" a="1"/>
  <c r="H11" i="35" s="1"/>
  <c r="R5" i="35" a="1"/>
  <c r="R5" i="35" s="1"/>
  <c r="E5" i="35" a="1"/>
  <c r="E5" i="35" s="1"/>
  <c r="Q3" i="35" a="1"/>
  <c r="Q3" i="35" s="1"/>
  <c r="D86" i="35" s="1"/>
  <c r="R18" i="35" a="1"/>
  <c r="R18" i="35" s="1"/>
  <c r="N18" i="35" a="1"/>
  <c r="N18" i="35" s="1"/>
  <c r="P4" i="35" a="1"/>
  <c r="P4" i="35" s="1"/>
  <c r="P9" i="35" a="1"/>
  <c r="P9" i="35" s="1"/>
  <c r="F5" i="35" a="1"/>
  <c r="F5" i="35" s="1"/>
  <c r="O15" i="35" a="1"/>
  <c r="O15" i="35" s="1"/>
  <c r="O7" i="35" a="1"/>
  <c r="O7" i="35" s="1"/>
  <c r="E12" i="35" a="1"/>
  <c r="E12" i="35" s="1"/>
  <c r="D42" i="35" s="1"/>
  <c r="D4" i="35" a="1"/>
  <c r="D4" i="35" s="1"/>
  <c r="G9" i="35" a="1"/>
  <c r="G9" i="35" s="1"/>
  <c r="L12" i="35" a="1"/>
  <c r="L12" i="35" s="1"/>
  <c r="O9" i="35" a="1"/>
  <c r="O9" i="35" s="1"/>
  <c r="F18" i="35" a="1"/>
  <c r="F18" i="35" s="1"/>
  <c r="R14" i="35" a="1"/>
  <c r="R14" i="35" s="1"/>
  <c r="R4" i="35" a="1"/>
  <c r="R4" i="35" s="1"/>
  <c r="G7" i="35" a="1"/>
  <c r="G7" i="35" s="1"/>
  <c r="D15" i="35" a="1"/>
  <c r="D15" i="35" s="1"/>
  <c r="D57" i="35" s="1"/>
  <c r="E6" i="35" a="1"/>
  <c r="E6" i="35" s="1"/>
  <c r="E14" i="35" a="1"/>
  <c r="E14" i="35" s="1"/>
  <c r="J13" i="35" a="1"/>
  <c r="J13" i="35" s="1"/>
  <c r="Q15" i="35" a="1"/>
  <c r="Q15" i="35" s="1"/>
  <c r="M5" i="35" a="1"/>
  <c r="M5" i="35" s="1"/>
  <c r="K8" i="35" a="1"/>
  <c r="K8" i="35" s="1"/>
  <c r="K16" i="35" a="1"/>
  <c r="K16" i="35" s="1"/>
  <c r="L6" i="35" a="1"/>
  <c r="L6" i="35" s="1"/>
  <c r="G16" i="35" a="1"/>
  <c r="G16" i="35" s="1"/>
  <c r="L5" i="35" a="1"/>
  <c r="L5" i="35" s="1"/>
  <c r="I16" i="35" a="1"/>
  <c r="I16" i="35" s="1"/>
  <c r="Q17" i="35" a="1"/>
  <c r="Q17" i="35" s="1"/>
  <c r="F14" i="35" a="1"/>
  <c r="F14" i="35" s="1"/>
  <c r="D7" i="35" a="1"/>
  <c r="D7" i="35" s="1"/>
  <c r="M16" i="35" a="1"/>
  <c r="M16" i="35" s="1"/>
  <c r="D22" i="35" s="1"/>
  <c r="F10" i="35" a="1"/>
  <c r="F10" i="35" s="1"/>
  <c r="D18" i="35" a="1"/>
  <c r="D18" i="35" s="1"/>
  <c r="M18" i="35" a="1"/>
  <c r="M18" i="35" s="1"/>
  <c r="H18" i="35" a="1"/>
  <c r="H18" i="35" s="1"/>
  <c r="G18" i="35" a="1"/>
  <c r="G18" i="35" s="1"/>
  <c r="K12" i="35" a="1"/>
  <c r="K12" i="35" s="1"/>
  <c r="D48" i="35" s="1"/>
  <c r="O18" i="35" a="1"/>
  <c r="O18" i="35" s="1"/>
  <c r="Q14" i="35" a="1"/>
  <c r="Q14" i="35" s="1"/>
  <c r="E18" i="35" a="1"/>
  <c r="E18" i="35" s="1"/>
  <c r="K6" i="35" a="1"/>
  <c r="K6" i="35" s="1"/>
  <c r="H8" i="35" a="1"/>
  <c r="H8" i="35" s="1"/>
  <c r="F11" i="35" a="1"/>
  <c r="F11" i="35" s="1"/>
  <c r="R8" i="35" a="1"/>
  <c r="R8" i="35" s="1"/>
  <c r="C4" i="35" a="1"/>
  <c r="C4" i="35" s="1"/>
  <c r="Q4" i="35" a="1"/>
  <c r="Q4" i="35" s="1"/>
  <c r="N6" i="35" a="1"/>
  <c r="N6" i="35" s="1"/>
  <c r="P5" i="35" a="1"/>
  <c r="P5" i="35" s="1"/>
  <c r="Q9" i="35" a="1"/>
  <c r="Q9" i="35" s="1"/>
  <c r="P16" i="35" a="1"/>
  <c r="P16" i="35" s="1"/>
  <c r="N5" i="35" a="1"/>
  <c r="N5" i="35" s="1"/>
  <c r="R6" i="35" a="1"/>
  <c r="R6" i="35" s="1"/>
  <c r="C11" i="35" a="1"/>
  <c r="C11" i="35" s="1"/>
  <c r="O6" i="35" a="1"/>
  <c r="O6" i="35" s="1"/>
  <c r="Q8" i="35" a="1"/>
  <c r="Q8" i="35" s="1"/>
  <c r="P6" i="35" a="1"/>
  <c r="P6" i="35" s="1"/>
  <c r="E11" i="35" a="1"/>
  <c r="E11" i="35" s="1"/>
  <c r="G12" i="35" a="1"/>
  <c r="G12" i="35" s="1"/>
  <c r="D44" i="35" s="1"/>
  <c r="M8" i="35" a="1"/>
  <c r="M8" i="35" s="1"/>
  <c r="K10" i="35" a="1"/>
  <c r="K10" i="35" s="1"/>
  <c r="F12" i="35" a="1"/>
  <c r="F12" i="35" s="1"/>
  <c r="D43" i="35" s="1"/>
  <c r="O10" i="35" a="1"/>
  <c r="O10" i="35" s="1"/>
  <c r="N7" i="35" a="1"/>
  <c r="N7" i="35" s="1"/>
  <c r="H7" i="35" a="1"/>
  <c r="H7" i="35" s="1"/>
  <c r="R7" i="35" a="1"/>
  <c r="R7" i="35" s="1"/>
  <c r="L8" i="35" a="1"/>
  <c r="L8" i="35" s="1"/>
  <c r="O5" i="35" a="1"/>
  <c r="O5" i="35" s="1"/>
  <c r="M4" i="35" a="1"/>
  <c r="M4" i="35" s="1"/>
  <c r="H12" i="35" a="1"/>
  <c r="H12" i="35" s="1"/>
  <c r="D45" i="35" s="1"/>
  <c r="L4" i="35" a="1"/>
  <c r="L4" i="35" s="1"/>
  <c r="Q7" i="35" a="1"/>
  <c r="Q7" i="35" s="1"/>
  <c r="O8" i="35" a="1"/>
  <c r="O8" i="35" s="1"/>
  <c r="P10" i="35" a="1"/>
  <c r="P10" i="35" s="1"/>
  <c r="Q10" i="35" a="1"/>
  <c r="Q10" i="35" s="1"/>
  <c r="J11" i="35" a="1"/>
  <c r="J11" i="35" s="1"/>
  <c r="D12" i="35" a="1"/>
  <c r="D12" i="35" s="1"/>
  <c r="I7" i="35" a="1"/>
  <c r="I7" i="35" s="1"/>
  <c r="N10" i="35" a="1"/>
  <c r="N10" i="35" s="1"/>
  <c r="N9" i="35" a="1"/>
  <c r="N9" i="35" s="1"/>
  <c r="L9" i="35" a="1"/>
  <c r="L9" i="35" s="1"/>
  <c r="C12" i="35" a="1"/>
  <c r="C12" i="35" s="1"/>
  <c r="D38" i="35" s="1"/>
  <c r="M6" i="35" a="1"/>
  <c r="M6" i="35" s="1"/>
  <c r="E4" i="35" a="1"/>
  <c r="E4" i="35" s="1"/>
  <c r="I11" i="35" a="1"/>
  <c r="I11" i="35" s="1"/>
  <c r="D11" i="35" a="1"/>
  <c r="D11" i="35" s="1"/>
  <c r="R9" i="35" a="1"/>
  <c r="R9" i="35" s="1"/>
  <c r="G11" i="35" a="1"/>
  <c r="G11" i="35" s="1"/>
  <c r="L7" i="35" a="1"/>
  <c r="L7" i="35" s="1"/>
  <c r="D17" i="35" a="1"/>
  <c r="D17" i="35" s="1"/>
  <c r="P8" i="35" a="1"/>
  <c r="P8" i="35" s="1"/>
  <c r="K4" i="35" a="1"/>
  <c r="K4" i="35" s="1"/>
  <c r="I12" i="35" a="1"/>
  <c r="I12" i="35" s="1"/>
  <c r="N8" i="35" a="1"/>
  <c r="N8" i="35" s="1"/>
  <c r="Q5" i="35" a="1"/>
  <c r="Q5" i="35" s="1"/>
  <c r="R10" i="35" a="1"/>
  <c r="R10" i="35" s="1"/>
  <c r="P7" i="35" a="1"/>
  <c r="P7" i="35" s="1"/>
  <c r="F6" i="35" a="1"/>
  <c r="F6" i="35" s="1"/>
  <c r="M9" i="35" a="1"/>
  <c r="M9" i="35" s="1"/>
  <c r="K9" i="35" a="1"/>
  <c r="K9" i="35" s="1"/>
  <c r="K5" i="35" a="1"/>
  <c r="K5" i="35" s="1"/>
  <c r="N4" i="35" a="1"/>
  <c r="N4" i="35" s="1"/>
  <c r="G13" i="35" a="1"/>
  <c r="G13" i="35" s="1"/>
  <c r="F13" i="35" a="1"/>
  <c r="F13" i="35" s="1"/>
  <c r="J9" i="35" a="1"/>
  <c r="J9" i="35" s="1"/>
  <c r="E3" i="35" a="1"/>
  <c r="E3" i="35" s="1"/>
  <c r="H9" i="35" a="1"/>
  <c r="H9" i="35" s="1"/>
  <c r="C5" i="35" a="1"/>
  <c r="C5" i="35" s="1"/>
  <c r="R13" i="35" a="1"/>
  <c r="R13" i="35" s="1"/>
  <c r="I10" i="35" a="1"/>
  <c r="I10" i="35" s="1"/>
  <c r="D5" i="35" a="1"/>
  <c r="D5" i="35" s="1"/>
  <c r="O11" i="35" a="1"/>
  <c r="O11" i="35" s="1"/>
  <c r="J7" i="35" a="1"/>
  <c r="J7" i="35" s="1"/>
  <c r="G8" i="35" a="1"/>
  <c r="G8" i="35" s="1"/>
  <c r="N12" i="35" a="1"/>
  <c r="N12" i="35" s="1"/>
  <c r="D51" i="35" s="1"/>
  <c r="I8" i="35" a="1"/>
  <c r="I8" i="35" s="1"/>
  <c r="E13" i="35" a="1"/>
  <c r="E13" i="35" s="1"/>
  <c r="D13" i="35" a="1"/>
  <c r="D13" i="35" s="1"/>
  <c r="Q11" i="35" a="1"/>
  <c r="Q11" i="35" s="1"/>
  <c r="C13" i="35" a="1"/>
  <c r="C13" i="35" s="1"/>
  <c r="I13" i="35" a="1"/>
  <c r="I13" i="35" s="1"/>
  <c r="C6" i="35" a="1"/>
  <c r="C6" i="35" s="1"/>
  <c r="D6" i="35" a="1"/>
  <c r="D6" i="35" s="1"/>
  <c r="I14" i="35" a="1"/>
  <c r="I14" i="35" s="1"/>
  <c r="C14" i="35" a="1"/>
  <c r="C14" i="35" s="1"/>
  <c r="R12" i="35" a="1"/>
  <c r="R12" i="35" s="1"/>
  <c r="D14" i="35" a="1"/>
  <c r="D14" i="35" s="1"/>
  <c r="L14" i="35" a="1"/>
  <c r="L14" i="35" s="1"/>
  <c r="J3" i="35" a="1"/>
  <c r="J3" i="35" s="1"/>
  <c r="N13" i="35" a="1"/>
  <c r="N13" i="35" s="1"/>
  <c r="M14" i="35" a="1"/>
  <c r="M14" i="35" s="1"/>
  <c r="J14" i="35" a="1"/>
  <c r="J14" i="35" s="1"/>
  <c r="H14" i="35" a="1"/>
  <c r="H14" i="35" s="1"/>
  <c r="G14" i="35" a="1"/>
  <c r="G14" i="35" s="1"/>
  <c r="H4" i="35" a="1"/>
  <c r="H4" i="35" s="1"/>
  <c r="F4" i="35" a="1"/>
  <c r="F4" i="35" s="1"/>
  <c r="G10" i="35" a="1"/>
  <c r="G10" i="35" s="1"/>
  <c r="O13" i="35" a="1"/>
  <c r="O13" i="35" s="1"/>
  <c r="E7" i="35" a="1"/>
  <c r="E7" i="35" s="1"/>
  <c r="G5" i="35" a="1"/>
  <c r="G5" i="35" s="1"/>
  <c r="M15" i="35" a="1"/>
  <c r="M15" i="35" s="1"/>
  <c r="D66" i="35" s="1"/>
  <c r="P15" i="35" a="1"/>
  <c r="P15" i="35" s="1"/>
  <c r="D69" i="35" s="1"/>
  <c r="C10" i="35" a="1"/>
  <c r="C10" i="35" s="1"/>
  <c r="F15" i="35" a="1"/>
  <c r="F15" i="35" s="1"/>
  <c r="D59" i="35" s="1"/>
  <c r="E9" i="35" a="1"/>
  <c r="E9" i="35" s="1"/>
  <c r="Q13" i="35" a="1"/>
  <c r="Q13" i="35" s="1"/>
  <c r="C15" i="35" a="1"/>
  <c r="C15" i="35" s="1"/>
  <c r="D37" i="35" s="1"/>
  <c r="D8" i="35" a="1"/>
  <c r="D8" i="35" s="1"/>
  <c r="G15" i="35" a="1"/>
  <c r="G15" i="35" s="1"/>
  <c r="D60" i="35" s="1"/>
  <c r="E15" i="35" a="1"/>
  <c r="E15" i="35" s="1"/>
  <c r="K15" i="35" a="1"/>
  <c r="K15" i="35" s="1"/>
  <c r="D64" i="35" s="1"/>
  <c r="J15" i="35" a="1"/>
  <c r="J15" i="35" s="1"/>
  <c r="F9" i="35" a="1"/>
  <c r="F9" i="35" s="1"/>
  <c r="K14" i="35" a="1"/>
  <c r="K14" i="35" s="1"/>
  <c r="H15" i="35" a="1"/>
  <c r="H15" i="35" s="1"/>
  <c r="D61" i="35" s="1"/>
  <c r="N11" i="35" a="1"/>
  <c r="N11" i="35" s="1"/>
  <c r="I6" i="35" a="1"/>
  <c r="I6" i="35" s="1"/>
  <c r="H16" i="35" a="1"/>
  <c r="H16" i="35" s="1"/>
  <c r="H3" i="35" a="1"/>
  <c r="H3" i="35" s="1"/>
  <c r="D77" i="35" s="1"/>
  <c r="Q16" i="35" a="1"/>
  <c r="Q16" i="35" s="1"/>
  <c r="D90" i="35" s="1"/>
  <c r="P14" i="35" a="1"/>
  <c r="P14" i="35" s="1"/>
  <c r="R16" i="35" a="1"/>
  <c r="R16" i="35" s="1"/>
  <c r="C8" i="35" a="1"/>
  <c r="C8" i="35" s="1"/>
  <c r="G3" i="35" a="1"/>
  <c r="G3" i="35" s="1"/>
  <c r="D76" i="35" s="1"/>
  <c r="D16" i="35" a="1"/>
  <c r="D16" i="35" s="1"/>
  <c r="D27" i="35" s="1"/>
  <c r="C16" i="35" a="1"/>
  <c r="C16" i="35" s="1"/>
  <c r="H6" i="35" a="1"/>
  <c r="H6" i="35" s="1"/>
  <c r="L15" i="35" a="1"/>
  <c r="L15" i="35" s="1"/>
  <c r="D36" i="35" s="1"/>
  <c r="F16" i="35" a="1"/>
  <c r="F16" i="35" s="1"/>
  <c r="O16" i="35" a="1"/>
  <c r="O16" i="35" s="1"/>
  <c r="G6" i="35" a="1"/>
  <c r="G6" i="35" s="1"/>
  <c r="F7" i="35" a="1"/>
  <c r="F7" i="35" s="1"/>
  <c r="O12" i="35" a="1"/>
  <c r="O12" i="35" s="1"/>
  <c r="D39" i="35" s="1"/>
  <c r="P12" i="35" a="1"/>
  <c r="P12" i="35" s="1"/>
  <c r="D53" i="35" s="1"/>
  <c r="C7" i="35" a="1"/>
  <c r="C7" i="35" s="1"/>
  <c r="R11" i="35" a="1"/>
  <c r="R11" i="35" s="1"/>
  <c r="J4" i="35" a="1"/>
  <c r="J4" i="35" s="1"/>
  <c r="J5" i="35" a="1"/>
  <c r="J5" i="35" s="1"/>
  <c r="J16" i="35" a="1"/>
  <c r="J16" i="35" s="1"/>
  <c r="D10" i="35" a="1"/>
  <c r="D10" i="35" s="1"/>
  <c r="I5" i="35" a="1"/>
  <c r="I5" i="35" s="1"/>
  <c r="N16" i="35" a="1"/>
  <c r="N16" i="35" s="1"/>
  <c r="E16" i="35" a="1"/>
  <c r="E16" i="35" s="1"/>
  <c r="F17" i="35" a="1"/>
  <c r="F17" i="35" s="1"/>
  <c r="R17" i="35" a="1"/>
  <c r="R17" i="35" s="1"/>
  <c r="K13" i="35" a="1"/>
  <c r="K13" i="35" s="1"/>
  <c r="M11" i="35" a="1"/>
  <c r="M11" i="35" s="1"/>
  <c r="N15" i="35" a="1"/>
  <c r="N15" i="35" s="1"/>
  <c r="D67" i="35" s="1"/>
  <c r="I4" i="35" a="1"/>
  <c r="I4" i="35" s="1"/>
  <c r="H17" i="35" a="1"/>
  <c r="H17" i="35" s="1"/>
  <c r="J17" i="35" a="1"/>
  <c r="J17" i="35" s="1"/>
  <c r="M17" i="35" a="1"/>
  <c r="M17" i="35" s="1"/>
  <c r="I17" i="35" a="1"/>
  <c r="I17" i="35" s="1"/>
  <c r="E10" i="35" a="1"/>
  <c r="E10" i="35" s="1"/>
  <c r="L16" i="35" a="1"/>
  <c r="L16" i="35" s="1"/>
  <c r="I3" i="35" a="1"/>
  <c r="I3" i="35" s="1"/>
  <c r="O14" i="35" a="1"/>
  <c r="O14" i="35" s="1"/>
  <c r="F8" i="35" a="1"/>
  <c r="F8" i="35" s="1"/>
  <c r="E17" i="35" a="1"/>
  <c r="E17" i="35" s="1"/>
  <c r="D9" i="35" a="1"/>
  <c r="D9" i="35" s="1"/>
  <c r="L11" i="35" a="1"/>
  <c r="L11" i="35" s="1"/>
  <c r="G17" i="35" a="1"/>
  <c r="G17" i="35" s="1"/>
  <c r="K17" i="35" a="1"/>
  <c r="K17" i="35" s="1"/>
  <c r="P13" i="35" a="1"/>
  <c r="P13" i="35" s="1"/>
  <c r="P17" i="35" a="1"/>
  <c r="P17" i="35" s="1"/>
  <c r="L17" i="35" a="1"/>
  <c r="L17" i="35" s="1"/>
  <c r="N17" i="35" a="1"/>
  <c r="N17" i="35" s="1"/>
  <c r="K18" i="35" a="1"/>
  <c r="K18" i="35" s="1"/>
  <c r="I15" i="27" a="1"/>
  <c r="I15" i="27" s="1"/>
  <c r="F13" i="24"/>
  <c r="F15" i="27" a="1"/>
  <c r="F15" i="27" s="1"/>
  <c r="D34" i="27" a="1"/>
  <c r="D34" i="27" s="1"/>
  <c r="D25" i="27" a="1"/>
  <c r="D25" i="27" s="1"/>
  <c r="D35" i="27" a="1"/>
  <c r="D35" i="27" s="1"/>
  <c r="D27" i="27" a="1"/>
  <c r="D27" i="27" s="1"/>
  <c r="D37" i="27" a="1"/>
  <c r="D37" i="27" s="1"/>
  <c r="D24" i="27" a="1"/>
  <c r="D24" i="27" s="1"/>
  <c r="D36" i="27" a="1"/>
  <c r="D36" i="27" s="1"/>
  <c r="D30" i="27" a="1"/>
  <c r="D30" i="27" s="1"/>
  <c r="D31" i="27" a="1"/>
  <c r="D31" i="27" s="1"/>
  <c r="D29" i="27" a="1"/>
  <c r="D29" i="27" s="1"/>
  <c r="D23" i="27" a="1"/>
  <c r="D23" i="27" s="1"/>
  <c r="D32" i="27" a="1"/>
  <c r="D32" i="27" s="1"/>
  <c r="D28" i="27" a="1"/>
  <c r="D28" i="27" s="1"/>
  <c r="D33" i="27" a="1"/>
  <c r="D33" i="27" s="1"/>
  <c r="D38" i="27" a="1"/>
  <c r="D38" i="27" s="1"/>
  <c r="D26" i="27" a="1"/>
  <c r="D26" i="27" s="1"/>
  <c r="F222" i="24"/>
  <c r="V225" i="24" s="1"/>
  <c r="F9" i="24"/>
  <c r="V9" i="24" s="1"/>
  <c r="V10" i="24" s="1"/>
  <c r="I14" i="27" a="1"/>
  <c r="I14" i="27" s="1"/>
  <c r="I10" i="6" a="1"/>
  <c r="I10" i="6" s="1"/>
  <c r="L10" i="6" a="1"/>
  <c r="L10" i="6" s="1"/>
  <c r="M10" i="6" a="1"/>
  <c r="M10" i="6" s="1"/>
  <c r="K10" i="6" a="1"/>
  <c r="K10" i="6" s="1"/>
  <c r="J10" i="6" a="1"/>
  <c r="J10" i="6" s="1"/>
  <c r="I3" i="6" a="1"/>
  <c r="I3" i="6" s="1"/>
  <c r="M3" i="6" a="1"/>
  <c r="M3" i="6" s="1"/>
  <c r="L3" i="6" a="1"/>
  <c r="L3" i="6" s="1"/>
  <c r="K3" i="6" a="1"/>
  <c r="K3" i="6" s="1"/>
  <c r="J3" i="6" a="1"/>
  <c r="J3" i="6" s="1"/>
  <c r="I11" i="6" a="1"/>
  <c r="I11" i="6" s="1"/>
  <c r="K11" i="6" a="1"/>
  <c r="K11" i="6" s="1"/>
  <c r="J11" i="6" a="1"/>
  <c r="J11" i="6" s="1"/>
  <c r="L11" i="6" a="1"/>
  <c r="L11" i="6" s="1"/>
  <c r="M11" i="6" a="1"/>
  <c r="M11" i="6" s="1"/>
  <c r="J20" i="6" a="1"/>
  <c r="J20" i="6" s="1"/>
  <c r="K20" i="6" a="1"/>
  <c r="K20" i="6" s="1"/>
  <c r="L20" i="6" a="1"/>
  <c r="L20" i="6" s="1"/>
  <c r="M20" i="6" a="1"/>
  <c r="M20" i="6" s="1"/>
  <c r="J28" i="6" a="1"/>
  <c r="J28" i="6" s="1"/>
  <c r="K28" i="6" a="1"/>
  <c r="K28" i="6" s="1"/>
  <c r="L28" i="6" a="1"/>
  <c r="L28" i="6" s="1"/>
  <c r="M28" i="6" a="1"/>
  <c r="M28" i="6" s="1"/>
  <c r="I4" i="6" a="1"/>
  <c r="I4" i="6" s="1"/>
  <c r="J4" i="6" a="1"/>
  <c r="J4" i="6" s="1"/>
  <c r="M4" i="6" a="1"/>
  <c r="M4" i="6" s="1"/>
  <c r="K4" i="6" a="1"/>
  <c r="K4" i="6" s="1"/>
  <c r="L4" i="6" a="1"/>
  <c r="L4" i="6" s="1"/>
  <c r="I12" i="6" a="1"/>
  <c r="I12" i="6" s="1"/>
  <c r="M12" i="6" a="1"/>
  <c r="M12" i="6" s="1"/>
  <c r="L12" i="6" a="1"/>
  <c r="L12" i="6" s="1"/>
  <c r="K12" i="6" a="1"/>
  <c r="K12" i="6" s="1"/>
  <c r="J12" i="6" a="1"/>
  <c r="J12" i="6" s="1"/>
  <c r="J21" i="6" a="1"/>
  <c r="J21" i="6" s="1"/>
  <c r="K21" i="6" a="1"/>
  <c r="K21" i="6" s="1"/>
  <c r="L21" i="6" a="1"/>
  <c r="L21" i="6" s="1"/>
  <c r="M21" i="6" a="1"/>
  <c r="M21" i="6" s="1"/>
  <c r="J29" i="6" a="1"/>
  <c r="J29" i="6" s="1"/>
  <c r="K29" i="6" a="1"/>
  <c r="K29" i="6" s="1"/>
  <c r="L29" i="6" a="1"/>
  <c r="L29" i="6" s="1"/>
  <c r="M29" i="6" a="1"/>
  <c r="M29" i="6" s="1"/>
  <c r="I5" i="6" a="1"/>
  <c r="I5" i="6" s="1"/>
  <c r="K5" i="6" a="1"/>
  <c r="K5" i="6" s="1"/>
  <c r="J5" i="6" a="1"/>
  <c r="J5" i="6" s="1"/>
  <c r="L5" i="6" a="1"/>
  <c r="L5" i="6" s="1"/>
  <c r="M5" i="6" a="1"/>
  <c r="M5" i="6" s="1"/>
  <c r="I13" i="6" a="1"/>
  <c r="I13" i="6" s="1"/>
  <c r="M13" i="6" a="1"/>
  <c r="M13" i="6" s="1"/>
  <c r="L13" i="6" a="1"/>
  <c r="L13" i="6" s="1"/>
  <c r="K13" i="6" a="1"/>
  <c r="K13" i="6" s="1"/>
  <c r="J13" i="6" a="1"/>
  <c r="J13" i="6" s="1"/>
  <c r="J22" i="6" a="1"/>
  <c r="J22" i="6" s="1"/>
  <c r="K22" i="6" a="1"/>
  <c r="K22" i="6" s="1"/>
  <c r="L22" i="6" a="1"/>
  <c r="L22" i="6" s="1"/>
  <c r="M22" i="6" a="1"/>
  <c r="M22" i="6" s="1"/>
  <c r="J30" i="6" a="1"/>
  <c r="J30" i="6" s="1"/>
  <c r="K30" i="6" a="1"/>
  <c r="K30" i="6" s="1"/>
  <c r="L30" i="6" a="1"/>
  <c r="L30" i="6" s="1"/>
  <c r="M30" i="6" a="1"/>
  <c r="M30" i="6" s="1"/>
  <c r="I2" i="6" a="1"/>
  <c r="I2" i="6" s="1"/>
  <c r="J2" i="6" a="1"/>
  <c r="J2" i="6" s="1"/>
  <c r="M2" i="6" a="1"/>
  <c r="M2" i="6" s="1"/>
  <c r="L2" i="6" a="1"/>
  <c r="L2" i="6" s="1"/>
  <c r="K2" i="6" a="1"/>
  <c r="K2" i="6" s="1"/>
  <c r="J19" i="6" a="1"/>
  <c r="J19" i="6" s="1"/>
  <c r="K19" i="6" a="1"/>
  <c r="K19" i="6" s="1"/>
  <c r="L19" i="6" a="1"/>
  <c r="L19" i="6" s="1"/>
  <c r="M19" i="6" a="1"/>
  <c r="M19" i="6" s="1"/>
  <c r="J27" i="6" a="1"/>
  <c r="J27" i="6" s="1"/>
  <c r="K27" i="6" a="1"/>
  <c r="K27" i="6" s="1"/>
  <c r="L27" i="6" a="1"/>
  <c r="L27" i="6" s="1"/>
  <c r="M27" i="6" a="1"/>
  <c r="M27" i="6" s="1"/>
  <c r="J23" i="6" a="1"/>
  <c r="J23" i="6" s="1"/>
  <c r="K23" i="6" a="1"/>
  <c r="K23" i="6" s="1"/>
  <c r="L23" i="6" a="1"/>
  <c r="L23" i="6" s="1"/>
  <c r="M23" i="6" a="1"/>
  <c r="M23" i="6" s="1"/>
  <c r="I6" i="6" a="1"/>
  <c r="I6" i="6" s="1"/>
  <c r="M6" i="6" a="1"/>
  <c r="M6" i="6" s="1"/>
  <c r="L6" i="6" a="1"/>
  <c r="L6" i="6" s="1"/>
  <c r="K6" i="6" a="1"/>
  <c r="K6" i="6" s="1"/>
  <c r="J6" i="6" a="1"/>
  <c r="J6" i="6" s="1"/>
  <c r="I14" i="6" a="1"/>
  <c r="I14" i="6" s="1"/>
  <c r="K14" i="6" a="1"/>
  <c r="K14" i="6" s="1"/>
  <c r="M14" i="6" a="1"/>
  <c r="M14" i="6" s="1"/>
  <c r="J14" i="6" a="1"/>
  <c r="J14" i="6" s="1"/>
  <c r="L14" i="6" a="1"/>
  <c r="L14" i="6" s="1"/>
  <c r="J31" i="6" a="1"/>
  <c r="J31" i="6" s="1"/>
  <c r="K31" i="6" a="1"/>
  <c r="K31" i="6" s="1"/>
  <c r="L31" i="6" a="1"/>
  <c r="L31" i="6" s="1"/>
  <c r="M31" i="6" a="1"/>
  <c r="M31" i="6" s="1"/>
  <c r="I7" i="6" a="1"/>
  <c r="I7" i="6" s="1"/>
  <c r="M7" i="6" a="1"/>
  <c r="M7" i="6" s="1"/>
  <c r="L7" i="6" a="1"/>
  <c r="L7" i="6" s="1"/>
  <c r="J7" i="6" a="1"/>
  <c r="J7" i="6" s="1"/>
  <c r="K7" i="6" a="1"/>
  <c r="K7" i="6" s="1"/>
  <c r="I15" i="6" a="1"/>
  <c r="I15" i="6" s="1"/>
  <c r="M15" i="6" a="1"/>
  <c r="M15" i="6" s="1"/>
  <c r="J15" i="6" a="1"/>
  <c r="J15" i="6" s="1"/>
  <c r="L15" i="6" a="1"/>
  <c r="L15" i="6" s="1"/>
  <c r="K15" i="6" a="1"/>
  <c r="K15" i="6" s="1"/>
  <c r="J24" i="6" a="1"/>
  <c r="J24" i="6" s="1"/>
  <c r="K24" i="6" a="1"/>
  <c r="K24" i="6" s="1"/>
  <c r="L24" i="6" a="1"/>
  <c r="L24" i="6" s="1"/>
  <c r="M24" i="6" a="1"/>
  <c r="M24" i="6" s="1"/>
  <c r="K32" i="6" a="1"/>
  <c r="K32" i="6" s="1"/>
  <c r="L32" i="6" a="1"/>
  <c r="L32" i="6" s="1"/>
  <c r="J32" i="6" a="1"/>
  <c r="J32" i="6" s="1"/>
  <c r="M32" i="6" a="1"/>
  <c r="M32" i="6" s="1"/>
  <c r="I8" i="6" a="1"/>
  <c r="I8" i="6" s="1"/>
  <c r="M8" i="6" a="1"/>
  <c r="M8" i="6" s="1"/>
  <c r="L8" i="6" a="1"/>
  <c r="L8" i="6" s="1"/>
  <c r="K8" i="6" a="1"/>
  <c r="K8" i="6" s="1"/>
  <c r="J8" i="6" a="1"/>
  <c r="J8" i="6" s="1"/>
  <c r="I16" i="6" a="1"/>
  <c r="I16" i="6" s="1"/>
  <c r="J16" i="6" a="1"/>
  <c r="J16" i="6" s="1"/>
  <c r="L16" i="6" a="1"/>
  <c r="L16" i="6" s="1"/>
  <c r="M16" i="6" a="1"/>
  <c r="M16" i="6" s="1"/>
  <c r="K16" i="6" a="1"/>
  <c r="K16" i="6" s="1"/>
  <c r="J25" i="6" a="1"/>
  <c r="J25" i="6" s="1"/>
  <c r="K25" i="6" a="1"/>
  <c r="K25" i="6" s="1"/>
  <c r="L25" i="6" a="1"/>
  <c r="L25" i="6" s="1"/>
  <c r="M25" i="6" a="1"/>
  <c r="M25" i="6" s="1"/>
  <c r="L33" i="6" a="1"/>
  <c r="L33" i="6" s="1"/>
  <c r="M33" i="6" a="1"/>
  <c r="M33" i="6" s="1"/>
  <c r="J33" i="6" a="1"/>
  <c r="J33" i="6" s="1"/>
  <c r="K33" i="6" a="1"/>
  <c r="K33" i="6" s="1"/>
  <c r="I9" i="6" a="1"/>
  <c r="I9" i="6" s="1"/>
  <c r="J9" i="6" a="1"/>
  <c r="J9" i="6" s="1"/>
  <c r="M9" i="6" a="1"/>
  <c r="M9" i="6" s="1"/>
  <c r="L9" i="6" a="1"/>
  <c r="L9" i="6" s="1"/>
  <c r="K9" i="6" a="1"/>
  <c r="K9" i="6" s="1"/>
  <c r="I17" i="6" a="1"/>
  <c r="I17" i="6" s="1"/>
  <c r="L17" i="6" a="1"/>
  <c r="L17" i="6" s="1"/>
  <c r="J17" i="6" a="1"/>
  <c r="J17" i="6" s="1"/>
  <c r="K17" i="6" a="1"/>
  <c r="K17" i="6" s="1"/>
  <c r="M17" i="6" a="1"/>
  <c r="M17" i="6" s="1"/>
  <c r="J26" i="6" a="1"/>
  <c r="J26" i="6" s="1"/>
  <c r="K26" i="6" a="1"/>
  <c r="K26" i="6" s="1"/>
  <c r="L26" i="6" a="1"/>
  <c r="L26" i="6" s="1"/>
  <c r="M26" i="6" a="1"/>
  <c r="M26" i="6" s="1"/>
  <c r="M34" i="6" a="1"/>
  <c r="M34" i="6" s="1"/>
  <c r="J34" i="6" a="1"/>
  <c r="J34" i="6" s="1"/>
  <c r="L34" i="6" a="1"/>
  <c r="L34" i="6" s="1"/>
  <c r="K34" i="6" a="1"/>
  <c r="K34" i="6" s="1"/>
  <c r="F208" i="24"/>
  <c r="F14" i="27" a="1"/>
  <c r="F14" i="27" s="1"/>
  <c r="I10" i="27" a="1"/>
  <c r="I10" i="27" s="1"/>
  <c r="I9" i="27" a="1"/>
  <c r="I9" i="27" s="1"/>
  <c r="I12" i="27" a="1"/>
  <c r="I12" i="27" s="1"/>
  <c r="I11" i="27" a="1"/>
  <c r="I11" i="27" s="1"/>
  <c r="I13" i="27" a="1"/>
  <c r="I13" i="27" s="1"/>
  <c r="F163" i="24"/>
  <c r="V163" i="24" s="1"/>
  <c r="F11" i="27" a="1"/>
  <c r="F11" i="27" s="1"/>
  <c r="F164" i="24"/>
  <c r="F12" i="27" a="1"/>
  <c r="F12" i="27" s="1"/>
  <c r="F165" i="24"/>
  <c r="F13" i="27" a="1"/>
  <c r="F13" i="27" s="1"/>
  <c r="X11" i="24"/>
  <c r="Y11" i="24" s="1"/>
  <c r="W8" i="24"/>
  <c r="H24" i="6" a="1"/>
  <c r="H24" i="6" s="1"/>
  <c r="I24" i="6" a="1"/>
  <c r="I24" i="6" s="1"/>
  <c r="H32" i="6" a="1"/>
  <c r="H32" i="6" s="1"/>
  <c r="I32" i="6" a="1"/>
  <c r="I32" i="6" s="1"/>
  <c r="H25" i="6" a="1"/>
  <c r="H25" i="6" s="1"/>
  <c r="I25" i="6" a="1"/>
  <c r="I25" i="6" s="1"/>
  <c r="H33" i="6" a="1"/>
  <c r="H33" i="6" s="1"/>
  <c r="I33" i="6" a="1"/>
  <c r="I33" i="6" s="1"/>
  <c r="H26" i="6" a="1"/>
  <c r="H26" i="6" s="1"/>
  <c r="I26" i="6" a="1"/>
  <c r="I26" i="6" s="1"/>
  <c r="H34" i="6" a="1"/>
  <c r="H34" i="6" s="1"/>
  <c r="I34" i="6" a="1"/>
  <c r="I34" i="6" s="1"/>
  <c r="H19" i="6" a="1"/>
  <c r="H19" i="6" s="1"/>
  <c r="I19" i="6" a="1"/>
  <c r="I19" i="6" s="1"/>
  <c r="H27" i="6" a="1"/>
  <c r="H27" i="6" s="1"/>
  <c r="I27" i="6" a="1"/>
  <c r="I27" i="6" s="1"/>
  <c r="H20" i="6" a="1"/>
  <c r="H20" i="6" s="1"/>
  <c r="I20" i="6" a="1"/>
  <c r="I20" i="6" s="1"/>
  <c r="H28" i="6" a="1"/>
  <c r="H28" i="6" s="1"/>
  <c r="I28" i="6" a="1"/>
  <c r="I28" i="6" s="1"/>
  <c r="H21" i="6" a="1"/>
  <c r="H21" i="6" s="1"/>
  <c r="I21" i="6" a="1"/>
  <c r="I21" i="6" s="1"/>
  <c r="H29" i="6" a="1"/>
  <c r="H29" i="6" s="1"/>
  <c r="I29" i="6" a="1"/>
  <c r="I29" i="6" s="1"/>
  <c r="H22" i="6" a="1"/>
  <c r="H22" i="6" s="1"/>
  <c r="I22" i="6" a="1"/>
  <c r="I22" i="6" s="1"/>
  <c r="H30" i="6" a="1"/>
  <c r="H30" i="6" s="1"/>
  <c r="I30" i="6" a="1"/>
  <c r="I30" i="6" s="1"/>
  <c r="H23" i="6" a="1"/>
  <c r="H23" i="6" s="1"/>
  <c r="I23" i="6" a="1"/>
  <c r="I23" i="6" s="1"/>
  <c r="H31" i="6" a="1"/>
  <c r="H31" i="6" s="1"/>
  <c r="I31" i="6" a="1"/>
  <c r="I31" i="6" s="1"/>
  <c r="AX20" i="6" a="1"/>
  <c r="AX20" i="6" s="1"/>
  <c r="AV21" i="6" s="1"/>
  <c r="O13" i="19" a="1"/>
  <c r="O13" i="19" s="1"/>
  <c r="D8" i="19" a="1"/>
  <c r="D8" i="19" s="1"/>
  <c r="D7" i="19" a="1"/>
  <c r="D7" i="19" s="1"/>
  <c r="L4" i="19" a="1"/>
  <c r="L4" i="19" s="1"/>
  <c r="D401" i="19" s="1"/>
  <c r="O10" i="19" a="1"/>
  <c r="O10" i="19" s="1"/>
  <c r="G8" i="19" a="1"/>
  <c r="G8" i="19" s="1"/>
  <c r="H14" i="19" a="1"/>
  <c r="H14" i="19" s="1"/>
  <c r="G3" i="6" a="1"/>
  <c r="G3" i="6" s="1"/>
  <c r="H3" i="6" a="1"/>
  <c r="H3" i="6" s="1"/>
  <c r="G11" i="6" a="1"/>
  <c r="G11" i="6" s="1"/>
  <c r="H11" i="6" a="1"/>
  <c r="H11" i="6" s="1"/>
  <c r="G4" i="6" a="1"/>
  <c r="G4" i="6" s="1"/>
  <c r="H4" i="6" a="1"/>
  <c r="H4" i="6" s="1"/>
  <c r="G12" i="6" a="1"/>
  <c r="G12" i="6" s="1"/>
  <c r="H12" i="6" a="1"/>
  <c r="H12" i="6" s="1"/>
  <c r="G5" i="6" a="1"/>
  <c r="G5" i="6" s="1"/>
  <c r="H5" i="6" a="1"/>
  <c r="H5" i="6" s="1"/>
  <c r="G13" i="6" a="1"/>
  <c r="G13" i="6" s="1"/>
  <c r="H13" i="6" a="1"/>
  <c r="H13" i="6" s="1"/>
  <c r="G2" i="6" a="1"/>
  <c r="G2" i="6" s="1"/>
  <c r="H2" i="6" a="1"/>
  <c r="H2" i="6" s="1"/>
  <c r="G10" i="6" a="1"/>
  <c r="G10" i="6" s="1"/>
  <c r="H10" i="6" a="1"/>
  <c r="H10" i="6" s="1"/>
  <c r="G6" i="6" a="1"/>
  <c r="G6" i="6" s="1"/>
  <c r="H6" i="6" a="1"/>
  <c r="H6" i="6" s="1"/>
  <c r="G14" i="6" a="1"/>
  <c r="G14" i="6" s="1"/>
  <c r="H14" i="6" a="1"/>
  <c r="H14" i="6" s="1"/>
  <c r="G7" i="6" a="1"/>
  <c r="G7" i="6" s="1"/>
  <c r="H7" i="6" a="1"/>
  <c r="H7" i="6" s="1"/>
  <c r="G15" i="6" a="1"/>
  <c r="G15" i="6" s="1"/>
  <c r="H15" i="6" a="1"/>
  <c r="H15" i="6" s="1"/>
  <c r="G9" i="6" a="1"/>
  <c r="G9" i="6" s="1"/>
  <c r="H9" i="6" a="1"/>
  <c r="H9" i="6" s="1"/>
  <c r="G17" i="6" a="1"/>
  <c r="G17" i="6" s="1"/>
  <c r="H17" i="6" a="1"/>
  <c r="H17" i="6" s="1"/>
  <c r="G8" i="6" a="1"/>
  <c r="G8" i="6" s="1"/>
  <c r="H8" i="6" a="1"/>
  <c r="H8" i="6" s="1"/>
  <c r="G16" i="6" a="1"/>
  <c r="G16" i="6" s="1"/>
  <c r="H16" i="6" a="1"/>
  <c r="H16" i="6" s="1"/>
  <c r="Q4" i="19" a="1"/>
  <c r="Q4" i="19" s="1"/>
  <c r="K8" i="19" a="1"/>
  <c r="K8" i="19" s="1"/>
  <c r="J18" i="19" a="1"/>
  <c r="J18" i="19" s="1"/>
  <c r="F26" i="6" a="1"/>
  <c r="F26" i="6" s="1"/>
  <c r="G26" i="6" a="1"/>
  <c r="G26" i="6" s="1"/>
  <c r="F34" i="6" a="1"/>
  <c r="F34" i="6" s="1"/>
  <c r="G34" i="6" a="1"/>
  <c r="G34" i="6" s="1"/>
  <c r="F19" i="6" a="1"/>
  <c r="F19" i="6" s="1"/>
  <c r="G19" i="6" a="1"/>
  <c r="G19" i="6" s="1"/>
  <c r="F27" i="6" a="1"/>
  <c r="F27" i="6" s="1"/>
  <c r="G27" i="6" a="1"/>
  <c r="G27" i="6" s="1"/>
  <c r="F20" i="6" a="1"/>
  <c r="F20" i="6" s="1"/>
  <c r="G20" i="6" a="1"/>
  <c r="G20" i="6" s="1"/>
  <c r="F28" i="6" a="1"/>
  <c r="F28" i="6" s="1"/>
  <c r="G28" i="6" a="1"/>
  <c r="G28" i="6" s="1"/>
  <c r="F21" i="6" a="1"/>
  <c r="F21" i="6" s="1"/>
  <c r="G21" i="6" a="1"/>
  <c r="G21" i="6" s="1"/>
  <c r="F29" i="6" a="1"/>
  <c r="F29" i="6" s="1"/>
  <c r="G29" i="6" a="1"/>
  <c r="G29" i="6" s="1"/>
  <c r="F23" i="6" a="1"/>
  <c r="F23" i="6" s="1"/>
  <c r="G23" i="6" a="1"/>
  <c r="G23" i="6" s="1"/>
  <c r="F31" i="6" a="1"/>
  <c r="F31" i="6" s="1"/>
  <c r="G31" i="6" a="1"/>
  <c r="G31" i="6" s="1"/>
  <c r="F22" i="6" a="1"/>
  <c r="F22" i="6" s="1"/>
  <c r="G22" i="6" a="1"/>
  <c r="G22" i="6" s="1"/>
  <c r="F30" i="6" a="1"/>
  <c r="F30" i="6" s="1"/>
  <c r="G30" i="6" a="1"/>
  <c r="G30" i="6" s="1"/>
  <c r="F24" i="6" a="1"/>
  <c r="F24" i="6" s="1"/>
  <c r="G24" i="6" a="1"/>
  <c r="G24" i="6" s="1"/>
  <c r="F32" i="6" a="1"/>
  <c r="F32" i="6" s="1"/>
  <c r="G32" i="6" a="1"/>
  <c r="G32" i="6" s="1"/>
  <c r="F25" i="6" a="1"/>
  <c r="F25" i="6" s="1"/>
  <c r="G25" i="6" a="1"/>
  <c r="G25" i="6" s="1"/>
  <c r="F33" i="6" a="1"/>
  <c r="F33" i="6" s="1"/>
  <c r="G33" i="6" a="1"/>
  <c r="G33" i="6" s="1"/>
  <c r="K7" i="19" a="1"/>
  <c r="K7" i="19" s="1"/>
  <c r="L12" i="19" a="1"/>
  <c r="L12" i="19" s="1"/>
  <c r="G13" i="19" a="1"/>
  <c r="G13" i="19" s="1"/>
  <c r="O14" i="19" a="1"/>
  <c r="O14" i="19" s="1"/>
  <c r="M11" i="19" a="1"/>
  <c r="M11" i="19" s="1"/>
  <c r="L14" i="19" a="1"/>
  <c r="L14" i="19" s="1"/>
  <c r="L10" i="19" s="1" a="1"/>
  <c r="L10" i="19" s="1"/>
  <c r="O8" i="19" a="1"/>
  <c r="O8" i="19" s="1"/>
  <c r="N8" i="19" a="1"/>
  <c r="N8" i="19" s="1"/>
  <c r="I4" i="19" a="1"/>
  <c r="I4" i="19" s="1"/>
  <c r="D398" i="19" s="1"/>
  <c r="G14" i="19" a="1"/>
  <c r="G14" i="19" s="1"/>
  <c r="G7" i="19" a="1"/>
  <c r="G7" i="19" s="1"/>
  <c r="I8" i="19" a="1"/>
  <c r="I8" i="19" s="1"/>
  <c r="P11" i="19" a="1"/>
  <c r="P11" i="19" s="1"/>
  <c r="D10" i="19" a="1"/>
  <c r="D10" i="19" s="1"/>
  <c r="I10" i="19" a="1"/>
  <c r="I10" i="19" s="1"/>
  <c r="J7" i="19" a="1"/>
  <c r="J7" i="19" s="1"/>
  <c r="N7" i="19" a="1"/>
  <c r="N7" i="19" s="1"/>
  <c r="E7" i="19" a="1"/>
  <c r="E7" i="19" s="1"/>
  <c r="N13" i="19" a="1"/>
  <c r="N13" i="19" s="1"/>
  <c r="C13" i="19" a="1"/>
  <c r="C13" i="19" s="1"/>
  <c r="M7" i="19" a="1"/>
  <c r="M7" i="19" s="1"/>
  <c r="J9" i="19" a="1"/>
  <c r="J9" i="19" s="1"/>
  <c r="F14" i="19" a="1"/>
  <c r="F14" i="19" s="1"/>
  <c r="C7" i="19" a="1"/>
  <c r="C7" i="19" s="1"/>
  <c r="I11" i="19" a="1"/>
  <c r="I11" i="19" s="1"/>
  <c r="D14" i="19" a="1"/>
  <c r="D14" i="19" s="1"/>
  <c r="C12" i="19" a="1"/>
  <c r="C12" i="19" s="1"/>
  <c r="Q14" i="19" a="1"/>
  <c r="Q14" i="19" s="1"/>
  <c r="D18" i="19" a="1"/>
  <c r="D18" i="19" s="1"/>
  <c r="L13" i="19" a="1"/>
  <c r="L13" i="19" s="1"/>
  <c r="L7" i="19" a="1"/>
  <c r="L7" i="19" s="1"/>
  <c r="J3" i="19" s="1" a="1"/>
  <c r="J3" i="19" s="1"/>
  <c r="R13" i="19" a="1"/>
  <c r="R13" i="19" s="1"/>
  <c r="K14" i="19" a="1"/>
  <c r="K14" i="19" s="1"/>
  <c r="R14" i="19" a="1"/>
  <c r="R14" i="19" s="1"/>
  <c r="K10" i="19" a="1"/>
  <c r="K10" i="19" s="1"/>
  <c r="F11" i="19" a="1"/>
  <c r="F11" i="19" s="1"/>
  <c r="M13" i="19" a="1"/>
  <c r="M13" i="19" s="1"/>
  <c r="D418" i="19" s="1"/>
  <c r="O7" i="19" a="1"/>
  <c r="O7" i="19" s="1"/>
  <c r="E18" i="19" a="1"/>
  <c r="E18" i="19" s="1"/>
  <c r="C4" i="19" a="1"/>
  <c r="C4" i="19" s="1"/>
  <c r="D312" i="19" s="1"/>
  <c r="G15" i="19" a="1"/>
  <c r="G15" i="19" s="1"/>
  <c r="P16" i="19" a="1"/>
  <c r="P16" i="19" s="1"/>
  <c r="J16" i="19" a="1"/>
  <c r="J16" i="19" s="1"/>
  <c r="C15" i="19" a="1"/>
  <c r="C15" i="19" s="1"/>
  <c r="K15" i="19" a="1"/>
  <c r="K15" i="19" s="1"/>
  <c r="M16" i="19" a="1"/>
  <c r="M16" i="19" s="1"/>
  <c r="F18" i="19" a="1"/>
  <c r="F18" i="19" s="1"/>
  <c r="Q18" i="19" a="1"/>
  <c r="Q18" i="19" s="1"/>
  <c r="H12" i="19" a="1"/>
  <c r="H12" i="19" s="1"/>
  <c r="J11" i="19" a="1"/>
  <c r="J11" i="19" s="1"/>
  <c r="C14" i="19" a="1"/>
  <c r="C14" i="19" s="1"/>
  <c r="E12" i="19" a="1"/>
  <c r="E12" i="19" s="1"/>
  <c r="D362" i="19" s="1"/>
  <c r="H16" i="19" a="1"/>
  <c r="H16" i="19" s="1"/>
  <c r="E16" i="19" a="1"/>
  <c r="E16" i="19" s="1"/>
  <c r="I14" i="19" a="1"/>
  <c r="I14" i="19" s="1"/>
  <c r="O15" i="19" a="1"/>
  <c r="O15" i="19" s="1"/>
  <c r="D308" i="19" s="1"/>
  <c r="C16" i="19" a="1"/>
  <c r="C16" i="19" s="1"/>
  <c r="P17" i="19" a="1"/>
  <c r="P17" i="19" s="1"/>
  <c r="F17" i="19" a="1"/>
  <c r="F17" i="19" s="1"/>
  <c r="N11" i="19" a="1"/>
  <c r="N11" i="19" s="1"/>
  <c r="E15" i="19" a="1"/>
  <c r="E15" i="19" s="1"/>
  <c r="K13" i="19" a="1"/>
  <c r="K13" i="19" s="1"/>
  <c r="C17" i="19" a="1"/>
  <c r="C17" i="19" s="1"/>
  <c r="D120" i="19" s="1"/>
  <c r="M17" i="19" a="1"/>
  <c r="M17" i="19" s="1"/>
  <c r="G18" i="19" a="1"/>
  <c r="G18" i="19" s="1"/>
  <c r="H17" i="19" a="1"/>
  <c r="H17" i="19" s="1"/>
  <c r="O11" i="19" a="1"/>
  <c r="O11" i="19" s="1"/>
  <c r="N18" i="19" a="1"/>
  <c r="N18" i="19" s="1"/>
  <c r="P13" i="19" a="1"/>
  <c r="P13" i="19" s="1"/>
  <c r="R18" i="19" a="1"/>
  <c r="R18" i="19" s="1"/>
  <c r="J17" i="19" a="1"/>
  <c r="J17" i="19" s="1"/>
  <c r="I13" i="19" a="1"/>
  <c r="I13" i="19" s="1"/>
  <c r="O18" i="19" a="1"/>
  <c r="O18" i="19" s="1"/>
  <c r="I15" i="19" a="1"/>
  <c r="I15" i="19" s="1"/>
  <c r="D302" i="19" s="1"/>
  <c r="F16" i="19" a="1"/>
  <c r="F16" i="19" s="1"/>
  <c r="N17" i="19" a="1"/>
  <c r="N17" i="19" s="1"/>
  <c r="I12" i="19" a="1"/>
  <c r="I12" i="19" s="1"/>
  <c r="P15" i="19" a="1"/>
  <c r="P15" i="19" s="1"/>
  <c r="E17" i="19" a="1"/>
  <c r="E17" i="19" s="1"/>
  <c r="D122" i="19" s="1"/>
  <c r="R12" i="19" a="1"/>
  <c r="R12" i="19" s="1"/>
  <c r="D11" i="19" a="1"/>
  <c r="D11" i="19" s="1"/>
  <c r="L18" i="19" a="1"/>
  <c r="L18" i="19" s="1"/>
  <c r="N14" i="19" s="1" a="1"/>
  <c r="N14" i="19" s="1"/>
  <c r="G16" i="19" a="1"/>
  <c r="G16" i="19" s="1"/>
  <c r="K18" i="19" a="1"/>
  <c r="K18" i="19" s="1"/>
  <c r="N16" i="19" a="1"/>
  <c r="N16" i="19" s="1"/>
  <c r="P12" i="19" a="1"/>
  <c r="P12" i="19" s="1"/>
  <c r="M18" i="19" a="1"/>
  <c r="M18" i="19" s="1"/>
  <c r="Q16" i="19" a="1"/>
  <c r="Q16" i="19" s="1"/>
  <c r="D12" i="19" a="1"/>
  <c r="D12" i="19" s="1"/>
  <c r="J12" i="19" a="1"/>
  <c r="J12" i="19" s="1"/>
  <c r="D367" i="19" s="1"/>
  <c r="Q13" i="19" a="1"/>
  <c r="Q13" i="19" s="1"/>
  <c r="K16" i="19" a="1"/>
  <c r="K16" i="19" s="1"/>
  <c r="M14" i="19" a="1"/>
  <c r="M14" i="19" s="1"/>
  <c r="I18" i="19" a="1"/>
  <c r="I18" i="19" s="1"/>
  <c r="L16" i="19" a="1"/>
  <c r="L16" i="19" s="1"/>
  <c r="D17" i="19" a="1"/>
  <c r="D17" i="19" s="1"/>
  <c r="F15" i="19" a="1"/>
  <c r="F15" i="19" s="1"/>
  <c r="P14" i="19" a="1"/>
  <c r="P14" i="19" s="1"/>
  <c r="Q17" i="19" a="1"/>
  <c r="Q17" i="19" s="1"/>
  <c r="M15" i="19" a="1"/>
  <c r="M15" i="19" s="1"/>
  <c r="N15" i="19" a="1"/>
  <c r="N15" i="19" s="1"/>
  <c r="D16" i="19" a="1"/>
  <c r="D16" i="19" s="1"/>
  <c r="R16" i="19" a="1"/>
  <c r="R16" i="19" s="1"/>
  <c r="H15" i="19" a="1"/>
  <c r="H15" i="19" s="1"/>
  <c r="R17" i="19" a="1"/>
  <c r="R17" i="19" s="1"/>
  <c r="D103" i="19" s="1"/>
  <c r="O16" i="19" a="1"/>
  <c r="O16" i="19" s="1"/>
  <c r="Q11" i="19" a="1"/>
  <c r="Q11" i="19" s="1"/>
  <c r="D15" i="19" a="1"/>
  <c r="D15" i="19" s="1"/>
  <c r="D297" i="19" s="1"/>
  <c r="J15" i="19" a="1"/>
  <c r="J15" i="19" s="1"/>
  <c r="O12" i="19" a="1"/>
  <c r="O12" i="19" s="1"/>
  <c r="D420" i="19" s="1"/>
  <c r="F13" i="19" a="1"/>
  <c r="F13" i="19" s="1"/>
  <c r="K17" i="19" a="1"/>
  <c r="K17" i="19" s="1"/>
  <c r="G12" i="19" a="1"/>
  <c r="G12" i="19" s="1"/>
  <c r="D412" i="19" s="1"/>
  <c r="H13" i="19" a="1"/>
  <c r="H13" i="19" s="1"/>
  <c r="R15" i="19" a="1"/>
  <c r="R15" i="19" s="1"/>
  <c r="P7" i="19" a="1"/>
  <c r="P7" i="19" s="1"/>
  <c r="G17" i="19" a="1"/>
  <c r="G17" i="19" s="1"/>
  <c r="O17" i="19" a="1"/>
  <c r="O17" i="19" s="1"/>
  <c r="N12" i="19" a="1"/>
  <c r="N12" i="19" s="1"/>
  <c r="L15" i="19" a="1"/>
  <c r="L15" i="19" s="1"/>
  <c r="R11" i="19" a="1"/>
  <c r="R11" i="19" s="1"/>
  <c r="I16" i="19" a="1"/>
  <c r="I16" i="19" s="1"/>
  <c r="K12" i="19" a="1"/>
  <c r="K12" i="19" s="1"/>
  <c r="L11" i="19" a="1"/>
  <c r="L11" i="19" s="1"/>
  <c r="Q7" i="19" s="1" a="1"/>
  <c r="Q7" i="19" s="1"/>
  <c r="C18" i="19" a="1"/>
  <c r="C18" i="19" s="1"/>
  <c r="G11" i="19" a="1"/>
  <c r="G11" i="19" s="1"/>
  <c r="P18" i="19" a="1"/>
  <c r="P18" i="19" s="1"/>
  <c r="I17" i="19" a="1"/>
  <c r="I17" i="19" s="1"/>
  <c r="Q15" i="19" a="1"/>
  <c r="Q15" i="19" s="1"/>
  <c r="L17" i="19" a="1"/>
  <c r="L17" i="19" s="1"/>
  <c r="D129" i="19" s="1"/>
  <c r="J14" i="19" a="1"/>
  <c r="J14" i="19" s="1"/>
  <c r="C11" i="19" a="1"/>
  <c r="C11" i="19" s="1"/>
  <c r="H11" i="19" a="1"/>
  <c r="H11" i="19" s="1"/>
  <c r="C10" i="19" a="1"/>
  <c r="C10" i="19" s="1"/>
  <c r="L8" i="19" a="1"/>
  <c r="L8" i="19" s="1"/>
  <c r="G4" i="19" s="1" a="1"/>
  <c r="G4" i="19" s="1"/>
  <c r="D396" i="19" s="1"/>
  <c r="R7" i="19" a="1"/>
  <c r="R7" i="19" s="1"/>
  <c r="J13" i="19" a="1"/>
  <c r="J13" i="19" s="1"/>
  <c r="D415" i="19" s="1"/>
  <c r="D13" i="19" a="1"/>
  <c r="D13" i="19" s="1"/>
  <c r="D169" i="19" s="1"/>
  <c r="E11" i="19" a="1"/>
  <c r="E11" i="19" s="1"/>
  <c r="E14" i="19" a="1"/>
  <c r="E14" i="19" s="1"/>
  <c r="N9" i="19" a="1"/>
  <c r="N9" i="19" s="1"/>
  <c r="R9" i="19" a="1"/>
  <c r="R9" i="19" s="1"/>
  <c r="F7" i="19" a="1"/>
  <c r="F7" i="19" s="1"/>
  <c r="H9" i="19" a="1"/>
  <c r="H9" i="19" s="1"/>
  <c r="F10" i="19" a="1"/>
  <c r="F10" i="19" s="1"/>
  <c r="I7" i="19" a="1"/>
  <c r="I7" i="19" s="1"/>
  <c r="H7" i="19" a="1"/>
  <c r="H7" i="19" s="1"/>
  <c r="H18" i="19" a="1"/>
  <c r="H18" i="19" s="1"/>
  <c r="T4" i="6" a="1"/>
  <c r="T4" i="6" s="1"/>
  <c r="F4" i="6" a="1"/>
  <c r="F4" i="6" s="1"/>
  <c r="T5" i="6" a="1"/>
  <c r="T5" i="6" s="1"/>
  <c r="F5" i="6" a="1"/>
  <c r="F5" i="6" s="1"/>
  <c r="T13" i="6" a="1"/>
  <c r="T13" i="6" s="1"/>
  <c r="F13" i="6" a="1"/>
  <c r="F13" i="6" s="1"/>
  <c r="T6" i="6" a="1"/>
  <c r="T6" i="6" s="1"/>
  <c r="F6" i="6" a="1"/>
  <c r="F6" i="6" s="1"/>
  <c r="T14" i="6" a="1"/>
  <c r="T14" i="6" s="1"/>
  <c r="F14" i="6" a="1"/>
  <c r="F14" i="6" s="1"/>
  <c r="T9" i="6" a="1"/>
  <c r="T9" i="6" s="1"/>
  <c r="F9" i="6" a="1"/>
  <c r="F9" i="6" s="1"/>
  <c r="T17" i="6" a="1"/>
  <c r="T17" i="6" s="1"/>
  <c r="F17" i="6" a="1"/>
  <c r="F17" i="6" s="1"/>
  <c r="T2" i="6" a="1"/>
  <c r="T2" i="6" s="1"/>
  <c r="F2" i="6" a="1"/>
  <c r="F2" i="6" s="1"/>
  <c r="T10" i="6" a="1"/>
  <c r="T10" i="6" s="1"/>
  <c r="F10" i="6" a="1"/>
  <c r="F10" i="6" s="1"/>
  <c r="T8" i="6" a="1"/>
  <c r="T8" i="6" s="1"/>
  <c r="F8" i="6" a="1"/>
  <c r="F8" i="6" s="1"/>
  <c r="T16" i="6" a="1"/>
  <c r="T16" i="6" s="1"/>
  <c r="F16" i="6" a="1"/>
  <c r="F16" i="6" s="1"/>
  <c r="T3" i="6" a="1"/>
  <c r="T3" i="6" s="1"/>
  <c r="F3" i="6" a="1"/>
  <c r="F3" i="6" s="1"/>
  <c r="T11" i="6" a="1"/>
  <c r="T11" i="6" s="1"/>
  <c r="F11" i="6" a="1"/>
  <c r="F11" i="6" s="1"/>
  <c r="T7" i="6" a="1"/>
  <c r="T7" i="6" s="1"/>
  <c r="F7" i="6" a="1"/>
  <c r="F7" i="6" s="1"/>
  <c r="T15" i="6" a="1"/>
  <c r="T15" i="6" s="1"/>
  <c r="F15" i="6" a="1"/>
  <c r="F15" i="6" s="1"/>
  <c r="T12" i="6" a="1"/>
  <c r="T12" i="6" s="1"/>
  <c r="F12" i="6" a="1"/>
  <c r="F12" i="6" s="1"/>
  <c r="D30" i="1" a="1"/>
  <c r="D30" i="1" s="1"/>
  <c r="D29" i="1" a="1"/>
  <c r="D29" i="1" s="1"/>
  <c r="I29" i="1" a="1"/>
  <c r="I29" i="1" s="1"/>
  <c r="G29" i="1" s="1" a="1"/>
  <c r="G29" i="1" s="1"/>
  <c r="G30" i="1" a="1"/>
  <c r="G30" i="1" s="1"/>
  <c r="G28" i="1" a="1"/>
  <c r="G28" i="1" s="1"/>
  <c r="C3" i="6" a="1"/>
  <c r="C3" i="6" s="1"/>
  <c r="D3" i="6" a="1"/>
  <c r="D3" i="6" s="1"/>
  <c r="E3" i="6" a="1"/>
  <c r="E3" i="6" s="1"/>
  <c r="C11" i="6" a="1"/>
  <c r="C11" i="6" s="1"/>
  <c r="D11" i="6" a="1"/>
  <c r="D11" i="6" s="1"/>
  <c r="E11" i="6" a="1"/>
  <c r="E11" i="6" s="1"/>
  <c r="C20" i="6" a="1"/>
  <c r="C20" i="6" s="1"/>
  <c r="E20" i="6" a="1"/>
  <c r="E20" i="6" s="1"/>
  <c r="D20" i="6" a="1"/>
  <c r="D20" i="6" s="1"/>
  <c r="C28" i="6" a="1"/>
  <c r="C28" i="6" s="1"/>
  <c r="E28" i="6" a="1"/>
  <c r="E28" i="6" s="1"/>
  <c r="D28" i="6" a="1"/>
  <c r="D28" i="6" s="1"/>
  <c r="C7" i="6" a="1"/>
  <c r="C7" i="6" s="1"/>
  <c r="D7" i="6" a="1"/>
  <c r="D7" i="6" s="1"/>
  <c r="E7" i="6" a="1"/>
  <c r="E7" i="6" s="1"/>
  <c r="C9" i="6" a="1"/>
  <c r="C9" i="6" s="1"/>
  <c r="E9" i="6" a="1"/>
  <c r="E9" i="6" s="1"/>
  <c r="D9" i="6" a="1"/>
  <c r="D9" i="6" s="1"/>
  <c r="C17" i="6" a="1"/>
  <c r="C17" i="6" s="1"/>
  <c r="D17" i="6" a="1"/>
  <c r="D17" i="6" s="1"/>
  <c r="E17" i="6" a="1"/>
  <c r="E17" i="6" s="1"/>
  <c r="C26" i="6" a="1"/>
  <c r="C26" i="6" s="1"/>
  <c r="D26" i="6" a="1"/>
  <c r="D26" i="6" s="1"/>
  <c r="E26" i="6" a="1"/>
  <c r="E26" i="6" s="1"/>
  <c r="C34" i="6" a="1"/>
  <c r="C34" i="6" s="1"/>
  <c r="E34" i="6" a="1"/>
  <c r="E34" i="6" s="1"/>
  <c r="D34" i="6" a="1"/>
  <c r="D34" i="6" s="1"/>
  <c r="C2" i="6" a="1"/>
  <c r="C2" i="6" s="1"/>
  <c r="E2" i="6" a="1"/>
  <c r="E2" i="6" s="1"/>
  <c r="D2" i="6" a="1"/>
  <c r="D2" i="6" s="1"/>
  <c r="C10" i="6" a="1"/>
  <c r="C10" i="6" s="1"/>
  <c r="E10" i="6" a="1"/>
  <c r="E10" i="6" s="1"/>
  <c r="D10" i="6" a="1"/>
  <c r="D10" i="6" s="1"/>
  <c r="E19" i="6" a="1"/>
  <c r="E19" i="6" s="1"/>
  <c r="D19" i="6" a="1"/>
  <c r="D19" i="6" s="1"/>
  <c r="C19" i="6" a="1"/>
  <c r="C19" i="6" s="1"/>
  <c r="C27" i="6" a="1"/>
  <c r="C27" i="6" s="1"/>
  <c r="E27" i="6" a="1"/>
  <c r="E27" i="6" s="1"/>
  <c r="D27" i="6" a="1"/>
  <c r="D27" i="6" s="1"/>
  <c r="C4" i="6" a="1"/>
  <c r="C4" i="6" s="1"/>
  <c r="E4" i="6" a="1"/>
  <c r="E4" i="6" s="1"/>
  <c r="D4" i="6" a="1"/>
  <c r="D4" i="6" s="1"/>
  <c r="C12" i="6" a="1"/>
  <c r="C12" i="6" s="1"/>
  <c r="E12" i="6" a="1"/>
  <c r="E12" i="6" s="1"/>
  <c r="D12" i="6" a="1"/>
  <c r="D12" i="6" s="1"/>
  <c r="C21" i="6" a="1"/>
  <c r="C21" i="6" s="1"/>
  <c r="D21" i="6" a="1"/>
  <c r="D21" i="6" s="1"/>
  <c r="E21" i="6" a="1"/>
  <c r="E21" i="6" s="1"/>
  <c r="C29" i="6" a="1"/>
  <c r="C29" i="6" s="1"/>
  <c r="E29" i="6" a="1"/>
  <c r="E29" i="6" s="1"/>
  <c r="D29" i="6" a="1"/>
  <c r="D29" i="6" s="1"/>
  <c r="C5" i="6" a="1"/>
  <c r="C5" i="6" s="1"/>
  <c r="D5" i="6" a="1"/>
  <c r="D5" i="6" s="1"/>
  <c r="E5" i="6" a="1"/>
  <c r="E5" i="6" s="1"/>
  <c r="C13" i="6" a="1"/>
  <c r="C13" i="6" s="1"/>
  <c r="D13" i="6" a="1"/>
  <c r="D13" i="6" s="1"/>
  <c r="E13" i="6" a="1"/>
  <c r="E13" i="6" s="1"/>
  <c r="C22" i="6" a="1"/>
  <c r="C22" i="6" s="1"/>
  <c r="E22" i="6" a="1"/>
  <c r="E22" i="6" s="1"/>
  <c r="D22" i="6" a="1"/>
  <c r="D22" i="6" s="1"/>
  <c r="C30" i="6" a="1"/>
  <c r="C30" i="6" s="1"/>
  <c r="E30" i="6" a="1"/>
  <c r="E30" i="6" s="1"/>
  <c r="D30" i="6" a="1"/>
  <c r="D30" i="6" s="1"/>
  <c r="C6" i="6" a="1"/>
  <c r="C6" i="6" s="1"/>
  <c r="E6" i="6" a="1"/>
  <c r="E6" i="6" s="1"/>
  <c r="D6" i="6" a="1"/>
  <c r="D6" i="6" s="1"/>
  <c r="C14" i="6" a="1"/>
  <c r="C14" i="6" s="1"/>
  <c r="D14" i="6" a="1"/>
  <c r="D14" i="6" s="1"/>
  <c r="E14" i="6" a="1"/>
  <c r="E14" i="6" s="1"/>
  <c r="C23" i="6" a="1"/>
  <c r="C23" i="6" s="1"/>
  <c r="D23" i="6" a="1"/>
  <c r="D23" i="6" s="1"/>
  <c r="E23" i="6" a="1"/>
  <c r="E23" i="6" s="1"/>
  <c r="C31" i="6" a="1"/>
  <c r="C31" i="6" s="1"/>
  <c r="E31" i="6" a="1"/>
  <c r="E31" i="6" s="1"/>
  <c r="D31" i="6" a="1"/>
  <c r="D31" i="6" s="1"/>
  <c r="C15" i="6" a="1"/>
  <c r="C15" i="6" s="1"/>
  <c r="E15" i="6" a="1"/>
  <c r="E15" i="6" s="1"/>
  <c r="D15" i="6" a="1"/>
  <c r="D15" i="6" s="1"/>
  <c r="C24" i="6" a="1"/>
  <c r="C24" i="6" s="1"/>
  <c r="D24" i="6" a="1"/>
  <c r="D24" i="6" s="1"/>
  <c r="E24" i="6" a="1"/>
  <c r="E24" i="6" s="1"/>
  <c r="C32" i="6" a="1"/>
  <c r="C32" i="6" s="1"/>
  <c r="D32" i="6" a="1"/>
  <c r="D32" i="6" s="1"/>
  <c r="E32" i="6" a="1"/>
  <c r="E32" i="6" s="1"/>
  <c r="C8" i="6" a="1"/>
  <c r="C8" i="6" s="1"/>
  <c r="D8" i="6" a="1"/>
  <c r="D8" i="6" s="1"/>
  <c r="E8" i="6" a="1"/>
  <c r="E8" i="6" s="1"/>
  <c r="C16" i="6" a="1"/>
  <c r="C16" i="6" s="1"/>
  <c r="D16" i="6" a="1"/>
  <c r="D16" i="6" s="1"/>
  <c r="E16" i="6" a="1"/>
  <c r="E16" i="6" s="1"/>
  <c r="C25" i="6" a="1"/>
  <c r="C25" i="6" s="1"/>
  <c r="D25" i="6" a="1"/>
  <c r="D25" i="6" s="1"/>
  <c r="E25" i="6" a="1"/>
  <c r="E25" i="6" s="1"/>
  <c r="C33" i="6" a="1"/>
  <c r="C33" i="6" s="1"/>
  <c r="D33" i="6" a="1"/>
  <c r="D33" i="6" s="1"/>
  <c r="E33" i="6" a="1"/>
  <c r="E33" i="6" s="1"/>
  <c r="K6" i="19" a="1"/>
  <c r="K6" i="19" s="1"/>
  <c r="L6" i="19" a="1"/>
  <c r="L6" i="19" s="1"/>
  <c r="F6" i="19" a="1"/>
  <c r="F6" i="19" s="1"/>
  <c r="M6" i="19" a="1"/>
  <c r="M6" i="19" s="1"/>
  <c r="P6" i="19" a="1"/>
  <c r="P6" i="19" s="1"/>
  <c r="Q6" i="19" a="1"/>
  <c r="Q6" i="19" s="1"/>
  <c r="O6" i="19" a="1"/>
  <c r="O6" i="19" s="1"/>
  <c r="R6" i="19" a="1"/>
  <c r="R6" i="19" s="1"/>
  <c r="I6" i="19" a="1"/>
  <c r="I6" i="19" s="1"/>
  <c r="N6" i="19" a="1"/>
  <c r="N6" i="19" s="1"/>
  <c r="E6" i="19" a="1"/>
  <c r="E6" i="19" s="1"/>
  <c r="J6" i="19" a="1"/>
  <c r="J6" i="19" s="1"/>
  <c r="C6" i="19" a="1"/>
  <c r="C6" i="19" s="1"/>
  <c r="H6" i="19" a="1"/>
  <c r="H6" i="19" s="1"/>
  <c r="G6" i="19" a="1"/>
  <c r="G6" i="19" s="1"/>
  <c r="D6" i="19" a="1"/>
  <c r="D6" i="19" s="1"/>
  <c r="D9" i="19" a="1"/>
  <c r="D9" i="19" s="1"/>
  <c r="E3" i="19" a="1"/>
  <c r="E3" i="19" s="1"/>
  <c r="E10" i="19" a="1"/>
  <c r="E10" i="19" s="1"/>
  <c r="K4" i="19" a="1"/>
  <c r="K4" i="19" s="1"/>
  <c r="D400" i="19" s="1"/>
  <c r="F8" i="19" a="1"/>
  <c r="F8" i="19" s="1"/>
  <c r="D4" i="19" a="1"/>
  <c r="D4" i="19" s="1"/>
  <c r="N4" i="19" a="1"/>
  <c r="N4" i="19" s="1"/>
  <c r="D403" i="19" s="1"/>
  <c r="M4" i="19" a="1"/>
  <c r="M4" i="19" s="1"/>
  <c r="D402" i="19" s="1"/>
  <c r="E4" i="19" a="1"/>
  <c r="E4" i="19" s="1"/>
  <c r="D394" i="19" s="1"/>
  <c r="H3" i="19" a="1"/>
  <c r="H3" i="19" s="1"/>
  <c r="H10" i="19" a="1"/>
  <c r="H10" i="19" s="1"/>
  <c r="J4" i="19" a="1"/>
  <c r="J4" i="19" s="1"/>
  <c r="D399" i="19" s="1"/>
  <c r="G10" i="19" a="1"/>
  <c r="G10" i="19" s="1"/>
  <c r="O4" i="19" a="1"/>
  <c r="O4" i="19" s="1"/>
  <c r="Q3" i="19" a="1"/>
  <c r="Q3" i="19" s="1"/>
  <c r="R4" i="19" a="1"/>
  <c r="R4" i="19" s="1"/>
  <c r="D407" i="19" s="1"/>
  <c r="G9" i="19" a="1"/>
  <c r="G9" i="19" s="1"/>
  <c r="Q10" i="19" a="1"/>
  <c r="Q10" i="19" s="1"/>
  <c r="F3" i="19" a="1"/>
  <c r="F3" i="19" s="1"/>
  <c r="Q8" i="19" a="1"/>
  <c r="Q8" i="19" s="1"/>
  <c r="G3" i="19" a="1"/>
  <c r="G3" i="19" s="1"/>
  <c r="P10" i="19" a="1"/>
  <c r="P10" i="19" s="1"/>
  <c r="R10" i="19" a="1"/>
  <c r="R10" i="19" s="1"/>
  <c r="J10" i="19" a="1"/>
  <c r="J10" i="19" s="1"/>
  <c r="M8" i="19" a="1"/>
  <c r="M8" i="19" s="1"/>
  <c r="J8" i="19" a="1"/>
  <c r="J8" i="19" s="1"/>
  <c r="R3" i="19" a="1"/>
  <c r="R3" i="19" s="1"/>
  <c r="M9" i="19" a="1"/>
  <c r="M9" i="19" s="1"/>
  <c r="F9" i="19" a="1"/>
  <c r="F9" i="19" s="1"/>
  <c r="M3" i="19" a="1"/>
  <c r="M3" i="19" s="1"/>
  <c r="P9" i="19" a="1"/>
  <c r="P9" i="19" s="1"/>
  <c r="R8" i="19" a="1"/>
  <c r="R8" i="19" s="1"/>
  <c r="H8" i="19" a="1"/>
  <c r="H8" i="19" s="1"/>
  <c r="P8" i="19" a="1"/>
  <c r="P8" i="19" s="1"/>
  <c r="H4" i="19" a="1"/>
  <c r="H4" i="19" s="1"/>
  <c r="D397" i="19" s="1"/>
  <c r="P3" i="19" a="1"/>
  <c r="P3" i="19" s="1"/>
  <c r="F4" i="19" a="1"/>
  <c r="F4" i="19" s="1"/>
  <c r="D395" i="19" s="1"/>
  <c r="N3" i="19" a="1"/>
  <c r="N3" i="19" s="1"/>
  <c r="D3" i="19" a="1"/>
  <c r="D3" i="19" s="1"/>
  <c r="I3" i="19" a="1"/>
  <c r="I3" i="19" s="1"/>
  <c r="D142" i="19" s="1"/>
  <c r="C8" i="19" a="1"/>
  <c r="C8" i="19" s="1"/>
  <c r="K3" i="19" a="1"/>
  <c r="K3" i="19" s="1"/>
  <c r="L3" i="19" a="1"/>
  <c r="L3" i="19" s="1"/>
  <c r="D145" i="19" s="1"/>
  <c r="C3" i="19" a="1"/>
  <c r="C3" i="19" s="1"/>
  <c r="Q9" i="19" a="1"/>
  <c r="Q9" i="19" s="1"/>
  <c r="I9" i="19" a="1"/>
  <c r="I9" i="19" s="1"/>
  <c r="O9" i="19" a="1"/>
  <c r="O9" i="19" s="1"/>
  <c r="P4" i="19" a="1"/>
  <c r="P4" i="19" s="1"/>
  <c r="D405" i="19" s="1"/>
  <c r="C9" i="19" a="1"/>
  <c r="C9" i="19" s="1"/>
  <c r="M10" i="19" a="1"/>
  <c r="M10" i="19" s="1"/>
  <c r="O3" i="19" a="1"/>
  <c r="O3" i="19" s="1"/>
  <c r="D148" i="19" s="1"/>
  <c r="L9" i="19" a="1"/>
  <c r="L9" i="19" s="1"/>
  <c r="D42" i="19" s="1"/>
  <c r="N10" i="19" a="1"/>
  <c r="N10" i="19" s="1"/>
  <c r="E9" i="19" a="1"/>
  <c r="E9" i="19" s="1"/>
  <c r="AM125" i="1" a="1"/>
  <c r="AM125" i="1" s="1"/>
  <c r="AR125" i="1" a="1"/>
  <c r="AR125" i="1" s="1"/>
  <c r="AO126" i="1" a="1"/>
  <c r="AO126" i="1" s="1"/>
  <c r="AT126" i="1" a="1"/>
  <c r="AT126" i="1" s="1"/>
  <c r="AQ127" i="1" a="1"/>
  <c r="AQ127" i="1" s="1"/>
  <c r="AN128" i="1" a="1"/>
  <c r="AN128" i="1" s="1"/>
  <c r="AQ129" i="1" a="1"/>
  <c r="AQ129" i="1" s="1"/>
  <c r="AW129" i="1" a="1"/>
  <c r="AW129" i="1" s="1"/>
  <c r="AM131" i="1" a="1"/>
  <c r="AM131" i="1" s="1"/>
  <c r="AT131" i="1" a="1"/>
  <c r="AT131" i="1" s="1"/>
  <c r="AO132" i="1" a="1"/>
  <c r="AO132" i="1" s="1"/>
  <c r="AP124" i="1" a="1"/>
  <c r="AP124" i="1" s="1"/>
  <c r="AU124" i="1" a="1"/>
  <c r="AU124" i="1" s="1"/>
  <c r="AN125" i="1" a="1"/>
  <c r="AN125" i="1" s="1"/>
  <c r="AW125" i="1" a="1"/>
  <c r="AW125" i="1" s="1"/>
  <c r="AM127" i="1" a="1"/>
  <c r="AM127" i="1" s="1"/>
  <c r="AV127" i="1" a="1"/>
  <c r="AV127" i="1" s="1"/>
  <c r="AO128" i="1" a="1"/>
  <c r="AO128" i="1" s="1"/>
  <c r="AT128" i="1" a="1"/>
  <c r="AT128" i="1" s="1"/>
  <c r="AY128" i="1" a="1"/>
  <c r="AY128" i="1" s="1"/>
  <c r="AR129" i="1" a="1"/>
  <c r="AR129" i="1" s="1"/>
  <c r="AP130" i="1" a="1"/>
  <c r="AP130" i="1" s="1"/>
  <c r="AN131" i="1" a="1"/>
  <c r="AN131" i="1" s="1"/>
  <c r="AU132" i="1" a="1"/>
  <c r="AU132" i="1" s="1"/>
  <c r="AO133" i="1" a="1"/>
  <c r="AO133" i="1" s="1"/>
  <c r="AT133" i="1" a="1"/>
  <c r="AT133" i="1" s="1"/>
  <c r="AM134" i="1" a="1"/>
  <c r="AM134" i="1" s="1"/>
  <c r="AT134" i="1" a="1"/>
  <c r="AT134" i="1" s="1"/>
  <c r="AN133" i="1" a="1"/>
  <c r="AN133" i="1" s="1"/>
  <c r="AP123" i="1" a="1"/>
  <c r="AP123" i="1" s="1"/>
  <c r="AU123" i="1" a="1"/>
  <c r="AU123" i="1" s="1"/>
  <c r="AV124" i="1" a="1"/>
  <c r="AV124" i="1" s="1"/>
  <c r="AS125" i="1" a="1"/>
  <c r="AS125" i="1" s="1"/>
  <c r="AP126" i="1" a="1"/>
  <c r="AP126" i="1" s="1"/>
  <c r="AU126" i="1" a="1"/>
  <c r="AU126" i="1" s="1"/>
  <c r="AR127" i="1" a="1"/>
  <c r="AR127" i="1" s="1"/>
  <c r="AW127" i="1" a="1"/>
  <c r="AW127" i="1" s="1"/>
  <c r="AM129" i="1" a="1"/>
  <c r="AM129" i="1" s="1"/>
  <c r="AS129" i="1" a="1"/>
  <c r="AS129" i="1" s="1"/>
  <c r="AX129" i="1" a="1"/>
  <c r="AX129" i="1" s="1"/>
  <c r="AU131" i="1" a="1"/>
  <c r="AU131" i="1" s="1"/>
  <c r="AP132" i="1" a="1"/>
  <c r="AP132" i="1" s="1"/>
  <c r="AW132" i="1" a="1"/>
  <c r="AW132" i="1" s="1"/>
  <c r="AN134" i="1" a="1"/>
  <c r="AN134" i="1" s="1"/>
  <c r="AX122" i="1" a="1"/>
  <c r="AX122" i="1" s="1"/>
  <c r="AX123" i="1" a="1"/>
  <c r="AX123" i="1" s="1"/>
  <c r="AV123" i="1" a="1"/>
  <c r="AV123" i="1" s="1"/>
  <c r="AQ124" i="1" a="1"/>
  <c r="AQ124" i="1" s="1"/>
  <c r="AW124" i="1" a="1"/>
  <c r="AW124" i="1" s="1"/>
  <c r="AO125" i="1" a="1"/>
  <c r="AO125" i="1" s="1"/>
  <c r="AX125" i="1" a="1"/>
  <c r="AX125" i="1" s="1"/>
  <c r="AV126" i="1" a="1"/>
  <c r="AV126" i="1" s="1"/>
  <c r="AN127" i="1" a="1"/>
  <c r="AN127" i="1" s="1"/>
  <c r="AS127" i="1" a="1"/>
  <c r="AS127" i="1" s="1"/>
  <c r="AP128" i="1" a="1"/>
  <c r="AP128" i="1" s="1"/>
  <c r="AU128" i="1" a="1"/>
  <c r="AU128" i="1" s="1"/>
  <c r="AN129" i="1" a="1"/>
  <c r="AN129" i="1" s="1"/>
  <c r="AQ130" i="1" a="1"/>
  <c r="AQ130" i="1" s="1"/>
  <c r="AP131" i="1" a="1"/>
  <c r="AP131" i="1" s="1"/>
  <c r="AP133" i="1" a="1"/>
  <c r="AP133" i="1" s="1"/>
  <c r="AU133" i="1" a="1"/>
  <c r="AU133" i="1" s="1"/>
  <c r="AU134" i="1" a="1"/>
  <c r="AU134" i="1" s="1"/>
  <c r="AO131" i="1" a="1"/>
  <c r="AO131" i="1" s="1"/>
  <c r="AR133" i="1" a="1"/>
  <c r="AR133" i="1" s="1"/>
  <c r="AQ123" i="1" a="1"/>
  <c r="AQ123" i="1" s="1"/>
  <c r="AW123" i="1" a="1"/>
  <c r="AW123" i="1" s="1"/>
  <c r="AR124" i="1" a="1"/>
  <c r="AR124" i="1" s="1"/>
  <c r="AT125" i="1" a="1"/>
  <c r="AT125" i="1" s="1"/>
  <c r="AQ126" i="1" a="1"/>
  <c r="AQ126" i="1" s="1"/>
  <c r="AW126" i="1" a="1"/>
  <c r="AW126" i="1" s="1"/>
  <c r="AO127" i="1" a="1"/>
  <c r="AO127" i="1" s="1"/>
  <c r="AX127" i="1" a="1"/>
  <c r="AX127" i="1" s="1"/>
  <c r="AV128" i="1" a="1"/>
  <c r="AV128" i="1" s="1"/>
  <c r="AO129" i="1" a="1"/>
  <c r="AO129" i="1" s="1"/>
  <c r="AT129" i="1" a="1"/>
  <c r="AT129" i="1" s="1"/>
  <c r="AR130" i="1" a="1"/>
  <c r="AR130" i="1" s="1"/>
  <c r="AX131" i="1" a="1"/>
  <c r="AX131" i="1" s="1"/>
  <c r="AQ132" i="1" a="1"/>
  <c r="AQ132" i="1" s="1"/>
  <c r="AX132" i="1" a="1"/>
  <c r="AX132" i="1" s="1"/>
  <c r="AW133" i="1" a="1"/>
  <c r="AW133" i="1" s="1"/>
  <c r="AP134" i="1" a="1"/>
  <c r="AP134" i="1" s="1"/>
  <c r="AV134" i="1" a="1"/>
  <c r="AV134" i="1" s="1"/>
  <c r="AR123" i="1" a="1"/>
  <c r="AR123" i="1" s="1"/>
  <c r="AM124" i="1" a="1"/>
  <c r="AM124" i="1" s="1"/>
  <c r="AS124" i="1" a="1"/>
  <c r="AS124" i="1" s="1"/>
  <c r="AX124" i="1" a="1"/>
  <c r="AX124" i="1" s="1"/>
  <c r="AP125" i="1" a="1"/>
  <c r="AP125" i="1" s="1"/>
  <c r="AY125" i="1" a="1"/>
  <c r="AY125" i="1" s="1"/>
  <c r="AR126" i="1" a="1"/>
  <c r="AR126" i="1" s="1"/>
  <c r="AT127" i="1" a="1"/>
  <c r="AT127" i="1" s="1"/>
  <c r="AQ128" i="1" a="1"/>
  <c r="AQ128" i="1" s="1"/>
  <c r="AW128" i="1" a="1"/>
  <c r="AW128" i="1" s="1"/>
  <c r="AM130" i="1" a="1"/>
  <c r="AM130" i="1" s="1"/>
  <c r="AS130" i="1" a="1"/>
  <c r="AS130" i="1" s="1"/>
  <c r="AX130" i="1" a="1"/>
  <c r="AX130" i="1" s="1"/>
  <c r="AQ131" i="1" a="1"/>
  <c r="AQ131" i="1" s="1"/>
  <c r="AS132" i="1" a="1"/>
  <c r="AS132" i="1" s="1"/>
  <c r="AQ133" i="1" a="1"/>
  <c r="AQ133" i="1" s="1"/>
  <c r="AS131" i="1" a="1"/>
  <c r="AS131" i="1" s="1"/>
  <c r="AV133" i="1" a="1"/>
  <c r="AV133" i="1" s="1"/>
  <c r="AM123" i="1" a="1"/>
  <c r="AM123" i="1" s="1"/>
  <c r="AS123" i="1" a="1"/>
  <c r="AS123" i="1" s="1"/>
  <c r="AN124" i="1" a="1"/>
  <c r="AN124" i="1" s="1"/>
  <c r="AU125" i="1" a="1"/>
  <c r="AU125" i="1" s="1"/>
  <c r="AM126" i="1" a="1"/>
  <c r="AM126" i="1" s="1"/>
  <c r="AS126" i="1" a="1"/>
  <c r="AS126" i="1" s="1"/>
  <c r="AX126" i="1" a="1"/>
  <c r="AX126" i="1" s="1"/>
  <c r="AP127" i="1" a="1"/>
  <c r="AP127" i="1" s="1"/>
  <c r="AR128" i="1" a="1"/>
  <c r="AR128" i="1" s="1"/>
  <c r="AP129" i="1" a="1"/>
  <c r="AP129" i="1" s="1"/>
  <c r="AU129" i="1" a="1"/>
  <c r="AU129" i="1" s="1"/>
  <c r="AN130" i="1" a="1"/>
  <c r="AN130" i="1" s="1"/>
  <c r="AR131" i="1" a="1"/>
  <c r="AR131" i="1" s="1"/>
  <c r="AY131" i="1" a="1"/>
  <c r="AY131" i="1" s="1"/>
  <c r="AX133" i="1" a="1"/>
  <c r="AX133" i="1" s="1"/>
  <c r="AQ134" i="1" a="1"/>
  <c r="AQ134" i="1" s="1"/>
  <c r="AN123" i="1" a="1"/>
  <c r="AN123" i="1" s="1"/>
  <c r="AY124" i="1" a="1"/>
  <c r="AY124" i="1" s="1"/>
  <c r="AQ125" i="1" a="1"/>
  <c r="AQ125" i="1" s="1"/>
  <c r="AV125" i="1" a="1"/>
  <c r="AV125" i="1" s="1"/>
  <c r="AN126" i="1" a="1"/>
  <c r="AN126" i="1" s="1"/>
  <c r="AU127" i="1" a="1"/>
  <c r="AU127" i="1" s="1"/>
  <c r="AM128" i="1" a="1"/>
  <c r="AM128" i="1" s="1"/>
  <c r="AX128" i="1" a="1"/>
  <c r="AX128" i="1" s="1"/>
  <c r="AV129" i="1" a="1"/>
  <c r="AV129" i="1" s="1"/>
  <c r="AO130" i="1" a="1"/>
  <c r="AO130" i="1" s="1"/>
  <c r="AT130" i="1" a="1"/>
  <c r="AT130" i="1" s="1"/>
  <c r="AY130" i="1" a="1"/>
  <c r="AY130" i="1" s="1"/>
  <c r="AM132" i="1" a="1"/>
  <c r="AM132" i="1" s="1"/>
  <c r="AT132" i="1" a="1"/>
  <c r="AT132" i="1" s="1"/>
  <c r="AM133" i="1" a="1"/>
  <c r="AM133" i="1" s="1"/>
  <c r="AS133" i="1" a="1"/>
  <c r="AS133" i="1" s="1"/>
  <c r="AR134" i="1" a="1"/>
  <c r="AR134" i="1" s="1"/>
  <c r="AW131" i="1" a="1"/>
  <c r="AW131" i="1" s="1"/>
  <c r="AY127" i="1" a="1"/>
  <c r="AY127" i="1" s="1"/>
  <c r="AX134" i="1" a="1"/>
  <c r="AX134" i="1" s="1"/>
  <c r="AW130" i="1" a="1"/>
  <c r="AW130" i="1" s="1"/>
  <c r="AU130" i="1" a="1"/>
  <c r="AU130" i="1" s="1"/>
  <c r="AV130" i="1" a="1"/>
  <c r="AV130" i="1" s="1"/>
  <c r="AT119" i="1" a="1"/>
  <c r="AT119" i="1" s="1"/>
  <c r="AS128" i="1" a="1"/>
  <c r="AS128" i="1" s="1"/>
  <c r="T22" i="6" a="1"/>
  <c r="T22" i="6" s="1"/>
  <c r="T30" i="6" a="1"/>
  <c r="T30" i="6" s="1"/>
  <c r="T23" i="6" a="1"/>
  <c r="T23" i="6" s="1"/>
  <c r="T19" i="6" a="1"/>
  <c r="T19" i="6" s="1"/>
  <c r="T28" i="6" a="1"/>
  <c r="T28" i="6" s="1"/>
  <c r="T24" i="6" a="1"/>
  <c r="T24" i="6" s="1"/>
  <c r="T25" i="6" a="1"/>
  <c r="T25" i="6" s="1"/>
  <c r="T33" i="6" a="1"/>
  <c r="T33" i="6" s="1"/>
  <c r="AO134" i="1" a="1"/>
  <c r="AO134" i="1" s="1"/>
  <c r="AS134" i="1" a="1"/>
  <c r="AS134" i="1" s="1"/>
  <c r="AW134" i="1" a="1"/>
  <c r="AW134" i="1" s="1"/>
  <c r="AN132" i="1" a="1"/>
  <c r="AN132" i="1" s="1"/>
  <c r="AR132" i="1" a="1"/>
  <c r="AR132" i="1" s="1"/>
  <c r="AV132" i="1" a="1"/>
  <c r="AV132" i="1" s="1"/>
  <c r="T26" i="6" l="1" a="1"/>
  <c r="T26" i="6" s="1"/>
  <c r="W194" i="24"/>
  <c r="V43" i="24"/>
  <c r="V127" i="24"/>
  <c r="V15" i="24"/>
  <c r="V183" i="24"/>
  <c r="W183" i="24" s="1"/>
  <c r="V71" i="24"/>
  <c r="V99" i="24"/>
  <c r="V29" i="24"/>
  <c r="W29" i="24" s="1"/>
  <c r="V57" i="24"/>
  <c r="W57" i="24" s="1"/>
  <c r="V113" i="24"/>
  <c r="W113" i="24" s="1"/>
  <c r="AW9" i="6" s="1" a="1"/>
  <c r="AW9" i="6" s="1"/>
  <c r="V85" i="24"/>
  <c r="W85" i="24" s="1"/>
  <c r="V141" i="24"/>
  <c r="W141" i="24" s="1"/>
  <c r="AW11" i="6" s="1" a="1"/>
  <c r="AW11" i="6" s="1"/>
  <c r="V169" i="24"/>
  <c r="R98" i="24"/>
  <c r="W124" i="24"/>
  <c r="W52" i="24"/>
  <c r="V217" i="24"/>
  <c r="W216" i="24"/>
  <c r="AY122" i="1" a="1"/>
  <c r="AY122" i="1" s="1"/>
  <c r="AY126" i="1" a="1"/>
  <c r="AY126" i="1" s="1"/>
  <c r="AY133" i="1" a="1"/>
  <c r="AY133" i="1" s="1"/>
  <c r="BB133" i="1" s="1"/>
  <c r="H16" i="27" a="1"/>
  <c r="H16" i="27" s="1"/>
  <c r="W126" i="24"/>
  <c r="AY134" i="1" a="1"/>
  <c r="AY134" i="1" s="1"/>
  <c r="AY119" i="1" a="1"/>
  <c r="AY119" i="1" s="1"/>
  <c r="W179" i="24"/>
  <c r="W55" i="24"/>
  <c r="AH28" i="24"/>
  <c r="AY121" i="1" a="1"/>
  <c r="AY121" i="1" s="1"/>
  <c r="AY123" i="1" a="1"/>
  <c r="AY123" i="1" s="1"/>
  <c r="AZ123" i="1" s="1"/>
  <c r="AY129" i="1" a="1"/>
  <c r="AY129" i="1" s="1"/>
  <c r="AZ129" i="1" s="1"/>
  <c r="AY120" i="1" a="1"/>
  <c r="AY120" i="1" s="1"/>
  <c r="AY132" i="1" a="1"/>
  <c r="AY132" i="1" s="1"/>
  <c r="W152" i="24"/>
  <c r="W40" i="24"/>
  <c r="W67" i="24"/>
  <c r="T27" i="6" a="1"/>
  <c r="T27" i="6" s="1"/>
  <c r="W96" i="24"/>
  <c r="W66" i="24"/>
  <c r="AM96" i="24"/>
  <c r="W220" i="24"/>
  <c r="AN68" i="24"/>
  <c r="AN96" i="24"/>
  <c r="V164" i="24"/>
  <c r="V165" i="24" s="1"/>
  <c r="V166" i="24" s="1"/>
  <c r="W166" i="24" s="1"/>
  <c r="W94" i="24"/>
  <c r="V13" i="24"/>
  <c r="W13" i="24" s="1"/>
  <c r="X12" i="24"/>
  <c r="Y12" i="24" s="1"/>
  <c r="V11" i="24"/>
  <c r="V12" i="24" s="1"/>
  <c r="W12" i="24" s="1"/>
  <c r="V168" i="24"/>
  <c r="X208" i="24"/>
  <c r="Y208" i="24" s="1"/>
  <c r="V208" i="24"/>
  <c r="X222" i="24"/>
  <c r="Y222" i="24" s="1"/>
  <c r="V222" i="24"/>
  <c r="V223" i="24" s="1"/>
  <c r="V224" i="24"/>
  <c r="W224" i="24" s="1"/>
  <c r="V167" i="24"/>
  <c r="W167" i="24" s="1"/>
  <c r="V209" i="24"/>
  <c r="V210" i="24" s="1"/>
  <c r="T21" i="6" a="1"/>
  <c r="T21" i="6" s="1"/>
  <c r="V14" i="24"/>
  <c r="W22" i="24"/>
  <c r="W82" i="24"/>
  <c r="Q12" i="35" a="1"/>
  <c r="Q12" i="35" s="1"/>
  <c r="Q12" i="19" a="1"/>
  <c r="Q12" i="19" s="1"/>
  <c r="T20" i="6" a="1"/>
  <c r="T20" i="6" s="1"/>
  <c r="W99" i="24"/>
  <c r="AW8" i="6" s="1" a="1"/>
  <c r="AW8" i="6" s="1"/>
  <c r="W10" i="24"/>
  <c r="AJ6" i="6"/>
  <c r="T29" i="6" a="1"/>
  <c r="T29" i="6" s="1"/>
  <c r="AA225" i="24"/>
  <c r="AA169" i="24"/>
  <c r="AB169" i="24" s="1"/>
  <c r="W43" i="24"/>
  <c r="AW4" i="6" s="1" a="1"/>
  <c r="AW4" i="6" s="1"/>
  <c r="AB70" i="24"/>
  <c r="W127" i="24"/>
  <c r="AW10" i="6" s="1" a="1"/>
  <c r="AW10" i="6" s="1"/>
  <c r="W71" i="24"/>
  <c r="AW6" i="6" s="1" a="1"/>
  <c r="AW6" i="6" s="1"/>
  <c r="AB141" i="24"/>
  <c r="AB84" i="24"/>
  <c r="AB204" i="24"/>
  <c r="AA205" i="24"/>
  <c r="X9" i="24"/>
  <c r="Y9" i="24" s="1"/>
  <c r="AB215" i="24"/>
  <c r="AA216" i="24"/>
  <c r="X113" i="24"/>
  <c r="Y113" i="24" s="1"/>
  <c r="AX9" i="6" s="1" a="1"/>
  <c r="AX9" i="6" s="1"/>
  <c r="AB85" i="24"/>
  <c r="Z113" i="24"/>
  <c r="AH113" i="24" s="1"/>
  <c r="AA221" i="24"/>
  <c r="AA222" i="24" s="1"/>
  <c r="Z225" i="24"/>
  <c r="AH225" i="24" s="1"/>
  <c r="O3" i="35" a="1"/>
  <c r="O3" i="35" s="1"/>
  <c r="N155" i="24"/>
  <c r="N225" i="24"/>
  <c r="N197" i="24"/>
  <c r="N127" i="24"/>
  <c r="N211" i="24"/>
  <c r="N169" i="24"/>
  <c r="N141" i="24"/>
  <c r="Z71" i="24"/>
  <c r="AH71" i="24" s="1"/>
  <c r="AA71" i="24"/>
  <c r="AB71" i="24" s="1"/>
  <c r="Z183" i="24"/>
  <c r="AH183" i="24" s="1"/>
  <c r="X183" i="24"/>
  <c r="Y183" i="24" s="1"/>
  <c r="AX14" i="6" s="1" a="1"/>
  <c r="AX14" i="6" s="1"/>
  <c r="AS99" i="24"/>
  <c r="AA43" i="24"/>
  <c r="AB43" i="24" s="1"/>
  <c r="X43" i="24"/>
  <c r="Y43" i="24" s="1"/>
  <c r="AX4" i="6" s="1" a="1"/>
  <c r="AX4" i="6" s="1"/>
  <c r="R43" i="24"/>
  <c r="AL23" i="24" a="1"/>
  <c r="AL23" i="24" s="1"/>
  <c r="AL35" i="24" a="1"/>
  <c r="AL35" i="24" s="1"/>
  <c r="AL9" i="24" a="1"/>
  <c r="AL9" i="24" s="1"/>
  <c r="AK65" i="24" a="1"/>
  <c r="AK65" i="24" s="1"/>
  <c r="AK79" i="24" a="1"/>
  <c r="AK79" i="24" s="1"/>
  <c r="AL79" i="24" a="1"/>
  <c r="AL79" i="24" s="1"/>
  <c r="AK23" i="24" a="1"/>
  <c r="AK23" i="24" s="1"/>
  <c r="AL65" i="24" a="1"/>
  <c r="AL65" i="24" s="1"/>
  <c r="AM65" i="24" s="1"/>
  <c r="AK107" i="24" a="1"/>
  <c r="AK107" i="24" s="1"/>
  <c r="AL93" i="24" a="1"/>
  <c r="AL93" i="24" s="1"/>
  <c r="M12" i="19" a="1"/>
  <c r="M12" i="19" s="1"/>
  <c r="D370" i="19" s="1"/>
  <c r="X127" i="24"/>
  <c r="Y127" i="24" s="1"/>
  <c r="AX10" i="6" s="1" a="1"/>
  <c r="AX10" i="6" s="1"/>
  <c r="AA127" i="24"/>
  <c r="AB127" i="24" s="1"/>
  <c r="AK35" i="24" a="1"/>
  <c r="AK35" i="24" s="1"/>
  <c r="AL46" i="24" a="1"/>
  <c r="AL46" i="24" s="1"/>
  <c r="H18" i="27"/>
  <c r="AK7" i="6"/>
  <c r="AL51" i="24" a="1"/>
  <c r="AL51" i="24" s="1"/>
  <c r="AK93" i="24" a="1"/>
  <c r="AK93" i="24" s="1"/>
  <c r="AK51" i="24" a="1"/>
  <c r="AK51" i="24" s="1"/>
  <c r="AL107" i="24" a="1"/>
  <c r="AL107" i="24" s="1"/>
  <c r="AK9" i="24" a="1"/>
  <c r="AK9" i="24" s="1"/>
  <c r="AL37" i="24" a="1"/>
  <c r="AL37" i="24" s="1"/>
  <c r="AL88" i="24" a="1"/>
  <c r="AL88" i="24" s="1"/>
  <c r="AK102" i="24" a="1"/>
  <c r="AK102" i="24" s="1"/>
  <c r="AL60" i="24" a="1"/>
  <c r="AL60" i="24" s="1"/>
  <c r="AL74" i="24" a="1"/>
  <c r="AL74" i="24" s="1"/>
  <c r="AL102" i="24" a="1"/>
  <c r="AL102" i="24" s="1"/>
  <c r="AL18" i="24" a="1"/>
  <c r="AL18" i="24" s="1"/>
  <c r="AK32" i="24" a="1"/>
  <c r="AK32" i="24" s="1"/>
  <c r="AK6" i="24" a="1"/>
  <c r="AK6" i="24" s="1"/>
  <c r="AK88" i="24" a="1"/>
  <c r="AK88" i="24" s="1"/>
  <c r="AK60" i="24" a="1"/>
  <c r="AK60" i="24" s="1"/>
  <c r="AL4" i="24" a="1"/>
  <c r="AL4" i="24" s="1"/>
  <c r="AK18" i="24" a="1"/>
  <c r="AK18" i="24" s="1"/>
  <c r="AK4" i="24" a="1"/>
  <c r="AK4" i="24" s="1"/>
  <c r="AL32" i="24" a="1"/>
  <c r="AL32" i="24" s="1"/>
  <c r="AK46" i="24" a="1"/>
  <c r="AK46" i="24" s="1"/>
  <c r="AA29" i="24"/>
  <c r="AB29" i="24" s="1"/>
  <c r="Z29" i="24"/>
  <c r="AA99" i="24"/>
  <c r="AB99" i="24" s="1"/>
  <c r="Z99" i="24"/>
  <c r="AK222" i="24" a="1"/>
  <c r="AK222" i="24" s="1"/>
  <c r="AL104" i="24" a="1"/>
  <c r="AL104" i="24" s="1"/>
  <c r="AL7" i="24" a="1"/>
  <c r="AL7" i="24" s="1"/>
  <c r="AL21" i="24" a="1"/>
  <c r="AL21" i="24" s="1"/>
  <c r="AM21" i="24" s="1"/>
  <c r="K36" i="27" a="1"/>
  <c r="K36" i="27" s="1"/>
  <c r="AL91" i="24" a="1"/>
  <c r="AL91" i="24" s="1"/>
  <c r="AL77" i="24" a="1"/>
  <c r="AL77" i="24" s="1"/>
  <c r="AK105" i="24" a="1"/>
  <c r="AK105" i="24" s="1"/>
  <c r="AL105" i="24" a="1"/>
  <c r="AL105" i="24" s="1"/>
  <c r="AK63" i="24" a="1"/>
  <c r="AK63" i="24" s="1"/>
  <c r="AL49" i="24" a="1"/>
  <c r="AL49" i="24" s="1"/>
  <c r="AL63" i="24" a="1"/>
  <c r="AL63" i="24" s="1"/>
  <c r="W28" i="1"/>
  <c r="W33" i="1"/>
  <c r="W37" i="1"/>
  <c r="W41" i="1"/>
  <c r="W31" i="1"/>
  <c r="W36" i="1"/>
  <c r="W39" i="1"/>
  <c r="W34" i="1"/>
  <c r="W38" i="1"/>
  <c r="W42" i="1"/>
  <c r="W32" i="1"/>
  <c r="W29" i="1"/>
  <c r="W40" i="1"/>
  <c r="W35" i="1"/>
  <c r="W30" i="1"/>
  <c r="W43" i="1"/>
  <c r="AL6" i="24" a="1"/>
  <c r="AL6" i="24" s="1"/>
  <c r="AK104" i="24" a="1"/>
  <c r="AK104" i="24" s="1"/>
  <c r="AL76" i="24" a="1"/>
  <c r="AL76" i="24" s="1"/>
  <c r="AK62" i="24" a="1"/>
  <c r="AK62" i="24" s="1"/>
  <c r="AL90" i="24" a="1"/>
  <c r="AL90" i="24" s="1"/>
  <c r="AK7" i="24" a="1"/>
  <c r="AK7" i="24" s="1"/>
  <c r="AK91" i="24" a="1"/>
  <c r="AK91" i="24" s="1"/>
  <c r="AK49" i="24" a="1"/>
  <c r="AK49" i="24" s="1"/>
  <c r="AK21" i="24" a="1"/>
  <c r="AK21" i="24" s="1"/>
  <c r="AL34" i="24" a="1"/>
  <c r="AL34" i="24" s="1"/>
  <c r="AK76" i="24" a="1"/>
  <c r="AK76" i="24" s="1"/>
  <c r="AL62" i="24" a="1"/>
  <c r="AL62" i="24" s="1"/>
  <c r="AM62" i="24" s="1"/>
  <c r="AK34" i="24" a="1"/>
  <c r="AK34" i="24" s="1"/>
  <c r="AL20" i="24" a="1"/>
  <c r="AL20" i="24" s="1"/>
  <c r="AK20" i="24" a="1"/>
  <c r="AK20" i="24" s="1"/>
  <c r="AL48" i="24" a="1"/>
  <c r="AL48" i="24" s="1"/>
  <c r="AK48" i="24" a="1"/>
  <c r="AK48" i="24" s="1"/>
  <c r="AL39" i="24" a="1"/>
  <c r="AL39" i="24" s="1"/>
  <c r="AK67" i="24" a="1"/>
  <c r="AK67" i="24" s="1"/>
  <c r="AL95" i="24" a="1"/>
  <c r="AL95" i="24" s="1"/>
  <c r="AK81" i="24" a="1"/>
  <c r="AK81" i="24" s="1"/>
  <c r="AL67" i="24" a="1"/>
  <c r="AL67" i="24" s="1"/>
  <c r="AM67" i="24" s="1"/>
  <c r="AK53" i="24" a="1"/>
  <c r="AK53" i="24" s="1"/>
  <c r="AL53" i="24" a="1"/>
  <c r="AL53" i="24" s="1"/>
  <c r="AK95" i="24" a="1"/>
  <c r="AK95" i="24" s="1"/>
  <c r="AL81" i="24" a="1"/>
  <c r="AL81" i="24" s="1"/>
  <c r="AK11" i="24" a="1"/>
  <c r="AK11" i="24" s="1"/>
  <c r="AL11" i="24" a="1"/>
  <c r="AL11" i="24" s="1"/>
  <c r="AK39" i="24" a="1"/>
  <c r="AK39" i="24" s="1"/>
  <c r="AL25" i="24" a="1"/>
  <c r="AL25" i="24" s="1"/>
  <c r="AK25" i="24" a="1"/>
  <c r="AK25" i="24" s="1"/>
  <c r="AL109" i="24" a="1"/>
  <c r="AL109" i="24" s="1"/>
  <c r="AK55" i="24" a="1"/>
  <c r="AK55" i="24" s="1"/>
  <c r="AK97" i="24" a="1"/>
  <c r="AK97" i="24" s="1"/>
  <c r="AL41" i="24" a="1"/>
  <c r="AL41" i="24" s="1"/>
  <c r="AL111" i="24" a="1"/>
  <c r="AL111" i="24" s="1"/>
  <c r="AK41" i="24" a="1"/>
  <c r="AK41" i="24" s="1"/>
  <c r="AL69" i="24" a="1"/>
  <c r="AL69" i="24" s="1"/>
  <c r="AM69" i="24" s="1"/>
  <c r="AK13" i="24" a="1"/>
  <c r="AK13" i="24" s="1"/>
  <c r="AL83" i="24" a="1"/>
  <c r="AL83" i="24" s="1"/>
  <c r="AK83" i="24" a="1"/>
  <c r="AK83" i="24" s="1"/>
  <c r="AL97" i="24" a="1"/>
  <c r="AL97" i="24" s="1"/>
  <c r="AL27" i="24" a="1"/>
  <c r="AL27" i="24" s="1"/>
  <c r="AL55" i="24" a="1"/>
  <c r="AL55" i="24" s="1"/>
  <c r="X10" i="24"/>
  <c r="Y10" i="24" s="1"/>
  <c r="AH112" i="24"/>
  <c r="AH127" i="24"/>
  <c r="AH182" i="24"/>
  <c r="AH154" i="24"/>
  <c r="AH126" i="24"/>
  <c r="AH155" i="24"/>
  <c r="AH211" i="24"/>
  <c r="AH210" i="24"/>
  <c r="AH15" i="24"/>
  <c r="AH84" i="24"/>
  <c r="AH196" i="24"/>
  <c r="AH57" i="24"/>
  <c r="AH168" i="24"/>
  <c r="AH224" i="24"/>
  <c r="AH85" i="24"/>
  <c r="AH70" i="24"/>
  <c r="AH197" i="24"/>
  <c r="AH56" i="24"/>
  <c r="AH169" i="24"/>
  <c r="AS182" i="24"/>
  <c r="AK111" i="24" a="1"/>
  <c r="AK111" i="24" s="1"/>
  <c r="AL13" i="24" a="1"/>
  <c r="AL13" i="24" s="1"/>
  <c r="AK69" i="24" a="1"/>
  <c r="AK69" i="24" s="1"/>
  <c r="AK145" i="24" a="1"/>
  <c r="AK145" i="24" s="1"/>
  <c r="AK27" i="24" a="1"/>
  <c r="AK27" i="24" s="1"/>
  <c r="AK181" i="24" a="1"/>
  <c r="AK181" i="24" s="1"/>
  <c r="AK208" i="24" a="1"/>
  <c r="AK208" i="24" s="1"/>
  <c r="AK139" i="24" a="1"/>
  <c r="AK139" i="24" s="1"/>
  <c r="AK162" i="24" a="1"/>
  <c r="AK162" i="24" s="1"/>
  <c r="AK121" i="24" a="1"/>
  <c r="AK121" i="24" s="1"/>
  <c r="AK122" i="24" a="1"/>
  <c r="AK122" i="24" s="1"/>
  <c r="AK176" i="24" a="1"/>
  <c r="AK176" i="24" s="1"/>
  <c r="AK209" i="24" a="1"/>
  <c r="AK209" i="24" s="1"/>
  <c r="AK134" i="24" a="1"/>
  <c r="AK134" i="24" s="1"/>
  <c r="AK137" i="24" a="1"/>
  <c r="AK137" i="24" s="1"/>
  <c r="AK193" i="24" a="1"/>
  <c r="AK193" i="24" s="1"/>
  <c r="AK206" i="24" a="1"/>
  <c r="AK206" i="24" s="1"/>
  <c r="AK125" i="24" a="1"/>
  <c r="AK125" i="24" s="1"/>
  <c r="AK150" i="24" a="1"/>
  <c r="AK150" i="24" s="1"/>
  <c r="AK132" i="24" a="1"/>
  <c r="AK132" i="24" s="1"/>
  <c r="AK163" i="24" a="1"/>
  <c r="AK163" i="24" s="1"/>
  <c r="AK129" i="24" a="1"/>
  <c r="AK129" i="24" s="1"/>
  <c r="AK202" i="24" a="1"/>
  <c r="AK202" i="24" s="1"/>
  <c r="AK190" i="24" a="1"/>
  <c r="AK190" i="24" s="1"/>
  <c r="AK188" i="24" a="1"/>
  <c r="AK188" i="24" s="1"/>
  <c r="AK117" i="24" a="1"/>
  <c r="AK117" i="24" s="1"/>
  <c r="AK165" i="24" a="1"/>
  <c r="AK165" i="24" s="1"/>
  <c r="AK166" i="24" a="1"/>
  <c r="AK166" i="24" s="1"/>
  <c r="AK178" i="24" a="1"/>
  <c r="AK178" i="24" s="1"/>
  <c r="AK185" i="24" a="1"/>
  <c r="AK185" i="24" s="1"/>
  <c r="AK191" i="24" a="1"/>
  <c r="AK191" i="24" s="1"/>
  <c r="AK201" i="24" a="1"/>
  <c r="AK201" i="24" s="1"/>
  <c r="AK194" i="24" a="1"/>
  <c r="AK194" i="24" s="1"/>
  <c r="AK164" i="24" a="1"/>
  <c r="AK164" i="24" s="1"/>
  <c r="AK160" i="24" a="1"/>
  <c r="AK160" i="24" s="1"/>
  <c r="AK152" i="24" a="1"/>
  <c r="AK152" i="24" s="1"/>
  <c r="AK167" i="24" a="1"/>
  <c r="AK167" i="24" s="1"/>
  <c r="AK148" i="24" a="1"/>
  <c r="AK148" i="24" s="1"/>
  <c r="AK138" i="24" a="1"/>
  <c r="AK138" i="24" s="1"/>
  <c r="AK120" i="24" a="1"/>
  <c r="AK120" i="24" s="1"/>
  <c r="AK143" i="24" a="1"/>
  <c r="AK143" i="24" s="1"/>
  <c r="AK123" i="24" a="1"/>
  <c r="AK123" i="24" s="1"/>
  <c r="AK204" i="24" a="1"/>
  <c r="AK204" i="24" s="1"/>
  <c r="AK149" i="24" a="1"/>
  <c r="AK149" i="24" s="1"/>
  <c r="AK192" i="24" a="1"/>
  <c r="AK192" i="24" s="1"/>
  <c r="AK157" i="24" a="1"/>
  <c r="AK157" i="24" s="1"/>
  <c r="AK177" i="24" a="1"/>
  <c r="AK177" i="24" s="1"/>
  <c r="AK195" i="24" a="1"/>
  <c r="AK195" i="24" s="1"/>
  <c r="AK135" i="24" a="1"/>
  <c r="AK135" i="24" s="1"/>
  <c r="AK199" i="24" a="1"/>
  <c r="AK199" i="24" s="1"/>
  <c r="AK207" i="24" a="1"/>
  <c r="AK207" i="24" s="1"/>
  <c r="AK136" i="24" a="1"/>
  <c r="AK136" i="24" s="1"/>
  <c r="AK146" i="24" a="1"/>
  <c r="AK146" i="24" s="1"/>
  <c r="AK151" i="24" a="1"/>
  <c r="AK151" i="24" s="1"/>
  <c r="AK115" i="24" a="1"/>
  <c r="AK115" i="24" s="1"/>
  <c r="AK179" i="24" a="1"/>
  <c r="AK179" i="24" s="1"/>
  <c r="AK223" i="24" a="1"/>
  <c r="AK223" i="24" s="1"/>
  <c r="AK180" i="24" a="1"/>
  <c r="AK180" i="24" s="1"/>
  <c r="AK187" i="24" a="1"/>
  <c r="AK187" i="24" s="1"/>
  <c r="AK124" i="24" a="1"/>
  <c r="AK124" i="24" s="1"/>
  <c r="AK131" i="24" a="1"/>
  <c r="AK131" i="24" s="1"/>
  <c r="AK153" i="24" a="1"/>
  <c r="AK153" i="24" s="1"/>
  <c r="AK205" i="24" a="1"/>
  <c r="AK205" i="24" s="1"/>
  <c r="AK118" i="24" a="1"/>
  <c r="AK118" i="24" s="1"/>
  <c r="AK171" i="24" a="1"/>
  <c r="AK171" i="24" s="1"/>
  <c r="AL181" i="24" a="1"/>
  <c r="AL181" i="24" s="1"/>
  <c r="AL165" i="24" a="1"/>
  <c r="AL165" i="24" s="1"/>
  <c r="AL115" i="24" a="1"/>
  <c r="AL115" i="24" s="1"/>
  <c r="AM115" i="24" s="1"/>
  <c r="AL163" i="24" a="1"/>
  <c r="AL163" i="24" s="1"/>
  <c r="AL201" i="24" a="1"/>
  <c r="AL201" i="24" s="1"/>
  <c r="AL162" i="24" a="1"/>
  <c r="AL162" i="24" s="1"/>
  <c r="AL216" i="24" a="1"/>
  <c r="AL216" i="24" s="1"/>
  <c r="AL222" i="24" a="1"/>
  <c r="AL222" i="24" s="1"/>
  <c r="AL220" i="24" a="1"/>
  <c r="AL220" i="24" s="1"/>
  <c r="AL208" i="24" a="1"/>
  <c r="AL208" i="24" s="1"/>
  <c r="AL139" i="24" a="1"/>
  <c r="AL139" i="24" s="1"/>
  <c r="AL191" i="24" a="1"/>
  <c r="AL191" i="24" s="1"/>
  <c r="AL190" i="24" a="1"/>
  <c r="AL190" i="24" s="1"/>
  <c r="AL173" i="24" a="1"/>
  <c r="AL173" i="24" s="1"/>
  <c r="AL152" i="24" a="1"/>
  <c r="AL152" i="24" s="1"/>
  <c r="AL135" i="24" a="1"/>
  <c r="AL135" i="24" s="1"/>
  <c r="AL202" i="24" a="1"/>
  <c r="AL202" i="24" s="1"/>
  <c r="AL174" i="24" a="1"/>
  <c r="AL174" i="24" s="1"/>
  <c r="AL209" i="24" a="1"/>
  <c r="AL209" i="24" s="1"/>
  <c r="AL137" i="24" a="1"/>
  <c r="AL137" i="24" s="1"/>
  <c r="AL150" i="24" a="1"/>
  <c r="AL150" i="24" s="1"/>
  <c r="AM150" i="24" s="1"/>
  <c r="AL149" i="24" a="1"/>
  <c r="AL149" i="24" s="1"/>
  <c r="AM149" i="24" s="1"/>
  <c r="AL180" i="24" a="1"/>
  <c r="AL180" i="24" s="1"/>
  <c r="AL129" i="24" a="1"/>
  <c r="AL129" i="24" s="1"/>
  <c r="AL159" i="24" a="1"/>
  <c r="AL159" i="24" s="1"/>
  <c r="AL199" i="24" a="1"/>
  <c r="AL199" i="24" s="1"/>
  <c r="AL125" i="24" a="1"/>
  <c r="AL125" i="24" s="1"/>
  <c r="AM125" i="24" s="1"/>
  <c r="AL134" i="24" a="1"/>
  <c r="AL134" i="24" s="1"/>
  <c r="AL145" i="24" a="1"/>
  <c r="AL145" i="24" s="1"/>
  <c r="AL205" i="24" a="1"/>
  <c r="AL205" i="24" s="1"/>
  <c r="AL160" i="24" a="1"/>
  <c r="AL160" i="24" s="1"/>
  <c r="AL132" i="24" a="1"/>
  <c r="AL132" i="24" s="1"/>
  <c r="AL187" i="24" a="1"/>
  <c r="AL187" i="24" s="1"/>
  <c r="AL221" i="24" a="1"/>
  <c r="AL221" i="24" s="1"/>
  <c r="AL206" i="24" a="1"/>
  <c r="AL206" i="24" s="1"/>
  <c r="AL188" i="24" a="1"/>
  <c r="AL188" i="24" s="1"/>
  <c r="AL117" i="24" a="1"/>
  <c r="AL117" i="24" s="1"/>
  <c r="AL204" i="24" a="1"/>
  <c r="AL204" i="24" s="1"/>
  <c r="AL157" i="24" a="1"/>
  <c r="AL157" i="24" s="1"/>
  <c r="AL124" i="24" a="1"/>
  <c r="AL124" i="24" s="1"/>
  <c r="AM124" i="24" s="1"/>
  <c r="AL176" i="24" a="1"/>
  <c r="AL176" i="24" s="1"/>
  <c r="AL185" i="24" a="1"/>
  <c r="AL185" i="24" s="1"/>
  <c r="AL120" i="24" a="1"/>
  <c r="AL120" i="24" s="1"/>
  <c r="AL151" i="24" a="1"/>
  <c r="AL151" i="24" s="1"/>
  <c r="AL179" i="24" a="1"/>
  <c r="AL179" i="24" s="1"/>
  <c r="AL164" i="24" a="1"/>
  <c r="AL164" i="24" s="1"/>
  <c r="AL213" i="24" a="1"/>
  <c r="AL213" i="24" s="1"/>
  <c r="AL167" i="24" a="1"/>
  <c r="AL167" i="24" s="1"/>
  <c r="AL143" i="24" a="1"/>
  <c r="AL143" i="24" s="1"/>
  <c r="AL178" i="24" a="1"/>
  <c r="AL178" i="24" s="1"/>
  <c r="AL146" i="24" a="1"/>
  <c r="AL146" i="24" s="1"/>
  <c r="AL138" i="24" a="1"/>
  <c r="AL138" i="24" s="1"/>
  <c r="AL118" i="24" a="1"/>
  <c r="AL118" i="24" s="1"/>
  <c r="AM118" i="24" s="1"/>
  <c r="AL171" i="24" a="1"/>
  <c r="AL171" i="24" s="1"/>
  <c r="AL192" i="24" a="1"/>
  <c r="AL192" i="24" s="1"/>
  <c r="AL219" i="24" a="1"/>
  <c r="AL219" i="24" s="1"/>
  <c r="AL195" i="24" a="1"/>
  <c r="AL195" i="24" s="1"/>
  <c r="AL166" i="24" a="1"/>
  <c r="AL166" i="24" s="1"/>
  <c r="AL142" i="24" a="1"/>
  <c r="AL142" i="24" s="1"/>
  <c r="AL123" i="24" a="1"/>
  <c r="AL123" i="24" s="1"/>
  <c r="AM123" i="24" s="1"/>
  <c r="AL177" i="24" a="1"/>
  <c r="AL177" i="24" s="1"/>
  <c r="AL153" i="24" a="1"/>
  <c r="AL153" i="24" s="1"/>
  <c r="AL122" i="24" a="1"/>
  <c r="AL122" i="24" s="1"/>
  <c r="AL128" i="24" a="1"/>
  <c r="AL128" i="24" s="1"/>
  <c r="AL215" i="24" a="1"/>
  <c r="AL215" i="24" s="1"/>
  <c r="AL218" i="24" a="1"/>
  <c r="AL218" i="24" s="1"/>
  <c r="AL223" i="24" a="1"/>
  <c r="AL223" i="24" s="1"/>
  <c r="AL194" i="24" a="1"/>
  <c r="AL194" i="24" s="1"/>
  <c r="AL131" i="24" a="1"/>
  <c r="AL131" i="24" s="1"/>
  <c r="AL207" i="24" a="1"/>
  <c r="AL207" i="24" s="1"/>
  <c r="AL148" i="24" a="1"/>
  <c r="AL148" i="24" s="1"/>
  <c r="AM148" i="24" s="1"/>
  <c r="AL193" i="24" a="1"/>
  <c r="AL193" i="24" s="1"/>
  <c r="AL136" i="24" a="1"/>
  <c r="AL136" i="24" s="1"/>
  <c r="AL121" i="24" a="1"/>
  <c r="AL121" i="24" s="1"/>
  <c r="AK6" i="6"/>
  <c r="R224" i="24"/>
  <c r="AS57" i="24"/>
  <c r="X169" i="24"/>
  <c r="Y169" i="24" s="1"/>
  <c r="AS15" i="24"/>
  <c r="X14" i="24"/>
  <c r="Y14" i="24" s="1"/>
  <c r="X166" i="24"/>
  <c r="Y166" i="24" s="1"/>
  <c r="W222" i="24"/>
  <c r="X224" i="24"/>
  <c r="Y224" i="24" s="1"/>
  <c r="X209" i="24"/>
  <c r="Y209" i="24" s="1"/>
  <c r="W223" i="24"/>
  <c r="X225" i="24"/>
  <c r="Y225" i="24" s="1"/>
  <c r="X168" i="24"/>
  <c r="Y168" i="24" s="1"/>
  <c r="W208" i="24"/>
  <c r="W225" i="24"/>
  <c r="X210" i="24"/>
  <c r="Y210" i="24" s="1"/>
  <c r="W165" i="24"/>
  <c r="W163" i="24"/>
  <c r="W169" i="24"/>
  <c r="W168" i="24"/>
  <c r="X163" i="24"/>
  <c r="Y163" i="24" s="1"/>
  <c r="X164" i="24"/>
  <c r="Y164" i="24" s="1"/>
  <c r="X165" i="24"/>
  <c r="Y165" i="24" s="1"/>
  <c r="X167" i="24"/>
  <c r="Y167" i="24" s="1"/>
  <c r="X223" i="24"/>
  <c r="Y223" i="24" s="1"/>
  <c r="X211" i="24"/>
  <c r="Y211" i="24" s="1"/>
  <c r="S8" i="6"/>
  <c r="S30" i="6"/>
  <c r="S27" i="6"/>
  <c r="S7" i="6"/>
  <c r="S15" i="6"/>
  <c r="S5" i="6"/>
  <c r="S11" i="6"/>
  <c r="S14" i="6"/>
  <c r="S12" i="6"/>
  <c r="S17" i="6"/>
  <c r="S3" i="6"/>
  <c r="S16" i="6"/>
  <c r="S6" i="6"/>
  <c r="S4" i="6"/>
  <c r="S9" i="6"/>
  <c r="S13" i="6"/>
  <c r="S10" i="6"/>
  <c r="S2" i="6"/>
  <c r="S22" i="6"/>
  <c r="S28" i="6"/>
  <c r="S31" i="6"/>
  <c r="S29" i="6"/>
  <c r="S34" i="6"/>
  <c r="S25" i="6"/>
  <c r="S32" i="6"/>
  <c r="S24" i="6"/>
  <c r="S20" i="6"/>
  <c r="S33" i="6"/>
  <c r="S23" i="6"/>
  <c r="S21" i="6"/>
  <c r="S26" i="6"/>
  <c r="S19" i="6"/>
  <c r="AS43" i="24"/>
  <c r="Q33" i="6"/>
  <c r="Q23" i="6"/>
  <c r="Q21" i="6"/>
  <c r="R15" i="24"/>
  <c r="D3" i="35" a="1"/>
  <c r="D3" i="35" s="1"/>
  <c r="Q30" i="6"/>
  <c r="Q27" i="6"/>
  <c r="Q31" i="6"/>
  <c r="Q29" i="6"/>
  <c r="Q34" i="6"/>
  <c r="Q24" i="6"/>
  <c r="Q20" i="6"/>
  <c r="Q26" i="6"/>
  <c r="AS85" i="24"/>
  <c r="Q25" i="6"/>
  <c r="Q32" i="6"/>
  <c r="Q22" i="6"/>
  <c r="Q28" i="6"/>
  <c r="BE119" i="1"/>
  <c r="Q8" i="6"/>
  <c r="Q7" i="6"/>
  <c r="Q19" i="6"/>
  <c r="Q14" i="6"/>
  <c r="Q12" i="6"/>
  <c r="Q17" i="6"/>
  <c r="Q3" i="6"/>
  <c r="L16" i="27" a="1"/>
  <c r="L16" i="27" s="1"/>
  <c r="Q16" i="6"/>
  <c r="Q6" i="6"/>
  <c r="Q4" i="6"/>
  <c r="Q9" i="6"/>
  <c r="Q13" i="6"/>
  <c r="Q10" i="6"/>
  <c r="Q15" i="6"/>
  <c r="Q5" i="6"/>
  <c r="Q11" i="6"/>
  <c r="Q2" i="6"/>
  <c r="R155" i="24"/>
  <c r="R127" i="24"/>
  <c r="R85" i="24"/>
  <c r="R197" i="24"/>
  <c r="R211" i="24"/>
  <c r="R70" i="24"/>
  <c r="R57" i="24"/>
  <c r="AS71" i="24"/>
  <c r="R182" i="24"/>
  <c r="R169" i="24"/>
  <c r="AB209" i="24"/>
  <c r="AA211" i="24"/>
  <c r="AB211" i="24" s="1"/>
  <c r="R112" i="24"/>
  <c r="AS183" i="24"/>
  <c r="R196" i="24"/>
  <c r="AS113" i="24"/>
  <c r="AS197" i="24"/>
  <c r="R126" i="24"/>
  <c r="R84" i="24"/>
  <c r="AS155" i="24"/>
  <c r="AS210" i="24"/>
  <c r="R210" i="24"/>
  <c r="AS140" i="24"/>
  <c r="AF140" i="24"/>
  <c r="AS84" i="24"/>
  <c r="AS126" i="24"/>
  <c r="AS141" i="24"/>
  <c r="I17" i="27" s="1" a="1"/>
  <c r="I17" i="27" s="1"/>
  <c r="AF141" i="24"/>
  <c r="AS29" i="24"/>
  <c r="AS127" i="24"/>
  <c r="AS70" i="24"/>
  <c r="AS224" i="24"/>
  <c r="R168" i="24"/>
  <c r="AS225" i="24"/>
  <c r="AS154" i="24"/>
  <c r="AA140" i="24"/>
  <c r="AB140" i="24" s="1"/>
  <c r="Z141" i="24"/>
  <c r="Z140" i="24"/>
  <c r="X141" i="24"/>
  <c r="Y141" i="24" s="1"/>
  <c r="X140" i="24"/>
  <c r="Y140" i="24" s="1"/>
  <c r="AS211" i="24"/>
  <c r="R154" i="24"/>
  <c r="R56" i="24"/>
  <c r="AS169" i="24"/>
  <c r="AS112" i="24"/>
  <c r="AS168" i="24"/>
  <c r="T140" i="24"/>
  <c r="T141" i="24"/>
  <c r="AS14" i="24"/>
  <c r="AF14" i="24"/>
  <c r="AS42" i="24"/>
  <c r="AS98" i="24"/>
  <c r="AS28" i="24"/>
  <c r="E24" i="27" s="1" a="1"/>
  <c r="E24" i="27" s="1"/>
  <c r="AS196" i="24"/>
  <c r="AS56" i="24"/>
  <c r="AA14" i="24"/>
  <c r="AB14" i="24" s="1"/>
  <c r="Z14" i="24"/>
  <c r="T15" i="24"/>
  <c r="L15" i="27" a="1"/>
  <c r="L15" i="27" s="1"/>
  <c r="K35" i="27" a="1"/>
  <c r="K35" i="27" s="1"/>
  <c r="AJ3" i="6"/>
  <c r="W15" i="24"/>
  <c r="AJ2" i="6"/>
  <c r="AJ7" i="6"/>
  <c r="X15" i="24"/>
  <c r="Y15" i="24" s="1"/>
  <c r="D177" i="19"/>
  <c r="D417" i="19"/>
  <c r="D326" i="19"/>
  <c r="D358" i="19"/>
  <c r="D406" i="19"/>
  <c r="D390" i="19"/>
  <c r="D342" i="19"/>
  <c r="D376" i="19"/>
  <c r="D324" i="19"/>
  <c r="D356" i="19"/>
  <c r="D404" i="19"/>
  <c r="D313" i="19"/>
  <c r="D345" i="19"/>
  <c r="D393" i="19"/>
  <c r="D413" i="19"/>
  <c r="D121" i="19"/>
  <c r="D329" i="19"/>
  <c r="D377" i="19"/>
  <c r="E8" i="19" a="1"/>
  <c r="E8" i="19" s="1"/>
  <c r="D369" i="19"/>
  <c r="D386" i="19"/>
  <c r="D379" i="19"/>
  <c r="D387" i="19"/>
  <c r="D414" i="19"/>
  <c r="D382" i="19"/>
  <c r="D334" i="19"/>
  <c r="D391" i="19"/>
  <c r="D389" i="19"/>
  <c r="D378" i="19"/>
  <c r="D384" i="19"/>
  <c r="D381" i="19"/>
  <c r="D380" i="19"/>
  <c r="D419" i="19"/>
  <c r="D416" i="19"/>
  <c r="D422" i="19"/>
  <c r="D409" i="19"/>
  <c r="D408" i="19"/>
  <c r="D423" i="19"/>
  <c r="D421" i="19"/>
  <c r="D335" i="19"/>
  <c r="D383" i="19"/>
  <c r="D337" i="19"/>
  <c r="D385" i="19"/>
  <c r="D238" i="19"/>
  <c r="D366" i="19"/>
  <c r="D246" i="19"/>
  <c r="D374" i="19"/>
  <c r="D240" i="19"/>
  <c r="D368" i="19"/>
  <c r="D236" i="19"/>
  <c r="D364" i="19"/>
  <c r="D233" i="19"/>
  <c r="D361" i="19"/>
  <c r="D237" i="19"/>
  <c r="D365" i="19"/>
  <c r="D232" i="19"/>
  <c r="D360" i="19"/>
  <c r="D247" i="19"/>
  <c r="D375" i="19"/>
  <c r="D243" i="19"/>
  <c r="D371" i="19"/>
  <c r="D318" i="19"/>
  <c r="D350" i="19"/>
  <c r="D244" i="19"/>
  <c r="D372" i="19"/>
  <c r="D245" i="19"/>
  <c r="D373" i="19"/>
  <c r="D307" i="19"/>
  <c r="D339" i="19"/>
  <c r="D298" i="19"/>
  <c r="D330" i="19"/>
  <c r="D321" i="19"/>
  <c r="D353" i="19"/>
  <c r="D314" i="19"/>
  <c r="D346" i="19"/>
  <c r="D306" i="19"/>
  <c r="D338" i="19"/>
  <c r="D325" i="19"/>
  <c r="D357" i="19"/>
  <c r="D327" i="19"/>
  <c r="D359" i="19"/>
  <c r="D322" i="19"/>
  <c r="D354" i="19"/>
  <c r="D311" i="19"/>
  <c r="D343" i="19"/>
  <c r="D304" i="19"/>
  <c r="D336" i="19"/>
  <c r="D323" i="19"/>
  <c r="D355" i="19"/>
  <c r="D296" i="19"/>
  <c r="D328" i="19"/>
  <c r="D299" i="19"/>
  <c r="D331" i="19"/>
  <c r="D315" i="19"/>
  <c r="D347" i="19"/>
  <c r="D301" i="19"/>
  <c r="D333" i="19"/>
  <c r="D319" i="19"/>
  <c r="D351" i="19"/>
  <c r="D320" i="19"/>
  <c r="D352" i="19"/>
  <c r="D316" i="19"/>
  <c r="D348" i="19"/>
  <c r="D300" i="19"/>
  <c r="D332" i="19"/>
  <c r="D317" i="19"/>
  <c r="D349" i="19"/>
  <c r="D309" i="19"/>
  <c r="D341" i="19"/>
  <c r="D255" i="19"/>
  <c r="D303" i="19"/>
  <c r="D257" i="19"/>
  <c r="D305" i="19"/>
  <c r="D185" i="19"/>
  <c r="D249" i="19"/>
  <c r="D208" i="19"/>
  <c r="D272" i="19"/>
  <c r="D230" i="19"/>
  <c r="D294" i="19"/>
  <c r="D204" i="19"/>
  <c r="D268" i="19"/>
  <c r="D162" i="19"/>
  <c r="D178" i="19"/>
  <c r="D270" i="19"/>
  <c r="D206" i="19"/>
  <c r="D157" i="19"/>
  <c r="D173" i="19"/>
  <c r="D190" i="19"/>
  <c r="D254" i="19"/>
  <c r="D228" i="19"/>
  <c r="D292" i="19"/>
  <c r="D217" i="19"/>
  <c r="D281" i="19"/>
  <c r="D159" i="19"/>
  <c r="D175" i="19"/>
  <c r="D196" i="19"/>
  <c r="D260" i="19"/>
  <c r="D213" i="19"/>
  <c r="D277" i="19"/>
  <c r="D216" i="19"/>
  <c r="D280" i="19"/>
  <c r="D195" i="19"/>
  <c r="D259" i="19"/>
  <c r="D211" i="19"/>
  <c r="D275" i="19"/>
  <c r="D186" i="19"/>
  <c r="D250" i="19"/>
  <c r="D205" i="19"/>
  <c r="D269" i="19"/>
  <c r="D210" i="19"/>
  <c r="D274" i="19"/>
  <c r="D225" i="19"/>
  <c r="D289" i="19"/>
  <c r="D218" i="19"/>
  <c r="D282" i="19"/>
  <c r="D194" i="19"/>
  <c r="D258" i="19"/>
  <c r="D229" i="19"/>
  <c r="D293" i="19"/>
  <c r="D231" i="19"/>
  <c r="D295" i="19"/>
  <c r="D226" i="19"/>
  <c r="D290" i="19"/>
  <c r="D199" i="19"/>
  <c r="D263" i="19"/>
  <c r="D203" i="19"/>
  <c r="D267" i="19"/>
  <c r="D192" i="19"/>
  <c r="D256" i="19"/>
  <c r="D227" i="19"/>
  <c r="D291" i="19"/>
  <c r="D212" i="19"/>
  <c r="D276" i="19"/>
  <c r="D184" i="19"/>
  <c r="D248" i="19"/>
  <c r="D223" i="19"/>
  <c r="D287" i="19"/>
  <c r="D187" i="19"/>
  <c r="D251" i="19"/>
  <c r="D200" i="19"/>
  <c r="D264" i="19"/>
  <c r="D207" i="19"/>
  <c r="D271" i="19"/>
  <c r="D219" i="19"/>
  <c r="D283" i="19"/>
  <c r="D189" i="19"/>
  <c r="D253" i="19"/>
  <c r="D214" i="19"/>
  <c r="D278" i="19"/>
  <c r="D220" i="19"/>
  <c r="D284" i="19"/>
  <c r="D215" i="19"/>
  <c r="D279" i="19"/>
  <c r="D209" i="19"/>
  <c r="D273" i="19"/>
  <c r="D188" i="19"/>
  <c r="D252" i="19"/>
  <c r="D222" i="19"/>
  <c r="D286" i="19"/>
  <c r="D224" i="19"/>
  <c r="D288" i="19"/>
  <c r="D221" i="19"/>
  <c r="D285" i="19"/>
  <c r="D201" i="19"/>
  <c r="D265" i="19"/>
  <c r="D197" i="19"/>
  <c r="D261" i="19"/>
  <c r="D202" i="19"/>
  <c r="D266" i="19"/>
  <c r="D79" i="19"/>
  <c r="D191" i="19"/>
  <c r="D165" i="19"/>
  <c r="D181" i="19"/>
  <c r="D166" i="19"/>
  <c r="D182" i="19"/>
  <c r="D152" i="19"/>
  <c r="D168" i="19"/>
  <c r="D164" i="19"/>
  <c r="D180" i="19"/>
  <c r="D163" i="19"/>
  <c r="D179" i="19"/>
  <c r="D156" i="19"/>
  <c r="D172" i="19"/>
  <c r="K11" i="19" a="1"/>
  <c r="K11" i="19" s="1"/>
  <c r="D193" i="19"/>
  <c r="D158" i="19"/>
  <c r="D174" i="19"/>
  <c r="D155" i="19"/>
  <c r="D171" i="19"/>
  <c r="D160" i="19"/>
  <c r="D176" i="19"/>
  <c r="D167" i="19"/>
  <c r="D183" i="19"/>
  <c r="E56" i="35"/>
  <c r="E72" i="35"/>
  <c r="D151" i="19"/>
  <c r="D119" i="19"/>
  <c r="D132" i="19"/>
  <c r="D100" i="19"/>
  <c r="D21" i="35"/>
  <c r="D31" i="35"/>
  <c r="D88" i="35"/>
  <c r="K9" i="19" a="1"/>
  <c r="K9" i="19" s="1"/>
  <c r="D161" i="19"/>
  <c r="D102" i="19"/>
  <c r="D134" i="19"/>
  <c r="E40" i="35"/>
  <c r="D150" i="19"/>
  <c r="D118" i="19"/>
  <c r="D86" i="19"/>
  <c r="D89" i="35"/>
  <c r="D32" i="35"/>
  <c r="D88" i="19"/>
  <c r="D23" i="35"/>
  <c r="D33" i="35"/>
  <c r="D30" i="35"/>
  <c r="D26" i="35"/>
  <c r="D136" i="19"/>
  <c r="D104" i="19"/>
  <c r="D91" i="19"/>
  <c r="D123" i="19"/>
  <c r="D93" i="19"/>
  <c r="D125" i="19"/>
  <c r="D101" i="19"/>
  <c r="D133" i="19"/>
  <c r="D115" i="19"/>
  <c r="D147" i="19"/>
  <c r="D114" i="19"/>
  <c r="D146" i="19"/>
  <c r="D108" i="19"/>
  <c r="D140" i="19"/>
  <c r="D94" i="19"/>
  <c r="D126" i="19"/>
  <c r="D96" i="19"/>
  <c r="D128" i="19"/>
  <c r="D98" i="19"/>
  <c r="D130" i="19"/>
  <c r="D117" i="19"/>
  <c r="D149" i="19"/>
  <c r="D95" i="19"/>
  <c r="D127" i="19"/>
  <c r="D107" i="19"/>
  <c r="D139" i="19"/>
  <c r="D112" i="19"/>
  <c r="D144" i="19"/>
  <c r="D109" i="19"/>
  <c r="D141" i="19"/>
  <c r="D106" i="19"/>
  <c r="D138" i="19"/>
  <c r="D92" i="19"/>
  <c r="D124" i="19"/>
  <c r="D111" i="19"/>
  <c r="D143" i="19"/>
  <c r="D99" i="19"/>
  <c r="D131" i="19"/>
  <c r="D84" i="19"/>
  <c r="D116" i="19"/>
  <c r="D81" i="19"/>
  <c r="D113" i="19"/>
  <c r="D78" i="19"/>
  <c r="D110" i="19"/>
  <c r="E13" i="19" a="1"/>
  <c r="E13" i="19" s="1"/>
  <c r="D410" i="19" s="1"/>
  <c r="D97" i="19"/>
  <c r="D90" i="19"/>
  <c r="F12" i="19" a="1"/>
  <c r="F12" i="19" s="1"/>
  <c r="D411" i="19" s="1"/>
  <c r="D89" i="19"/>
  <c r="D83" i="19"/>
  <c r="D74" i="19"/>
  <c r="D82" i="19"/>
  <c r="D80" i="19"/>
  <c r="D75" i="19"/>
  <c r="D77" i="19"/>
  <c r="D76" i="19"/>
  <c r="D69" i="19"/>
  <c r="D85" i="19"/>
  <c r="D71" i="19"/>
  <c r="D87" i="19"/>
  <c r="L14" i="27" a="1"/>
  <c r="L14" i="27" s="1"/>
  <c r="K34" i="27" a="1"/>
  <c r="K34" i="27" s="1"/>
  <c r="X13" i="24"/>
  <c r="Y13" i="24" s="1"/>
  <c r="AG6" i="6"/>
  <c r="AG2" i="6"/>
  <c r="AW12" i="6" a="1"/>
  <c r="AW12" i="6" s="1"/>
  <c r="AW7" i="6" a="1"/>
  <c r="AW7" i="6" s="1"/>
  <c r="AX3" i="6" a="1"/>
  <c r="AX3" i="6" s="1"/>
  <c r="AX7" i="6" a="1"/>
  <c r="AX7" i="6" s="1"/>
  <c r="AX6" i="6" a="1"/>
  <c r="AX6" i="6" s="1"/>
  <c r="AX8" i="6" a="1"/>
  <c r="AX8" i="6" s="1"/>
  <c r="AX15" i="6" a="1"/>
  <c r="AX15" i="6" s="1"/>
  <c r="AX12" i="6" a="1"/>
  <c r="AX12" i="6" s="1"/>
  <c r="AW5" i="6" a="1"/>
  <c r="AW5" i="6" s="1"/>
  <c r="AX5" i="6" a="1"/>
  <c r="AX5" i="6" s="1"/>
  <c r="AW15" i="6" a="1"/>
  <c r="AW15" i="6" s="1"/>
  <c r="AW14" i="6" a="1"/>
  <c r="AW14" i="6" s="1"/>
  <c r="D21" i="19"/>
  <c r="Y6" i="6"/>
  <c r="AA7" i="6"/>
  <c r="AA3" i="6"/>
  <c r="Z2" i="6"/>
  <c r="AD6" i="6"/>
  <c r="AG7" i="6"/>
  <c r="AH3" i="6"/>
  <c r="Y7" i="6"/>
  <c r="AC3" i="6"/>
  <c r="AA2" i="6"/>
  <c r="AE3" i="6"/>
  <c r="AF7" i="6"/>
  <c r="AI2" i="6"/>
  <c r="Z6" i="6"/>
  <c r="AB3" i="6"/>
  <c r="X2" i="6"/>
  <c r="AD3" i="6"/>
  <c r="AH2" i="6"/>
  <c r="AB6" i="6"/>
  <c r="Z3" i="6"/>
  <c r="Y2" i="6"/>
  <c r="AE2" i="6"/>
  <c r="AF6" i="6"/>
  <c r="AI7" i="6"/>
  <c r="AB7" i="6"/>
  <c r="AC6" i="6"/>
  <c r="X3" i="6"/>
  <c r="AD2" i="6"/>
  <c r="AG3" i="6"/>
  <c r="AH7" i="6"/>
  <c r="Z7" i="6"/>
  <c r="AA6" i="6"/>
  <c r="Y3" i="6"/>
  <c r="AE7" i="6"/>
  <c r="AF3" i="6"/>
  <c r="AI6" i="6"/>
  <c r="AC7" i="6"/>
  <c r="AC2" i="6"/>
  <c r="AD7" i="6"/>
  <c r="AH6" i="6"/>
  <c r="AB2" i="6"/>
  <c r="AE6" i="6"/>
  <c r="AF2" i="6"/>
  <c r="AI3" i="6"/>
  <c r="BC122" i="1"/>
  <c r="D68" i="19"/>
  <c r="D23" i="19"/>
  <c r="D44" i="19"/>
  <c r="D24" i="19"/>
  <c r="D41" i="19"/>
  <c r="D25" i="19"/>
  <c r="D26" i="19"/>
  <c r="N5" i="19" a="1"/>
  <c r="N5" i="19" s="1"/>
  <c r="M5" i="19" a="1"/>
  <c r="M5" i="19" s="1"/>
  <c r="E5" i="19" a="1"/>
  <c r="E5" i="19" s="1"/>
  <c r="O5" i="19" a="1"/>
  <c r="O5" i="19" s="1"/>
  <c r="K5" i="19" a="1"/>
  <c r="K5" i="19" s="1"/>
  <c r="I5" i="19" a="1"/>
  <c r="I5" i="19" s="1"/>
  <c r="Q5" i="19" a="1"/>
  <c r="Q5" i="19" s="1"/>
  <c r="J5" i="19" a="1"/>
  <c r="J5" i="19" s="1"/>
  <c r="H5" i="19" a="1"/>
  <c r="H5" i="19" s="1"/>
  <c r="G5" i="19" a="1"/>
  <c r="G5" i="19" s="1"/>
  <c r="C5" i="19" a="1"/>
  <c r="C5" i="19" s="1"/>
  <c r="D28" i="19" s="1"/>
  <c r="P5" i="19" a="1"/>
  <c r="P5" i="19" s="1"/>
  <c r="R5" i="19" a="1"/>
  <c r="R5" i="19" s="1"/>
  <c r="F5" i="19" a="1"/>
  <c r="F5" i="19" s="1"/>
  <c r="D27" i="19" s="1"/>
  <c r="D5" i="19" a="1"/>
  <c r="D5" i="19" s="1"/>
  <c r="D29" i="19" s="1"/>
  <c r="L5" i="19" a="1"/>
  <c r="L5" i="19" s="1"/>
  <c r="D66" i="19"/>
  <c r="D22" i="19"/>
  <c r="D67" i="19"/>
  <c r="D39" i="19"/>
  <c r="D40" i="19"/>
  <c r="BB125" i="1"/>
  <c r="AZ124" i="1"/>
  <c r="BE126" i="1"/>
  <c r="BD127" i="1"/>
  <c r="BC133" i="1"/>
  <c r="BD124" i="1"/>
  <c r="BA126" i="1"/>
  <c r="BE127" i="1"/>
  <c r="AZ125" i="1"/>
  <c r="BD126" i="1"/>
  <c r="AZ122" i="1"/>
  <c r="BD133" i="1"/>
  <c r="AZ126" i="1"/>
  <c r="BB122" i="1"/>
  <c r="BB124" i="1"/>
  <c r="BA122" i="1"/>
  <c r="BB127" i="1"/>
  <c r="BD125" i="1"/>
  <c r="BA124" i="1"/>
  <c r="BE122" i="1"/>
  <c r="BC127" i="1"/>
  <c r="BA125" i="1"/>
  <c r="BB126" i="1"/>
  <c r="BC124" i="1"/>
  <c r="BD122" i="1"/>
  <c r="AZ127" i="1"/>
  <c r="BA133" i="1"/>
  <c r="BC125" i="1"/>
  <c r="BC126" i="1"/>
  <c r="BE124" i="1"/>
  <c r="BA127" i="1"/>
  <c r="BE125" i="1"/>
  <c r="BB105" i="1"/>
  <c r="BC119" i="1"/>
  <c r="BA119" i="1"/>
  <c r="BB119" i="1"/>
  <c r="BD119" i="1"/>
  <c r="AZ119" i="1"/>
  <c r="BE130" i="1"/>
  <c r="BC130" i="1"/>
  <c r="BB130" i="1"/>
  <c r="AZ130" i="1"/>
  <c r="BA130" i="1"/>
  <c r="BD130" i="1"/>
  <c r="AV131" i="1" a="1"/>
  <c r="AV131" i="1" s="1"/>
  <c r="BC131" i="1" s="1"/>
  <c r="T31" i="6" a="1"/>
  <c r="T31" i="6" s="1"/>
  <c r="BB102" i="1"/>
  <c r="BB128" i="1"/>
  <c r="BA132" i="1"/>
  <c r="BC128" i="1"/>
  <c r="BD128" i="1"/>
  <c r="AZ128" i="1"/>
  <c r="BE128" i="1"/>
  <c r="BA128" i="1"/>
  <c r="T34" i="6" a="1"/>
  <c r="T34" i="6" s="1"/>
  <c r="BC132" i="1"/>
  <c r="AZ132" i="1"/>
  <c r="BB132" i="1"/>
  <c r="BD132" i="1"/>
  <c r="BE132" i="1"/>
  <c r="BE103" i="1"/>
  <c r="BC103" i="1"/>
  <c r="AZ103" i="1"/>
  <c r="BA103" i="1"/>
  <c r="BD103" i="1"/>
  <c r="BB103" i="1"/>
  <c r="BC104" i="1"/>
  <c r="BA104" i="1"/>
  <c r="BD104" i="1"/>
  <c r="AZ104" i="1"/>
  <c r="BB104" i="1"/>
  <c r="BE104" i="1"/>
  <c r="T32" i="6" a="1"/>
  <c r="T32" i="6" s="1"/>
  <c r="AZ133" i="1" l="1"/>
  <c r="BE133" i="1"/>
  <c r="W210" i="24"/>
  <c r="V211" i="24"/>
  <c r="W211" i="24" s="1"/>
  <c r="BC129" i="1"/>
  <c r="AM153" i="24"/>
  <c r="AM194" i="24"/>
  <c r="BB123" i="1"/>
  <c r="BD129" i="1"/>
  <c r="BB129" i="1"/>
  <c r="BE129" i="1"/>
  <c r="AM188" i="24"/>
  <c r="BA129" i="1"/>
  <c r="AM121" i="24"/>
  <c r="AM120" i="24"/>
  <c r="V218" i="24"/>
  <c r="W218" i="24" s="1"/>
  <c r="AW17" i="6" s="1" a="1"/>
  <c r="AW17" i="6" s="1"/>
  <c r="W217" i="24"/>
  <c r="AM185" i="24"/>
  <c r="BE123" i="1"/>
  <c r="W14" i="24"/>
  <c r="BC123" i="1"/>
  <c r="AN124" i="24"/>
  <c r="BA123" i="1"/>
  <c r="BD123" i="1"/>
  <c r="W164" i="24"/>
  <c r="BB121" i="1"/>
  <c r="BD121" i="1"/>
  <c r="BA121" i="1"/>
  <c r="BE121" i="1"/>
  <c r="BC121" i="1"/>
  <c r="AZ121" i="1"/>
  <c r="AN83" i="24"/>
  <c r="BC120" i="1"/>
  <c r="BD120" i="1"/>
  <c r="BE120" i="1"/>
  <c r="BB120" i="1"/>
  <c r="BA120" i="1"/>
  <c r="AZ120" i="1"/>
  <c r="AM193" i="24"/>
  <c r="AM25" i="24"/>
  <c r="AM83" i="24"/>
  <c r="AM23" i="24"/>
  <c r="AM20" i="24"/>
  <c r="AN149" i="24"/>
  <c r="AN21" i="24"/>
  <c r="AM122" i="24"/>
  <c r="AN91" i="24"/>
  <c r="AM91" i="24"/>
  <c r="AN65" i="24"/>
  <c r="AN150" i="24"/>
  <c r="AN122" i="24"/>
  <c r="AN123" i="24"/>
  <c r="AN125" i="24"/>
  <c r="AN121" i="24"/>
  <c r="AN194" i="24"/>
  <c r="AN188" i="24"/>
  <c r="AN118" i="24"/>
  <c r="AN120" i="24"/>
  <c r="AN193" i="24"/>
  <c r="AN115" i="24"/>
  <c r="AN153" i="24"/>
  <c r="AN148" i="24"/>
  <c r="AN185" i="24"/>
  <c r="AN69" i="24"/>
  <c r="AN62" i="24"/>
  <c r="AN67" i="24"/>
  <c r="W209" i="24"/>
  <c r="AN23" i="24"/>
  <c r="AN25" i="24"/>
  <c r="AN20" i="24"/>
  <c r="W24" i="24"/>
  <c r="AW3" i="6" s="1" a="1"/>
  <c r="AW3" i="6" s="1"/>
  <c r="W23" i="24"/>
  <c r="E27" i="27" a="1"/>
  <c r="E27" i="27" s="1"/>
  <c r="R113" i="24"/>
  <c r="W9" i="24"/>
  <c r="W11" i="24"/>
  <c r="AX11" i="6" a="1"/>
  <c r="AX11" i="6" s="1"/>
  <c r="AW16" i="6" a="1"/>
  <c r="AW16" i="6" s="1"/>
  <c r="R225" i="24"/>
  <c r="AB216" i="24"/>
  <c r="AB217" i="24" s="1"/>
  <c r="AB218" i="24" s="1"/>
  <c r="AB219" i="24" s="1"/>
  <c r="AB220" i="24" s="1"/>
  <c r="AB221" i="24" s="1"/>
  <c r="AB222" i="24" s="1"/>
  <c r="AB223" i="24" s="1"/>
  <c r="AB224" i="24" s="1"/>
  <c r="R183" i="24"/>
  <c r="AB205" i="24"/>
  <c r="AB206" i="24" s="1"/>
  <c r="AB207" i="24" s="1"/>
  <c r="E23" i="27" a="1"/>
  <c r="E23" i="27" s="1"/>
  <c r="E26" i="27" a="1"/>
  <c r="E26" i="27" s="1"/>
  <c r="R71" i="24"/>
  <c r="E29" i="27" a="1"/>
  <c r="E29" i="27" s="1"/>
  <c r="AO23" i="24" a="1"/>
  <c r="AO23" i="24" s="1"/>
  <c r="E25" i="27" a="1"/>
  <c r="E25" i="27" s="1"/>
  <c r="E33" i="27" a="1"/>
  <c r="E33" i="27" s="1"/>
  <c r="E34" i="27" a="1"/>
  <c r="E34" i="27" s="1"/>
  <c r="R99" i="24"/>
  <c r="AH99" i="24"/>
  <c r="AH29" i="24"/>
  <c r="R29" i="24"/>
  <c r="E31" i="27" a="1"/>
  <c r="E31" i="27" s="1"/>
  <c r="E30" i="27" a="1"/>
  <c r="E30" i="27" s="1"/>
  <c r="E38" i="27" a="1"/>
  <c r="E38" i="27" s="1"/>
  <c r="E36" i="27" a="1"/>
  <c r="E36" i="27" s="1"/>
  <c r="E37" i="27" a="1"/>
  <c r="E37" i="27" s="1"/>
  <c r="E28" i="27" a="1"/>
  <c r="E28" i="27" s="1"/>
  <c r="E35" i="27" a="1"/>
  <c r="E35" i="27" s="1"/>
  <c r="AO21" i="24" a="1"/>
  <c r="AO21" i="24" s="1"/>
  <c r="AO115" i="24" a="1"/>
  <c r="AO115" i="24" s="1"/>
  <c r="AO25" i="24" a="1"/>
  <c r="AO25" i="24" s="1"/>
  <c r="AH140" i="24"/>
  <c r="AH141" i="24"/>
  <c r="AH14" i="24"/>
  <c r="AK159" i="24" a="1"/>
  <c r="AK159" i="24" s="1"/>
  <c r="AK156" i="24" a="1"/>
  <c r="AK156" i="24" s="1"/>
  <c r="AK133" i="24" a="1"/>
  <c r="AK133" i="24" s="1"/>
  <c r="AL161" i="24" a="1"/>
  <c r="AL161" i="24" s="1"/>
  <c r="AL119" i="24" a="1"/>
  <c r="AL119" i="24" s="1"/>
  <c r="AM119" i="24" s="1"/>
  <c r="AL212" i="24" a="1"/>
  <c r="AL212" i="24" s="1"/>
  <c r="AL114" i="24" a="1"/>
  <c r="AL114" i="24" s="1"/>
  <c r="AM114" i="24" s="1"/>
  <c r="AL184" i="24" a="1"/>
  <c r="AL184" i="24" s="1"/>
  <c r="AL189" i="24" a="1"/>
  <c r="AL189" i="24" s="1"/>
  <c r="AK114" i="24" a="1"/>
  <c r="AK114" i="24" s="1"/>
  <c r="AL170" i="24" a="1"/>
  <c r="AL170" i="24" s="1"/>
  <c r="AL217" i="24" a="1"/>
  <c r="AL217" i="24" s="1"/>
  <c r="AK142" i="24" a="1"/>
  <c r="AK142" i="24" s="1"/>
  <c r="AN142" i="24" s="1"/>
  <c r="AK184" i="24" a="1"/>
  <c r="AK184" i="24" s="1"/>
  <c r="AK189" i="24" a="1"/>
  <c r="AK189" i="24" s="1"/>
  <c r="AK130" i="24" a="1"/>
  <c r="AK130" i="24" s="1"/>
  <c r="AL147" i="24" a="1"/>
  <c r="AL147" i="24" s="1"/>
  <c r="AL158" i="24" a="1"/>
  <c r="AL158" i="24" s="1"/>
  <c r="AL175" i="24" a="1"/>
  <c r="AL175" i="24" s="1"/>
  <c r="AK161" i="24" a="1"/>
  <c r="AK161" i="24" s="1"/>
  <c r="AK203" i="24" a="1"/>
  <c r="AK203" i="24" s="1"/>
  <c r="AK119" i="24" a="1"/>
  <c r="AK119" i="24" s="1"/>
  <c r="AL198" i="24" a="1"/>
  <c r="AL198" i="24" s="1"/>
  <c r="AL172" i="24" a="1"/>
  <c r="AL172" i="24" s="1"/>
  <c r="AL200" i="24" a="1"/>
  <c r="AL200" i="24" s="1"/>
  <c r="AK198" i="24" a="1"/>
  <c r="AK198" i="24" s="1"/>
  <c r="AK175" i="24" a="1"/>
  <c r="AK175" i="24" s="1"/>
  <c r="AK128" i="24" a="1"/>
  <c r="AK128" i="24" s="1"/>
  <c r="AK200" i="24" a="1"/>
  <c r="AK200" i="24" s="1"/>
  <c r="AL133" i="24" a="1"/>
  <c r="AL133" i="24" s="1"/>
  <c r="AL156" i="24" a="1"/>
  <c r="AL156" i="24" s="1"/>
  <c r="AL214" i="24" a="1"/>
  <c r="AL214" i="24" s="1"/>
  <c r="AL130" i="24" a="1"/>
  <c r="AL130" i="24" s="1"/>
  <c r="AK170" i="24" a="1"/>
  <c r="AK170" i="24" s="1"/>
  <c r="AK172" i="24" a="1"/>
  <c r="AK172" i="24" s="1"/>
  <c r="AL144" i="24" a="1"/>
  <c r="AL144" i="24" s="1"/>
  <c r="AL186" i="24" a="1"/>
  <c r="AL186" i="24" s="1"/>
  <c r="AL203" i="24" a="1"/>
  <c r="AL203" i="24" s="1"/>
  <c r="AL116" i="24" a="1"/>
  <c r="AL116" i="24" s="1"/>
  <c r="AK147" i="24" a="1"/>
  <c r="AK147" i="24" s="1"/>
  <c r="AK116" i="24" a="1"/>
  <c r="AK116" i="24" s="1"/>
  <c r="AK158" i="24" a="1"/>
  <c r="AK158" i="24" s="1"/>
  <c r="AK186" i="24" a="1"/>
  <c r="AK186" i="24" s="1"/>
  <c r="AK144" i="24" a="1"/>
  <c r="AK144" i="24" s="1"/>
  <c r="AK221" i="24" a="1"/>
  <c r="AK221" i="24" s="1"/>
  <c r="AK173" i="24" a="1"/>
  <c r="AK173" i="24" s="1"/>
  <c r="AK220" i="24" a="1"/>
  <c r="AK220" i="24" s="1"/>
  <c r="AK216" i="24" a="1"/>
  <c r="AK216" i="24" s="1"/>
  <c r="AK218" i="24" a="1"/>
  <c r="AK218" i="24" s="1"/>
  <c r="AK174" i="24" a="1"/>
  <c r="AK174" i="24" s="1"/>
  <c r="AK219" i="24" a="1"/>
  <c r="AK219" i="24" s="1"/>
  <c r="AK217" i="24" a="1"/>
  <c r="AK217" i="24" s="1"/>
  <c r="AK45" i="24" a="1"/>
  <c r="AK45" i="24" s="1"/>
  <c r="AL45" i="24" a="1"/>
  <c r="AL45" i="24" s="1"/>
  <c r="AK213" i="24" a="1"/>
  <c r="AK213" i="24" s="1"/>
  <c r="AK31" i="24" a="1"/>
  <c r="AK31" i="24" s="1"/>
  <c r="AL31" i="24" a="1"/>
  <c r="AL31" i="24" s="1"/>
  <c r="AK214" i="24" a="1"/>
  <c r="AK214" i="24" s="1"/>
  <c r="AK59" i="24" a="1"/>
  <c r="AK59" i="24" s="1"/>
  <c r="AL59" i="24" a="1"/>
  <c r="AL59" i="24" s="1"/>
  <c r="AK3" i="24" a="1"/>
  <c r="AK3" i="24" s="1"/>
  <c r="AL101" i="24" a="1"/>
  <c r="AL101" i="24" s="1"/>
  <c r="AK73" i="24" a="1"/>
  <c r="AK73" i="24" s="1"/>
  <c r="AL3" i="24" a="1"/>
  <c r="AL3" i="24" s="1"/>
  <c r="AK17" i="24" a="1"/>
  <c r="AK17" i="24" s="1"/>
  <c r="AL73" i="24" a="1"/>
  <c r="AL73" i="24" s="1"/>
  <c r="AL17" i="24" a="1"/>
  <c r="AL17" i="24" s="1"/>
  <c r="AK101" i="24" a="1"/>
  <c r="AK101" i="24" s="1"/>
  <c r="AK87" i="24" a="1"/>
  <c r="AK87" i="24" s="1"/>
  <c r="AL87" i="24" a="1"/>
  <c r="AL87" i="24" s="1"/>
  <c r="AM87" i="24" s="1"/>
  <c r="AK212" i="24" a="1"/>
  <c r="AK212" i="24" s="1"/>
  <c r="AK215" i="24" a="1"/>
  <c r="AK215" i="24" s="1"/>
  <c r="AK86" i="24" a="1"/>
  <c r="AK86" i="24" s="1"/>
  <c r="AL72" i="24" a="1"/>
  <c r="AL72" i="24" s="1"/>
  <c r="AK100" i="24" a="1"/>
  <c r="AK100" i="24" s="1"/>
  <c r="AL30" i="24" a="1"/>
  <c r="AL30" i="24" s="1"/>
  <c r="AK2" i="24" a="1"/>
  <c r="AK2" i="24" s="1"/>
  <c r="AL44" i="24" a="1"/>
  <c r="AL44" i="24" s="1"/>
  <c r="AK58" i="24" a="1"/>
  <c r="AK58" i="24" s="1"/>
  <c r="AL86" i="24" a="1"/>
  <c r="AL86" i="24" s="1"/>
  <c r="AK72" i="24" a="1"/>
  <c r="AK72" i="24" s="1"/>
  <c r="AL100" i="24" a="1"/>
  <c r="AL100" i="24" s="1"/>
  <c r="AM100" i="24" s="1"/>
  <c r="AK44" i="24" a="1"/>
  <c r="AK44" i="24" s="1"/>
  <c r="AL2" i="24" a="1"/>
  <c r="AL2" i="24" s="1"/>
  <c r="AN117" i="24" s="1"/>
  <c r="AK30" i="24" a="1"/>
  <c r="AK30" i="24" s="1"/>
  <c r="AL58" i="24" a="1"/>
  <c r="AL58" i="24" s="1"/>
  <c r="AK16" i="24" a="1"/>
  <c r="AK16" i="24" s="1"/>
  <c r="AL16" i="24" a="1"/>
  <c r="AL16" i="24" s="1"/>
  <c r="R141" i="24"/>
  <c r="R14" i="24"/>
  <c r="R140" i="24"/>
  <c r="E32" i="27" a="1"/>
  <c r="E32" i="27" s="1"/>
  <c r="I16" i="27" a="1"/>
  <c r="I16" i="27" s="1"/>
  <c r="I18" i="27" s="1"/>
  <c r="AX2" i="6" a="1"/>
  <c r="AX2" i="6" s="1"/>
  <c r="AX17" i="6" a="1"/>
  <c r="AX17" i="6" s="1"/>
  <c r="AW2" i="6" a="1"/>
  <c r="AW2" i="6" s="1"/>
  <c r="AX16" i="6" a="1"/>
  <c r="AX16" i="6" s="1"/>
  <c r="E392" i="19"/>
  <c r="D43" i="19"/>
  <c r="E408" i="19"/>
  <c r="E376" i="19"/>
  <c r="E328" i="19"/>
  <c r="E344" i="19"/>
  <c r="D235" i="19"/>
  <c r="E232" i="19" s="1"/>
  <c r="D363" i="19"/>
  <c r="E360" i="19" s="1"/>
  <c r="E312" i="19"/>
  <c r="E296" i="19"/>
  <c r="E216" i="19"/>
  <c r="E200" i="19"/>
  <c r="E184" i="19"/>
  <c r="E280" i="19"/>
  <c r="E248" i="19"/>
  <c r="E264" i="19"/>
  <c r="D154" i="19"/>
  <c r="E152" i="19" s="1"/>
  <c r="D170" i="19"/>
  <c r="E168" i="19" s="1"/>
  <c r="E136" i="19"/>
  <c r="E120" i="19"/>
  <c r="E104" i="19"/>
  <c r="E88" i="19"/>
  <c r="AW13" i="6" a="1"/>
  <c r="AW13" i="6" s="1"/>
  <c r="E72" i="19"/>
  <c r="W19" i="1"/>
  <c r="AX13" i="6" a="1"/>
  <c r="AX13" i="6" s="1"/>
  <c r="L11" i="27" a="1"/>
  <c r="L11" i="27" s="1"/>
  <c r="L12" i="27" a="1"/>
  <c r="L12" i="27" s="1"/>
  <c r="L13" i="27" a="1"/>
  <c r="L13" i="27" s="1"/>
  <c r="AM3" i="6"/>
  <c r="AM2" i="6"/>
  <c r="AV20" i="6"/>
  <c r="I45" i="1"/>
  <c r="BE107" i="1"/>
  <c r="BC105" i="1"/>
  <c r="AL2" i="6"/>
  <c r="AL3" i="6"/>
  <c r="BB108" i="1"/>
  <c r="AZ108" i="1"/>
  <c r="BE112" i="1"/>
  <c r="BA115" i="1"/>
  <c r="BC112" i="1"/>
  <c r="BA112" i="1"/>
  <c r="BD112" i="1"/>
  <c r="BB112" i="1"/>
  <c r="BD114" i="1"/>
  <c r="AZ112" i="1"/>
  <c r="BB115" i="1"/>
  <c r="BE108" i="1"/>
  <c r="AZ105" i="1"/>
  <c r="BD108" i="1"/>
  <c r="BA105" i="1"/>
  <c r="BC108" i="1"/>
  <c r="BE105" i="1"/>
  <c r="BA108" i="1"/>
  <c r="BD105" i="1"/>
  <c r="BC107" i="1"/>
  <c r="BD107" i="1"/>
  <c r="BA110" i="1"/>
  <c r="BA107" i="1"/>
  <c r="AZ107" i="1"/>
  <c r="BB107" i="1"/>
  <c r="BC115" i="1"/>
  <c r="AZ110" i="1"/>
  <c r="AZ111" i="1"/>
  <c r="BC110" i="1"/>
  <c r="AZ115" i="1"/>
  <c r="BD115" i="1"/>
  <c r="BE110" i="1"/>
  <c r="BD110" i="1"/>
  <c r="BE115" i="1"/>
  <c r="BB110" i="1"/>
  <c r="BB109" i="1"/>
  <c r="BC116" i="1"/>
  <c r="BD111" i="1"/>
  <c r="BE113" i="1"/>
  <c r="AZ106" i="1"/>
  <c r="BE111" i="1"/>
  <c r="BA113" i="1"/>
  <c r="BC106" i="1"/>
  <c r="AZ113" i="1"/>
  <c r="BD106" i="1"/>
  <c r="BD113" i="1"/>
  <c r="BB106" i="1"/>
  <c r="BA111" i="1"/>
  <c r="BB113" i="1"/>
  <c r="BC111" i="1"/>
  <c r="BC113" i="1"/>
  <c r="BB111" i="1"/>
  <c r="BE106" i="1"/>
  <c r="BA106" i="1"/>
  <c r="BB83" i="1"/>
  <c r="AZ131" i="1"/>
  <c r="BA131" i="1"/>
  <c r="BE131" i="1"/>
  <c r="BD131" i="1"/>
  <c r="BB131" i="1"/>
  <c r="BC102" i="1"/>
  <c r="AZ102" i="1"/>
  <c r="BD102" i="1"/>
  <c r="BA102" i="1"/>
  <c r="BE102" i="1"/>
  <c r="BC109" i="1"/>
  <c r="AZ109" i="1"/>
  <c r="BD109" i="1"/>
  <c r="BA109" i="1"/>
  <c r="BE109" i="1"/>
  <c r="BD116" i="1"/>
  <c r="BE116" i="1"/>
  <c r="BB116" i="1"/>
  <c r="AZ134" i="1"/>
  <c r="BE134" i="1"/>
  <c r="BB134" i="1"/>
  <c r="BA134" i="1"/>
  <c r="BC134" i="1"/>
  <c r="BD134" i="1"/>
  <c r="AZ116" i="1"/>
  <c r="BA116" i="1"/>
  <c r="BC114" i="1"/>
  <c r="BE114" i="1"/>
  <c r="BA114" i="1"/>
  <c r="AZ114" i="1"/>
  <c r="BB114" i="1"/>
  <c r="BC84" i="1"/>
  <c r="BA84" i="1"/>
  <c r="BD84" i="1"/>
  <c r="BB84" i="1"/>
  <c r="AZ84" i="1"/>
  <c r="BE84" i="1"/>
  <c r="BD88" i="1"/>
  <c r="BC88" i="1"/>
  <c r="AZ88" i="1"/>
  <c r="BE88" i="1"/>
  <c r="BA88" i="1"/>
  <c r="BB88" i="1"/>
  <c r="BC90" i="1"/>
  <c r="BA90" i="1"/>
  <c r="BE90" i="1"/>
  <c r="BB90" i="1"/>
  <c r="BD90" i="1"/>
  <c r="AZ90" i="1"/>
  <c r="BD101" i="1"/>
  <c r="AZ101" i="1"/>
  <c r="BE101" i="1"/>
  <c r="BB101" i="1"/>
  <c r="BA101" i="1"/>
  <c r="BC101" i="1"/>
  <c r="BD94" i="1"/>
  <c r="BB94" i="1"/>
  <c r="BA94" i="1"/>
  <c r="BE94" i="1"/>
  <c r="AZ94" i="1"/>
  <c r="BC94" i="1"/>
  <c r="BA87" i="1"/>
  <c r="BC87" i="1"/>
  <c r="AZ87" i="1"/>
  <c r="BB87" i="1"/>
  <c r="BE87" i="1"/>
  <c r="BD87" i="1"/>
  <c r="BA86" i="1"/>
  <c r="BE86" i="1"/>
  <c r="AZ86" i="1"/>
  <c r="BD86" i="1"/>
  <c r="BB86" i="1"/>
  <c r="BC86" i="1"/>
  <c r="BE93" i="1"/>
  <c r="BD93" i="1"/>
  <c r="BB93" i="1"/>
  <c r="BA93" i="1"/>
  <c r="AZ93" i="1"/>
  <c r="BC93" i="1"/>
  <c r="BC97" i="1"/>
  <c r="BE97" i="1"/>
  <c r="BD97" i="1"/>
  <c r="AZ97" i="1"/>
  <c r="BA97" i="1"/>
  <c r="BB97" i="1"/>
  <c r="BA92" i="1"/>
  <c r="BC92" i="1"/>
  <c r="AZ92" i="1"/>
  <c r="BE92" i="1"/>
  <c r="BD92" i="1"/>
  <c r="BB92" i="1"/>
  <c r="BC96" i="1"/>
  <c r="BE96" i="1"/>
  <c r="AZ96" i="1"/>
  <c r="BD96" i="1"/>
  <c r="BA96" i="1"/>
  <c r="BB96" i="1"/>
  <c r="BC83" i="1"/>
  <c r="BD83" i="1"/>
  <c r="BA83" i="1"/>
  <c r="AZ83" i="1"/>
  <c r="BE83" i="1"/>
  <c r="BA98" i="1"/>
  <c r="BB98" i="1"/>
  <c r="AZ98" i="1"/>
  <c r="BE98" i="1"/>
  <c r="BD98" i="1"/>
  <c r="BC98" i="1"/>
  <c r="BC85" i="1"/>
  <c r="BE85" i="1"/>
  <c r="BD85" i="1"/>
  <c r="BB85" i="1"/>
  <c r="BA85" i="1"/>
  <c r="AZ85" i="1"/>
  <c r="AZ89" i="1"/>
  <c r="BC89" i="1"/>
  <c r="BE89" i="1"/>
  <c r="BB89" i="1"/>
  <c r="BD89" i="1"/>
  <c r="BA89" i="1"/>
  <c r="BC91" i="1"/>
  <c r="AZ91" i="1"/>
  <c r="BE91" i="1"/>
  <c r="BA91" i="1"/>
  <c r="BD91" i="1"/>
  <c r="BB91" i="1"/>
  <c r="BC95" i="1"/>
  <c r="BA95" i="1"/>
  <c r="AZ95" i="1"/>
  <c r="BE95" i="1"/>
  <c r="BD95" i="1"/>
  <c r="BB95" i="1"/>
  <c r="R15" i="6"/>
  <c r="U15" i="6"/>
  <c r="R16" i="6"/>
  <c r="U16" i="6"/>
  <c r="R9" i="6"/>
  <c r="U9" i="6"/>
  <c r="R5" i="6"/>
  <c r="U5" i="6"/>
  <c r="R13" i="6"/>
  <c r="U13" i="6"/>
  <c r="R17" i="6"/>
  <c r="U17" i="6"/>
  <c r="R11" i="6"/>
  <c r="U11" i="6"/>
  <c r="R8" i="6"/>
  <c r="U8" i="6"/>
  <c r="R12" i="6"/>
  <c r="U12" i="6"/>
  <c r="R14" i="6"/>
  <c r="U14" i="6"/>
  <c r="R4" i="6"/>
  <c r="U4" i="6"/>
  <c r="R3" i="6"/>
  <c r="U3" i="6"/>
  <c r="U2" i="6"/>
  <c r="R6" i="6"/>
  <c r="U6" i="6"/>
  <c r="R10" i="6"/>
  <c r="U10" i="6"/>
  <c r="R7" i="6"/>
  <c r="U7" i="6"/>
  <c r="W20" i="1" l="1"/>
  <c r="AN187" i="24"/>
  <c r="AM17" i="24"/>
  <c r="AM72" i="24"/>
  <c r="AM147" i="24"/>
  <c r="AN147" i="24"/>
  <c r="AM142" i="24"/>
  <c r="AN114" i="24"/>
  <c r="AN119" i="24"/>
  <c r="AN87" i="24"/>
  <c r="AN100" i="24"/>
  <c r="AN72" i="24"/>
  <c r="AN17" i="24"/>
  <c r="AB225" i="24"/>
  <c r="AL29" i="24" a="1"/>
  <c r="AL29" i="24" s="1"/>
  <c r="AK15" i="24" a="1"/>
  <c r="AK15" i="24" s="1"/>
  <c r="AK29" i="24" a="1"/>
  <c r="AK29" i="24" s="1"/>
  <c r="AL71" i="24" a="1"/>
  <c r="AL71" i="24" s="1"/>
  <c r="AK85" i="24" a="1"/>
  <c r="AK85" i="24" s="1"/>
  <c r="AL15" i="24" a="1"/>
  <c r="AL15" i="24" s="1"/>
  <c r="AK43" i="24" a="1"/>
  <c r="AK43" i="24" s="1"/>
  <c r="AL99" i="24" a="1"/>
  <c r="AL99" i="24" s="1"/>
  <c r="AK113" i="24" a="1"/>
  <c r="AK113" i="24" s="1"/>
  <c r="AL57" i="24" a="1"/>
  <c r="AL57" i="24" s="1"/>
  <c r="AK57" i="24" a="1"/>
  <c r="AK57" i="24" s="1"/>
  <c r="AL85" i="24" a="1"/>
  <c r="AL85" i="24" s="1"/>
  <c r="AK99" i="24" a="1"/>
  <c r="AK99" i="24" s="1"/>
  <c r="AL113" i="24" a="1"/>
  <c r="AL113" i="24" s="1"/>
  <c r="AK71" i="24" a="1"/>
  <c r="AK71" i="24" s="1"/>
  <c r="AL43" i="24" a="1"/>
  <c r="AL43" i="24" s="1"/>
  <c r="L18" i="27"/>
  <c r="AO17" i="24" a="1"/>
  <c r="AO17" i="24" s="1"/>
  <c r="AL182" i="24" a="1"/>
  <c r="AL182" i="24" s="1"/>
  <c r="AL98" i="24" a="1"/>
  <c r="AL98" i="24" s="1"/>
  <c r="AK112" i="24" a="1"/>
  <c r="AK112" i="24" s="1"/>
  <c r="AK14" i="24" a="1"/>
  <c r="AK14" i="24" s="1"/>
  <c r="AL84" i="24" a="1"/>
  <c r="AL84" i="24" s="1"/>
  <c r="AL224" i="24" a="1"/>
  <c r="AL224" i="24" s="1"/>
  <c r="AL140" i="24" a="1"/>
  <c r="AL140" i="24" s="1"/>
  <c r="AK141" i="24" a="1"/>
  <c r="AK141" i="24" s="1"/>
  <c r="AL154" i="24" a="1"/>
  <c r="AL154" i="24" s="1"/>
  <c r="AK98" i="24" a="1"/>
  <c r="AK98" i="24" s="1"/>
  <c r="AL210" i="24" a="1"/>
  <c r="AL210" i="24" s="1"/>
  <c r="AL112" i="24" a="1"/>
  <c r="AL112" i="24" s="1"/>
  <c r="AL70" i="24" a="1"/>
  <c r="AL70" i="24" s="1"/>
  <c r="AM70" i="24" s="1"/>
  <c r="AK196" i="24" a="1"/>
  <c r="AK196" i="24" s="1"/>
  <c r="AK28" i="24" a="1"/>
  <c r="AK28" i="24" s="1"/>
  <c r="AL42" i="24" a="1"/>
  <c r="AL42" i="24" s="1"/>
  <c r="AK84" i="24" a="1"/>
  <c r="AK84" i="24" s="1"/>
  <c r="AL28" i="24" a="1"/>
  <c r="AL28" i="24" s="1"/>
  <c r="AN144" i="24" s="1"/>
  <c r="AL126" i="24" a="1"/>
  <c r="AL126" i="24" s="1"/>
  <c r="AM126" i="24" s="1"/>
  <c r="AL14" i="24" a="1"/>
  <c r="AL14" i="24" s="1"/>
  <c r="AN60" i="24" s="1"/>
  <c r="AL56" i="24" a="1"/>
  <c r="AL56" i="24" s="1"/>
  <c r="AK56" i="24" a="1"/>
  <c r="AK56" i="24" s="1"/>
  <c r="AL168" i="24" a="1"/>
  <c r="AL168" i="24" s="1"/>
  <c r="AK182" i="24" a="1"/>
  <c r="AK182" i="24" s="1"/>
  <c r="AL196" i="24" a="1"/>
  <c r="AL196" i="24" s="1"/>
  <c r="AK210" i="24" a="1"/>
  <c r="AK210" i="24" s="1"/>
  <c r="AK126" i="24" a="1"/>
  <c r="AK126" i="24" s="1"/>
  <c r="AK70" i="24" a="1"/>
  <c r="AK70" i="24" s="1"/>
  <c r="AK154" i="24" a="1"/>
  <c r="AK154" i="24" s="1"/>
  <c r="AK168" i="24" a="1"/>
  <c r="AK168" i="24" s="1"/>
  <c r="AK42" i="24" a="1"/>
  <c r="AK42" i="24" s="1"/>
  <c r="AK224" i="24" a="1"/>
  <c r="AK224" i="24" s="1"/>
  <c r="AK140" i="24" a="1"/>
  <c r="AK140" i="24" s="1"/>
  <c r="AK127" i="24" a="1"/>
  <c r="AK127" i="24" s="1"/>
  <c r="AK211" i="24" a="1"/>
  <c r="AK211" i="24" s="1"/>
  <c r="AK183" i="24" a="1"/>
  <c r="AK183" i="24" s="1"/>
  <c r="AK155" i="24" a="1"/>
  <c r="AK155" i="24" s="1"/>
  <c r="AK197" i="24" a="1"/>
  <c r="AK197" i="24" s="1"/>
  <c r="AK169" i="24" a="1"/>
  <c r="AK169" i="24" s="1"/>
  <c r="AK225" i="24" a="1"/>
  <c r="AK225" i="24" s="1"/>
  <c r="AL127" i="24" a="1"/>
  <c r="AL127" i="24" s="1"/>
  <c r="AL211" i="24" a="1"/>
  <c r="AL211" i="24" s="1"/>
  <c r="AL169" i="24" a="1"/>
  <c r="AL169" i="24" s="1"/>
  <c r="AL197" i="24" a="1"/>
  <c r="AL197" i="24" s="1"/>
  <c r="AL155" i="24" a="1"/>
  <c r="AL155" i="24" s="1"/>
  <c r="AL183" i="24" a="1"/>
  <c r="AL183" i="24" s="1"/>
  <c r="AL141" i="24" a="1"/>
  <c r="AL141" i="24" s="1"/>
  <c r="AL225" i="24" a="1"/>
  <c r="AL225" i="24" s="1"/>
  <c r="AV24" i="6"/>
  <c r="E12" i="27" a="1"/>
  <c r="E12" i="27" s="1"/>
  <c r="E13" i="27" a="1"/>
  <c r="E13" i="27" s="1"/>
  <c r="E14" i="27" a="1"/>
  <c r="E14" i="27" s="1"/>
  <c r="E16" i="27" a="1"/>
  <c r="E16" i="27" s="1"/>
  <c r="F45" i="1"/>
  <c r="AO144" i="24" l="1" a="1"/>
  <c r="AO144" i="24" s="1"/>
  <c r="AM144" i="24" s="1"/>
  <c r="AN186" i="24"/>
  <c r="AN88" i="24"/>
  <c r="AN155" i="24"/>
  <c r="AN225" i="24"/>
  <c r="AN169" i="24"/>
  <c r="AN197" i="24"/>
  <c r="AN113" i="24"/>
  <c r="AN183" i="24"/>
  <c r="AN70" i="24"/>
  <c r="AN71" i="24"/>
  <c r="AN43" i="24"/>
  <c r="AN211" i="24"/>
  <c r="AN127" i="24"/>
  <c r="AN99" i="24"/>
  <c r="AN85" i="24"/>
  <c r="AN84" i="24"/>
  <c r="AN141" i="24"/>
  <c r="AN57" i="24"/>
  <c r="AN29" i="24"/>
  <c r="AN15" i="24"/>
  <c r="AM84" i="24"/>
  <c r="AM154" i="24"/>
  <c r="AN172" i="24"/>
  <c r="AN199" i="24"/>
  <c r="AM199" i="24" s="1"/>
  <c r="AN191" i="24"/>
  <c r="AN170" i="24"/>
  <c r="AN210" i="24"/>
  <c r="AN184" i="24"/>
  <c r="AN178" i="24"/>
  <c r="AN202" i="24"/>
  <c r="AM202" i="24" s="1"/>
  <c r="AN206" i="24"/>
  <c r="AN162" i="24"/>
  <c r="AN158" i="24"/>
  <c r="AN221" i="24"/>
  <c r="AN146" i="24"/>
  <c r="AN126" i="24"/>
  <c r="AN167" i="24"/>
  <c r="AN140" i="24"/>
  <c r="AN189" i="24"/>
  <c r="AN129" i="24"/>
  <c r="AN137" i="24"/>
  <c r="AN139" i="24"/>
  <c r="AN174" i="24"/>
  <c r="AN145" i="24"/>
  <c r="AN219" i="24"/>
  <c r="AN161" i="24"/>
  <c r="AN224" i="24"/>
  <c r="AN182" i="24"/>
  <c r="AN173" i="24"/>
  <c r="AN220" i="24"/>
  <c r="AN163" i="24"/>
  <c r="AN134" i="24"/>
  <c r="AN208" i="24"/>
  <c r="AM208" i="24" s="1"/>
  <c r="AN214" i="24"/>
  <c r="AN171" i="24"/>
  <c r="AN203" i="24"/>
  <c r="AM203" i="24" s="1"/>
  <c r="AN128" i="24"/>
  <c r="AN36" i="24"/>
  <c r="AN152" i="24"/>
  <c r="AN213" i="24"/>
  <c r="AN130" i="24"/>
  <c r="AN209" i="24"/>
  <c r="AN181" i="24"/>
  <c r="AN195" i="24"/>
  <c r="AM195" i="24" s="1"/>
  <c r="AN205" i="24"/>
  <c r="AM205" i="24" s="1"/>
  <c r="AN222" i="24"/>
  <c r="AN217" i="24"/>
  <c r="AN190" i="24"/>
  <c r="AN200" i="24"/>
  <c r="AN196" i="24"/>
  <c r="AM196" i="24" s="1"/>
  <c r="AN207" i="24"/>
  <c r="AM207" i="24" s="1"/>
  <c r="AN204" i="24"/>
  <c r="AM204" i="24" s="1"/>
  <c r="AN212" i="24"/>
  <c r="AN216" i="24"/>
  <c r="AN159" i="24"/>
  <c r="AN156" i="24"/>
  <c r="AN177" i="24"/>
  <c r="AN131" i="24"/>
  <c r="AN180" i="24"/>
  <c r="AN135" i="24"/>
  <c r="AN165" i="24"/>
  <c r="AN176" i="24"/>
  <c r="AN151" i="24"/>
  <c r="AN168" i="24"/>
  <c r="AN154" i="24"/>
  <c r="AN143" i="24"/>
  <c r="AN164" i="24"/>
  <c r="AN166" i="24"/>
  <c r="AN215" i="24"/>
  <c r="AN116" i="24"/>
  <c r="AN157" i="24"/>
  <c r="AN133" i="24"/>
  <c r="AN223" i="24"/>
  <c r="AN93" i="24"/>
  <c r="AM93" i="24" s="1"/>
  <c r="AN138" i="24"/>
  <c r="AN201" i="24"/>
  <c r="AM201" i="24" s="1"/>
  <c r="AN160" i="24"/>
  <c r="AN132" i="24"/>
  <c r="AN218" i="24"/>
  <c r="AN198" i="24"/>
  <c r="AM198" i="24" s="1"/>
  <c r="AN192" i="24"/>
  <c r="AM192" i="24" s="1"/>
  <c r="AN175" i="24"/>
  <c r="AN179" i="24"/>
  <c r="AN136" i="24"/>
  <c r="AN37" i="24"/>
  <c r="AN86" i="24"/>
  <c r="AN92" i="24"/>
  <c r="AM92" i="24" s="1"/>
  <c r="AN102" i="24"/>
  <c r="AN109" i="24"/>
  <c r="AN78" i="24"/>
  <c r="AN45" i="24"/>
  <c r="AN74" i="24"/>
  <c r="AN101" i="24"/>
  <c r="AM101" i="24" s="1"/>
  <c r="AN106" i="24"/>
  <c r="AN81" i="24"/>
  <c r="AN112" i="24"/>
  <c r="AM112" i="24" s="1"/>
  <c r="AN104" i="24"/>
  <c r="AN82" i="24"/>
  <c r="AN75" i="24"/>
  <c r="AN107" i="24"/>
  <c r="AN98" i="24"/>
  <c r="AN77" i="24"/>
  <c r="AN110" i="24"/>
  <c r="AM110" i="24" s="1"/>
  <c r="AN103" i="24"/>
  <c r="AM103" i="24" s="1"/>
  <c r="AN73" i="24"/>
  <c r="AN105" i="24"/>
  <c r="AM105" i="24" s="1"/>
  <c r="AN108" i="24"/>
  <c r="AN76" i="24"/>
  <c r="AN58" i="24"/>
  <c r="AN90" i="24"/>
  <c r="AM90" i="24" s="1"/>
  <c r="AN95" i="24"/>
  <c r="AM95" i="24" s="1"/>
  <c r="AN80" i="24"/>
  <c r="AN79" i="24"/>
  <c r="AN97" i="24"/>
  <c r="AM97" i="24" s="1"/>
  <c r="AN59" i="24"/>
  <c r="AN94" i="24"/>
  <c r="AM94" i="24" s="1"/>
  <c r="AN63" i="24"/>
  <c r="AN111" i="24"/>
  <c r="AN44" i="24"/>
  <c r="AN50" i="24"/>
  <c r="AN42" i="24"/>
  <c r="AN53" i="24"/>
  <c r="AN49" i="24"/>
  <c r="AN47" i="24"/>
  <c r="AN39" i="24"/>
  <c r="AN56" i="24"/>
  <c r="AN31" i="24"/>
  <c r="AN34" i="24"/>
  <c r="AN33" i="24"/>
  <c r="AN55" i="24"/>
  <c r="AN54" i="24"/>
  <c r="AN27" i="24"/>
  <c r="AN35" i="24"/>
  <c r="AN51" i="24"/>
  <c r="AN40" i="24"/>
  <c r="AN30" i="24"/>
  <c r="AN48" i="24"/>
  <c r="AN52" i="24"/>
  <c r="AN32" i="24"/>
  <c r="AN41" i="24"/>
  <c r="AN38" i="24"/>
  <c r="AN46" i="24"/>
  <c r="AN14" i="24"/>
  <c r="AN9" i="24"/>
  <c r="AN12" i="24"/>
  <c r="AN10" i="24"/>
  <c r="AN8" i="24"/>
  <c r="AN7" i="24"/>
  <c r="AN5" i="24"/>
  <c r="AN4" i="24"/>
  <c r="AN3" i="24"/>
  <c r="AN11" i="24"/>
  <c r="AN2" i="24"/>
  <c r="AN6" i="24"/>
  <c r="AN13" i="24"/>
  <c r="AN18" i="24"/>
  <c r="AN26" i="24"/>
  <c r="AN28" i="24"/>
  <c r="AN19" i="24"/>
  <c r="AN16" i="24"/>
  <c r="AO13" i="24" a="1"/>
  <c r="AO13" i="24" s="1"/>
  <c r="AO50" i="24" a="1"/>
  <c r="AO50" i="24" s="1"/>
  <c r="AO204" i="24" a="1"/>
  <c r="AO204" i="24" s="1"/>
  <c r="AO5" i="24" a="1"/>
  <c r="AO5" i="24" s="1"/>
  <c r="AO7" i="24" a="1"/>
  <c r="AO7" i="24" s="1"/>
  <c r="AO47" i="24" a="1"/>
  <c r="AO47" i="24" s="1"/>
  <c r="AO205" i="24" a="1"/>
  <c r="AO205" i="24" s="1"/>
  <c r="AO3" i="24" a="1"/>
  <c r="AO3" i="24" s="1"/>
  <c r="AO51" i="24" a="1"/>
  <c r="AO51" i="24" s="1"/>
  <c r="AO46" i="24" a="1"/>
  <c r="AO46" i="24" s="1"/>
  <c r="AO129" i="24" a="1"/>
  <c r="AO129" i="24" s="1"/>
  <c r="AO16" i="24" a="1"/>
  <c r="AO16" i="24" s="1"/>
  <c r="AO116" i="24" a="1"/>
  <c r="AO116" i="24" s="1"/>
  <c r="AO145" i="24" a="1"/>
  <c r="AO145" i="24" s="1"/>
  <c r="AO2" i="24" a="1"/>
  <c r="AO2" i="24" s="1"/>
  <c r="AO128" i="24" a="1"/>
  <c r="AO128" i="24" s="1"/>
  <c r="AO55" i="24" a="1"/>
  <c r="AO55" i="24" s="1"/>
  <c r="AO170" i="24" a="1"/>
  <c r="AO170" i="24" s="1"/>
  <c r="AO48" i="24" a="1"/>
  <c r="AO48" i="24" s="1"/>
  <c r="AO12" i="24" a="1"/>
  <c r="AO12" i="24" s="1"/>
  <c r="AO4" i="24" a="1"/>
  <c r="AO4" i="24" s="1"/>
  <c r="AO6" i="24" a="1"/>
  <c r="AO6" i="24" s="1"/>
  <c r="AO175" i="24" a="1"/>
  <c r="AO175" i="24" s="1"/>
  <c r="AO147" i="24" a="1"/>
  <c r="AO147" i="24" s="1"/>
  <c r="AO146" i="24" a="1"/>
  <c r="AO146" i="24" s="1"/>
  <c r="AO149" i="24" a="1"/>
  <c r="AO149" i="24" s="1"/>
  <c r="AO123" i="24" a="1"/>
  <c r="AO123" i="24" s="1"/>
  <c r="AO194" i="24" a="1"/>
  <c r="AO194" i="24" s="1"/>
  <c r="AO195" i="24" a="1"/>
  <c r="AO195" i="24" s="1"/>
  <c r="AO53" i="24" a="1"/>
  <c r="AO53" i="24" s="1"/>
  <c r="AO148" i="24" a="1"/>
  <c r="AO148" i="24" s="1"/>
  <c r="AO54" i="24" a="1"/>
  <c r="AO54" i="24" s="1"/>
  <c r="AO150" i="24" a="1"/>
  <c r="AO150" i="24" s="1"/>
  <c r="AO152" i="24" a="1"/>
  <c r="AO152" i="24" s="1"/>
  <c r="AO52" i="24" a="1"/>
  <c r="AO52" i="24" s="1"/>
  <c r="AO151" i="24" a="1"/>
  <c r="AO151" i="24" s="1"/>
  <c r="AO118" i="24" a="1"/>
  <c r="AO118" i="24" s="1"/>
  <c r="AO153" i="24" a="1"/>
  <c r="AO153" i="24" s="1"/>
  <c r="AO136" i="24" a="1"/>
  <c r="AO136" i="24" s="1"/>
  <c r="AO117" i="24" a="1"/>
  <c r="AO117" i="24" s="1"/>
  <c r="AM117" i="24" s="1"/>
  <c r="AO15" i="24" a="1"/>
  <c r="AO15" i="24" s="1"/>
  <c r="AO57" i="24" a="1"/>
  <c r="AO57" i="24" s="1"/>
  <c r="AO210" i="24" a="1"/>
  <c r="AO210" i="24" s="1"/>
  <c r="AO56" i="24" a="1"/>
  <c r="AO56" i="24" s="1"/>
  <c r="AO166" i="24" a="1"/>
  <c r="AO166" i="24" s="1"/>
  <c r="AO211" i="24" a="1"/>
  <c r="AO211" i="24" s="1"/>
  <c r="AO109" i="24" a="1"/>
  <c r="AO109" i="24" s="1"/>
  <c r="AO197" i="24" a="1"/>
  <c r="AO197" i="24" s="1"/>
  <c r="AM197" i="24" s="1"/>
  <c r="AO168" i="24" a="1"/>
  <c r="AO168" i="24" s="1"/>
  <c r="AO196" i="24" a="1"/>
  <c r="AO196" i="24" s="1"/>
  <c r="AO163" i="24" a="1"/>
  <c r="AO163" i="24" s="1"/>
  <c r="AO221" i="24" a="1"/>
  <c r="AO221" i="24" s="1"/>
  <c r="AO60" i="24" a="1"/>
  <c r="AO60" i="24" s="1"/>
  <c r="AM60" i="24" s="1"/>
  <c r="AO107" i="24" a="1"/>
  <c r="AO107" i="24" s="1"/>
  <c r="AO66" i="24" a="1"/>
  <c r="AO66" i="24" s="1"/>
  <c r="AO103" i="24" a="1"/>
  <c r="AO103" i="24" s="1"/>
  <c r="AO157" i="24" a="1"/>
  <c r="AO157" i="24" s="1"/>
  <c r="AO188" i="24" a="1"/>
  <c r="AO188" i="24" s="1"/>
  <c r="AO58" i="24" a="1"/>
  <c r="AO58" i="24" s="1"/>
  <c r="AO190" i="24" a="1"/>
  <c r="AO190" i="24" s="1"/>
  <c r="AO81" i="24" a="1"/>
  <c r="AO81" i="24" s="1"/>
  <c r="AO113" i="24" a="1"/>
  <c r="AO113" i="24" s="1"/>
  <c r="AO134" i="24" a="1"/>
  <c r="AO134" i="24" s="1"/>
  <c r="AO207" i="24" a="1"/>
  <c r="AO207" i="24" s="1"/>
  <c r="AO186" i="24" a="1"/>
  <c r="AO186" i="24" s="1"/>
  <c r="AO135" i="24" a="1"/>
  <c r="AO135" i="24" s="1"/>
  <c r="AO155" i="24" a="1"/>
  <c r="AO155" i="24" s="1"/>
  <c r="AM155" i="24" s="1"/>
  <c r="AO154" i="24" a="1"/>
  <c r="AO154" i="24" s="1"/>
  <c r="AO132" i="24" a="1"/>
  <c r="AO132" i="24" s="1"/>
  <c r="AO45" i="24" a="1"/>
  <c r="AO45" i="24" s="1"/>
  <c r="AO65" i="24" a="1"/>
  <c r="AO65" i="24" s="1"/>
  <c r="AO79" i="24" a="1"/>
  <c r="AO79" i="24" s="1"/>
  <c r="AO94" i="24" a="1"/>
  <c r="AO94" i="24" s="1"/>
  <c r="AO61" i="24" a="1"/>
  <c r="AO61" i="24" s="1"/>
  <c r="AO184" i="24" a="1"/>
  <c r="AO184" i="24" s="1"/>
  <c r="AO201" i="24" a="1"/>
  <c r="AO201" i="24" s="1"/>
  <c r="AO99" i="24" a="1"/>
  <c r="AO99" i="24" s="1"/>
  <c r="AO191" i="24" a="1"/>
  <c r="AO191" i="24" s="1"/>
  <c r="AO162" i="24" a="1"/>
  <c r="AO162" i="24" s="1"/>
  <c r="AO192" i="24" a="1"/>
  <c r="AO192" i="24" s="1"/>
  <c r="AO156" i="24" a="1"/>
  <c r="AO156" i="24" s="1"/>
  <c r="AO199" i="24" a="1"/>
  <c r="AO199" i="24" s="1"/>
  <c r="AO219" i="24" a="1"/>
  <c r="AO219" i="24" s="1"/>
  <c r="AO179" i="24" a="1"/>
  <c r="AO179" i="24" s="1"/>
  <c r="AO183" i="24" a="1"/>
  <c r="AO183" i="24" s="1"/>
  <c r="AO70" i="24" a="1"/>
  <c r="AO70" i="24" s="1"/>
  <c r="AO160" i="24" a="1"/>
  <c r="AO160" i="24" s="1"/>
  <c r="AO87" i="24" a="1"/>
  <c r="AO87" i="24" s="1"/>
  <c r="AO91" i="24" a="1"/>
  <c r="AO91" i="24" s="1"/>
  <c r="AO105" i="24" a="1"/>
  <c r="AO105" i="24" s="1"/>
  <c r="AO92" i="24" a="1"/>
  <c r="AO92" i="24" s="1"/>
  <c r="AO43" i="24" a="1"/>
  <c r="AO43" i="24" s="1"/>
  <c r="AO119" i="24" a="1"/>
  <c r="AO119" i="24" s="1"/>
  <c r="AO138" i="24" a="1"/>
  <c r="AO138" i="24" s="1"/>
  <c r="AO131" i="24" a="1"/>
  <c r="AO131" i="24" s="1"/>
  <c r="AO185" i="24" a="1"/>
  <c r="AO185" i="24" s="1"/>
  <c r="AO193" i="24" a="1"/>
  <c r="AO193" i="24" s="1"/>
  <c r="AO187" i="24" a="1"/>
  <c r="AO187" i="24" s="1"/>
  <c r="AM187" i="24" s="1"/>
  <c r="AO114" i="24" a="1"/>
  <c r="AO114" i="24" s="1"/>
  <c r="AO223" i="24" a="1"/>
  <c r="AO223" i="24" s="1"/>
  <c r="AO59" i="24" a="1"/>
  <c r="AO59" i="24" s="1"/>
  <c r="AO76" i="24" a="1"/>
  <c r="AO76" i="24" s="1"/>
  <c r="AO126" i="24" a="1"/>
  <c r="AO126" i="24" s="1"/>
  <c r="AO112" i="24" a="1"/>
  <c r="AO112" i="24" s="1"/>
  <c r="AO164" i="24" a="1"/>
  <c r="AO164" i="24" s="1"/>
  <c r="AO82" i="24" a="1"/>
  <c r="AO82" i="24" s="1"/>
  <c r="AO90" i="24" a="1"/>
  <c r="AO90" i="24" s="1"/>
  <c r="AO74" i="24" a="1"/>
  <c r="AO74" i="24" s="1"/>
  <c r="AO78" i="24" a="1"/>
  <c r="AO78" i="24" s="1"/>
  <c r="AO209" i="24" a="1"/>
  <c r="AO209" i="24" s="1"/>
  <c r="AO173" i="24" a="1"/>
  <c r="AO173" i="24" s="1"/>
  <c r="AO189" i="24" a="1"/>
  <c r="AO189" i="24" s="1"/>
  <c r="AO124" i="24" a="1"/>
  <c r="AO124" i="24" s="1"/>
  <c r="AO130" i="24" a="1"/>
  <c r="AO130" i="24" s="1"/>
  <c r="AO202" i="24" a="1"/>
  <c r="AO202" i="24" s="1"/>
  <c r="AO180" i="24" a="1"/>
  <c r="AO180" i="24" s="1"/>
  <c r="AO198" i="24" a="1"/>
  <c r="AO198" i="24" s="1"/>
  <c r="AO67" i="24" a="1"/>
  <c r="AO67" i="24" s="1"/>
  <c r="AO100" i="24" a="1"/>
  <c r="AO100" i="24" s="1"/>
  <c r="AO95" i="24" a="1"/>
  <c r="AO95" i="24" s="1"/>
  <c r="AO127" i="24" a="1"/>
  <c r="AO127" i="24" s="1"/>
  <c r="AO98" i="24" a="1"/>
  <c r="AO98" i="24" s="1"/>
  <c r="AO143" i="24" a="1"/>
  <c r="AO143" i="24" s="1"/>
  <c r="AO63" i="24" a="1"/>
  <c r="AO63" i="24" s="1"/>
  <c r="AO110" i="24" a="1"/>
  <c r="AO110" i="24" s="1"/>
  <c r="AO68" i="24" a="1"/>
  <c r="AO68" i="24" s="1"/>
  <c r="AO106" i="24" a="1"/>
  <c r="AO106" i="24" s="1"/>
  <c r="AO176" i="24" a="1"/>
  <c r="AO176" i="24" s="1"/>
  <c r="AO71" i="24" a="1"/>
  <c r="AO71" i="24" s="1"/>
  <c r="AO220" i="24" a="1"/>
  <c r="AO220" i="24" s="1"/>
  <c r="AO83" i="24" a="1"/>
  <c r="AO83" i="24" s="1"/>
  <c r="AO216" i="24" a="1"/>
  <c r="AO216" i="24" s="1"/>
  <c r="AO159" i="24" a="1"/>
  <c r="AO159" i="24" s="1"/>
  <c r="AO171" i="24" a="1"/>
  <c r="AO171" i="24" s="1"/>
  <c r="AO158" i="24" a="1"/>
  <c r="AO158" i="24" s="1"/>
  <c r="AO208" i="24" a="1"/>
  <c r="AO208" i="24" s="1"/>
  <c r="AO44" i="24" a="1"/>
  <c r="AO44" i="24" s="1"/>
  <c r="AO161" i="24" a="1"/>
  <c r="AO161" i="24" s="1"/>
  <c r="AO140" i="24" a="1"/>
  <c r="AO140" i="24" s="1"/>
  <c r="AO84" i="24" a="1"/>
  <c r="AO84" i="24" s="1"/>
  <c r="AO142" i="24" a="1"/>
  <c r="AO142" i="24" s="1"/>
  <c r="AO49" i="24" a="1"/>
  <c r="AO49" i="24" s="1"/>
  <c r="AO102" i="24" a="1"/>
  <c r="AO102" i="24" s="1"/>
  <c r="AO93" i="24" a="1"/>
  <c r="AO93" i="24" s="1"/>
  <c r="AO64" i="24" a="1"/>
  <c r="AO64" i="24" s="1"/>
  <c r="AO165" i="24" a="1"/>
  <c r="AO165" i="24" s="1"/>
  <c r="AO213" i="24" a="1"/>
  <c r="AO213" i="24" s="1"/>
  <c r="AO122" i="24" a="1"/>
  <c r="AO122" i="24" s="1"/>
  <c r="AO215" i="24" a="1"/>
  <c r="AO215" i="24" s="1"/>
  <c r="AO218" i="24" a="1"/>
  <c r="AO218" i="24" s="1"/>
  <c r="AO111" i="24" a="1"/>
  <c r="AO111" i="24" s="1"/>
  <c r="AO174" i="24" a="1"/>
  <c r="AO174" i="24" s="1"/>
  <c r="AO181" i="24" a="1"/>
  <c r="AO181" i="24" s="1"/>
  <c r="AO85" i="24" a="1"/>
  <c r="AO85" i="24" s="1"/>
  <c r="AO217" i="24" a="1"/>
  <c r="AO217" i="24" s="1"/>
  <c r="AO225" i="24" a="1"/>
  <c r="AO225" i="24" s="1"/>
  <c r="AM225" i="24" s="1"/>
  <c r="AO224" i="24" a="1"/>
  <c r="AO224" i="24" s="1"/>
  <c r="AO182" i="24" a="1"/>
  <c r="AO182" i="24" s="1"/>
  <c r="AO141" i="24" a="1"/>
  <c r="AO141" i="24" s="1"/>
  <c r="AO203" i="24" a="1"/>
  <c r="AO203" i="24" s="1"/>
  <c r="AO77" i="24" a="1"/>
  <c r="AO77" i="24" s="1"/>
  <c r="AO96" i="24" a="1"/>
  <c r="AO96" i="24" s="1"/>
  <c r="AO108" i="24" a="1"/>
  <c r="AO108" i="24" s="1"/>
  <c r="AO75" i="24" a="1"/>
  <c r="AO75" i="24" s="1"/>
  <c r="AO120" i="24" a="1"/>
  <c r="AO120" i="24" s="1"/>
  <c r="AO97" i="24" a="1"/>
  <c r="AO97" i="24" s="1"/>
  <c r="AO73" i="24" a="1"/>
  <c r="AO73" i="24" s="1"/>
  <c r="AO121" i="24" a="1"/>
  <c r="AO121" i="24" s="1"/>
  <c r="AO86" i="24" a="1"/>
  <c r="AO86" i="24" s="1"/>
  <c r="AO139" i="24" a="1"/>
  <c r="AO139" i="24" s="1"/>
  <c r="AO214" i="24" a="1"/>
  <c r="AO214" i="24" s="1"/>
  <c r="AO133" i="24" a="1"/>
  <c r="AO133" i="24" s="1"/>
  <c r="AO178" i="24" a="1"/>
  <c r="AO178" i="24" s="1"/>
  <c r="AO101" i="24" a="1"/>
  <c r="AO101" i="24" s="1"/>
  <c r="AO169" i="24" a="1"/>
  <c r="AO169" i="24" s="1"/>
  <c r="AM169" i="24" s="1"/>
  <c r="AO62" i="24" a="1"/>
  <c r="AO62" i="24" s="1"/>
  <c r="AO200" i="24" a="1"/>
  <c r="AO200" i="24" s="1"/>
  <c r="AO88" i="24" a="1"/>
  <c r="AO88" i="24" s="1"/>
  <c r="AO104" i="24" a="1"/>
  <c r="AO104" i="24" s="1"/>
  <c r="AO80" i="24" a="1"/>
  <c r="AO80" i="24" s="1"/>
  <c r="AO89" i="24" a="1"/>
  <c r="AO89" i="24" s="1"/>
  <c r="AO177" i="24" a="1"/>
  <c r="AO177" i="24" s="1"/>
  <c r="AO125" i="24" a="1"/>
  <c r="AO125" i="24" s="1"/>
  <c r="AO212" i="24" a="1"/>
  <c r="AO212" i="24" s="1"/>
  <c r="AO206" i="24" a="1"/>
  <c r="AO206" i="24" s="1"/>
  <c r="AO69" i="24" a="1"/>
  <c r="AO69" i="24" s="1"/>
  <c r="AO72" i="24" a="1"/>
  <c r="AO72" i="24" s="1"/>
  <c r="AO137" i="24" a="1"/>
  <c r="AO137" i="24" s="1"/>
  <c r="AO167" i="24" a="1"/>
  <c r="AO167" i="24" s="1"/>
  <c r="AO172" i="24" a="1"/>
  <c r="AO172" i="24" s="1"/>
  <c r="AO222" i="24" a="1"/>
  <c r="AO222" i="24" s="1"/>
  <c r="AO29" i="24" a="1"/>
  <c r="AO29" i="24" s="1"/>
  <c r="AO14" i="24" a="1"/>
  <c r="AO14" i="24" s="1"/>
  <c r="AO18" i="24" a="1"/>
  <c r="AO18" i="24" s="1"/>
  <c r="AO37" i="24" a="1"/>
  <c r="AO37" i="24" s="1"/>
  <c r="AO9" i="24" a="1"/>
  <c r="AO9" i="24" s="1"/>
  <c r="AO39" i="24" a="1"/>
  <c r="AO39" i="24" s="1"/>
  <c r="AO19" i="24" a="1"/>
  <c r="AO19" i="24" s="1"/>
  <c r="AO40" i="24" a="1"/>
  <c r="AO40" i="24" s="1"/>
  <c r="AO20" i="24" a="1"/>
  <c r="AO20" i="24" s="1"/>
  <c r="AO8" i="24" a="1"/>
  <c r="AO8" i="24" s="1"/>
  <c r="AO35" i="24" a="1"/>
  <c r="AO35" i="24" s="1"/>
  <c r="AO36" i="24" a="1"/>
  <c r="AO36" i="24" s="1"/>
  <c r="AO31" i="24" a="1"/>
  <c r="AO31" i="24" s="1"/>
  <c r="AO42" i="24" a="1"/>
  <c r="AO42" i="24" s="1"/>
  <c r="AO28" i="24" a="1"/>
  <c r="AO28" i="24" s="1"/>
  <c r="AO26" i="24" a="1"/>
  <c r="AO26" i="24" s="1"/>
  <c r="AO11" i="24" a="1"/>
  <c r="AO11" i="24" s="1"/>
  <c r="AO33" i="24" a="1"/>
  <c r="AO33" i="24" s="1"/>
  <c r="AO27" i="24" a="1"/>
  <c r="AO27" i="24" s="1"/>
  <c r="AO41" i="24" a="1"/>
  <c r="AO41" i="24" s="1"/>
  <c r="AO34" i="24" a="1"/>
  <c r="AO34" i="24" s="1"/>
  <c r="AO38" i="24" a="1"/>
  <c r="AO38" i="24" s="1"/>
  <c r="AO30" i="24" a="1"/>
  <c r="AO30" i="24" s="1"/>
  <c r="AO32" i="24" a="1"/>
  <c r="AO32" i="24" s="1"/>
  <c r="AO10" i="24" a="1"/>
  <c r="AO10" i="24" s="1"/>
  <c r="E15" i="27" a="1"/>
  <c r="E15" i="27" s="1"/>
  <c r="E11" i="27" a="1"/>
  <c r="E11" i="27" s="1"/>
  <c r="E10" i="27" a="1"/>
  <c r="E10" i="27" s="1"/>
  <c r="E9" i="27" a="1"/>
  <c r="E9" i="27" s="1"/>
  <c r="E6" i="27" a="1"/>
  <c r="E6" i="27" s="1"/>
  <c r="E8" i="27" a="1"/>
  <c r="E8" i="27" s="1"/>
  <c r="E7" i="27" a="1"/>
  <c r="E7" i="27" s="1"/>
  <c r="E5" i="27" a="1"/>
  <c r="E5" i="27" s="1"/>
  <c r="O28" i="1"/>
  <c r="N28" i="1"/>
  <c r="AM102" i="24" l="1"/>
  <c r="AM116" i="24"/>
  <c r="AM88" i="24"/>
  <c r="AM186" i="24"/>
  <c r="AM57" i="24"/>
  <c r="AM99" i="24"/>
  <c r="AM15" i="24"/>
  <c r="AM43" i="24"/>
  <c r="AM85" i="24"/>
  <c r="AM183" i="24"/>
  <c r="AM127" i="24"/>
  <c r="AM113" i="24"/>
  <c r="AM29" i="24"/>
  <c r="AM211" i="24"/>
  <c r="AM141" i="24"/>
  <c r="AM71" i="24"/>
  <c r="AM13" i="24"/>
  <c r="AM2" i="24"/>
  <c r="AM14" i="24"/>
  <c r="AM168" i="24"/>
  <c r="AM210" i="24"/>
  <c r="AM28" i="24"/>
  <c r="AM56" i="24"/>
  <c r="AM98" i="24"/>
  <c r="AM41" i="24"/>
  <c r="AM27" i="24"/>
  <c r="AM166" i="24"/>
  <c r="AM182" i="24"/>
  <c r="AM54" i="24"/>
  <c r="AM224" i="24"/>
  <c r="AM140" i="24"/>
  <c r="AM42" i="24"/>
  <c r="AM179" i="24"/>
  <c r="AM138" i="24"/>
  <c r="AM180" i="24"/>
  <c r="AM181" i="24"/>
  <c r="AM55" i="24"/>
  <c r="AM53" i="24"/>
  <c r="AM82" i="24"/>
  <c r="AM209" i="24"/>
  <c r="AM12" i="24"/>
  <c r="AM109" i="24"/>
  <c r="AM223" i="24"/>
  <c r="AM167" i="24"/>
  <c r="AM11" i="24"/>
  <c r="AM40" i="24"/>
  <c r="AM81" i="24"/>
  <c r="AM151" i="24"/>
  <c r="AM152" i="24"/>
  <c r="AM111" i="24"/>
  <c r="AM222" i="24"/>
  <c r="AM139" i="24"/>
  <c r="AM221" i="24"/>
  <c r="AM26" i="24"/>
  <c r="AM39" i="24"/>
  <c r="AM165" i="24"/>
  <c r="AM137" i="24"/>
  <c r="AM10" i="24"/>
  <c r="AM52" i="24"/>
  <c r="AM78" i="24"/>
  <c r="AM175" i="24"/>
  <c r="AM143" i="24"/>
  <c r="AM131" i="24"/>
  <c r="AM3" i="24"/>
  <c r="AM4" i="24"/>
  <c r="AM46" i="24"/>
  <c r="AM51" i="24"/>
  <c r="AM77" i="24"/>
  <c r="AM106" i="24"/>
  <c r="AM86" i="24"/>
  <c r="AM132" i="24"/>
  <c r="AM176" i="24"/>
  <c r="AM214" i="24"/>
  <c r="AM48" i="24"/>
  <c r="AM33" i="24"/>
  <c r="AM79" i="24"/>
  <c r="AM73" i="24"/>
  <c r="AM104" i="24"/>
  <c r="AM177" i="24"/>
  <c r="AM200" i="24"/>
  <c r="AM130" i="24"/>
  <c r="AM219" i="24"/>
  <c r="AM178" i="24"/>
  <c r="AM6" i="24"/>
  <c r="AM161" i="24"/>
  <c r="AM16" i="24"/>
  <c r="AM9" i="24"/>
  <c r="AM30" i="24"/>
  <c r="AM34" i="24"/>
  <c r="AM50" i="24"/>
  <c r="AM80" i="24"/>
  <c r="AM133" i="24"/>
  <c r="AM156" i="24"/>
  <c r="AM190" i="24"/>
  <c r="AM213" i="24"/>
  <c r="AM134" i="24"/>
  <c r="AM145" i="24"/>
  <c r="AM184" i="24"/>
  <c r="AM19" i="24"/>
  <c r="AM31" i="24"/>
  <c r="AM44" i="24"/>
  <c r="AM218" i="24"/>
  <c r="AM157" i="24"/>
  <c r="AM159" i="24"/>
  <c r="AM217" i="24"/>
  <c r="AM163" i="24"/>
  <c r="AM174" i="24"/>
  <c r="AM146" i="24"/>
  <c r="AM216" i="24"/>
  <c r="AM36" i="24"/>
  <c r="AM220" i="24"/>
  <c r="AM170" i="24"/>
  <c r="AM5" i="24"/>
  <c r="AM38" i="24"/>
  <c r="AM35" i="24"/>
  <c r="AM63" i="24"/>
  <c r="AM58" i="24"/>
  <c r="AM37" i="24"/>
  <c r="AM160" i="24"/>
  <c r="AM215" i="24"/>
  <c r="AM212" i="24"/>
  <c r="AM128" i="24"/>
  <c r="AM173" i="24"/>
  <c r="AM158" i="24"/>
  <c r="AM191" i="24"/>
  <c r="AM18" i="24"/>
  <c r="AM7" i="24"/>
  <c r="AM47" i="24"/>
  <c r="AM76" i="24"/>
  <c r="AM107" i="24"/>
  <c r="AM74" i="24"/>
  <c r="AM136" i="24"/>
  <c r="AM135" i="24"/>
  <c r="AM129" i="24"/>
  <c r="AM162" i="24"/>
  <c r="AM8" i="24"/>
  <c r="AM32" i="24"/>
  <c r="AM49" i="24"/>
  <c r="AM59" i="24"/>
  <c r="AM108" i="24"/>
  <c r="AM75" i="24"/>
  <c r="AM45" i="24"/>
  <c r="AM164" i="24"/>
  <c r="AM171" i="24"/>
  <c r="AM189" i="24"/>
  <c r="AM206" i="24"/>
  <c r="AM172" i="24"/>
  <c r="L37" i="1" a="1"/>
  <c r="L37" i="1" s="1"/>
  <c r="M37" i="1" s="1"/>
  <c r="L39" i="1" a="1"/>
  <c r="L39" i="1" s="1"/>
  <c r="M39" i="1" s="1"/>
  <c r="L29" i="1" a="1"/>
  <c r="L29" i="1" s="1"/>
  <c r="E18" i="27"/>
  <c r="L36" i="1" l="1" a="1"/>
  <c r="L36" i="1" s="1"/>
  <c r="M36" i="1" s="1"/>
  <c r="L30" i="1" a="1"/>
  <c r="L30" i="1" s="1"/>
  <c r="L33" i="1" a="1"/>
  <c r="L33" i="1" s="1"/>
  <c r="L32" i="1" a="1"/>
  <c r="L32" i="1" s="1"/>
  <c r="L31" i="1" a="1"/>
  <c r="L31" i="1" s="1"/>
  <c r="L28" i="1" a="1"/>
  <c r="L28" i="1" s="1"/>
  <c r="L40" i="1" a="1"/>
  <c r="L40" i="1" s="1"/>
  <c r="M40" i="1" s="1"/>
  <c r="L38" i="1" a="1"/>
  <c r="L38" i="1" s="1"/>
  <c r="M38" i="1" s="1"/>
  <c r="L35" i="1" a="1"/>
  <c r="L35" i="1" s="1"/>
  <c r="M35" i="1" s="1"/>
  <c r="D65" i="19"/>
  <c r="D57" i="19"/>
  <c r="D49" i="19"/>
  <c r="D33" i="19"/>
  <c r="D31" i="19"/>
  <c r="D46" i="19"/>
  <c r="D30" i="19"/>
  <c r="D45" i="19"/>
  <c r="D60" i="19"/>
  <c r="D59" i="19"/>
  <c r="D58" i="19"/>
  <c r="D64" i="19"/>
  <c r="D56" i="19"/>
  <c r="D48" i="19"/>
  <c r="D32" i="19"/>
  <c r="D55" i="19"/>
  <c r="D47" i="19"/>
  <c r="D54" i="19"/>
  <c r="D38" i="19"/>
  <c r="D61" i="19"/>
  <c r="D53" i="19"/>
  <c r="D63" i="19"/>
  <c r="D37" i="19"/>
  <c r="D52" i="19"/>
  <c r="D36" i="19"/>
  <c r="D51" i="19"/>
  <c r="D50" i="19"/>
  <c r="D62" i="19"/>
  <c r="D35" i="19"/>
  <c r="D34" i="19"/>
  <c r="N36" i="1" l="1"/>
  <c r="O36" i="1" s="1" a="1"/>
  <c r="O36" i="1" s="1"/>
  <c r="N39" i="1"/>
  <c r="O39" i="1" s="1" a="1"/>
  <c r="O39" i="1" s="1"/>
  <c r="N37" i="1"/>
  <c r="O37" i="1" s="1" a="1"/>
  <c r="O37" i="1" s="1"/>
  <c r="N38" i="1"/>
  <c r="O38" i="1" s="1" a="1"/>
  <c r="O38" i="1" s="1"/>
  <c r="N40" i="1"/>
  <c r="O40" i="1" s="1" a="1"/>
  <c r="O40" i="1" s="1"/>
  <c r="E40" i="19"/>
  <c r="E56" i="19"/>
  <c r="R2" i="6" l="1"/>
  <c r="R20" i="6" l="1"/>
  <c r="X6" i="6"/>
  <c r="U33" i="6"/>
  <c r="U23" i="6"/>
  <c r="U28" i="6"/>
  <c r="R32" i="6"/>
  <c r="U32" i="6"/>
  <c r="U24" i="6"/>
  <c r="U19" i="6"/>
  <c r="U31" i="6"/>
  <c r="U26" i="6"/>
  <c r="R26" i="6"/>
  <c r="U29" i="6"/>
  <c r="R29" i="6"/>
  <c r="U25" i="6"/>
  <c r="R25" i="6"/>
  <c r="U21" i="6"/>
  <c r="R21" i="6"/>
  <c r="R30" i="6"/>
  <c r="U30" i="6"/>
  <c r="R22" i="6"/>
  <c r="U22" i="6"/>
  <c r="R34" i="6"/>
  <c r="U34" i="6"/>
  <c r="U27" i="6"/>
  <c r="R27" i="6"/>
  <c r="R23" i="6"/>
  <c r="U20" i="6"/>
  <c r="R24" i="6"/>
  <c r="R19" i="6"/>
  <c r="R31" i="6"/>
  <c r="X7" i="6"/>
  <c r="AM7" i="6" s="1"/>
  <c r="R28" i="6"/>
  <c r="R33" i="6"/>
  <c r="AL6" i="6" l="1"/>
  <c r="AM6" i="6"/>
  <c r="AL7" i="6"/>
  <c r="AJ202" i="24" l="1" a="1"/>
  <c r="AJ202" i="24" s="1"/>
  <c r="AJ154" i="24" a="1"/>
  <c r="AJ154" i="24" s="1"/>
  <c r="AJ221" i="24" l="1" a="1"/>
  <c r="AJ221" i="24" s="1"/>
  <c r="AJ173" i="24" a="1"/>
  <c r="AJ173" i="24" s="1"/>
  <c r="F99" i="6" s="1" a="1"/>
  <c r="F99" i="6" s="1"/>
  <c r="AJ176" i="24" a="1"/>
  <c r="AJ176" i="24" s="1"/>
  <c r="AJ105" i="24" a="1"/>
  <c r="AJ105" i="24" s="1"/>
  <c r="H94" i="6" s="1" a="1"/>
  <c r="H94" i="6" s="1"/>
  <c r="AJ112" i="24" a="1"/>
  <c r="AJ112" i="24" s="1"/>
  <c r="O94" i="6" s="1" a="1"/>
  <c r="O94" i="6" s="1"/>
  <c r="AJ180" i="24" a="1"/>
  <c r="AJ180" i="24" s="1"/>
  <c r="M99" i="6" s="1" a="1"/>
  <c r="M99" i="6" s="1"/>
  <c r="AJ32" i="24" a="1"/>
  <c r="AJ32" i="24" s="1"/>
  <c r="E89" i="6" s="1" a="1"/>
  <c r="E89" i="6" s="1"/>
  <c r="AJ217" i="24" a="1"/>
  <c r="AJ217" i="24" s="1"/>
  <c r="H102" i="6" s="1" a="1"/>
  <c r="H102" i="6" s="1"/>
  <c r="AJ212" i="24" a="1"/>
  <c r="AJ212" i="24" s="1"/>
  <c r="AJ90" i="24" a="1"/>
  <c r="AJ90" i="24" s="1"/>
  <c r="AJ163" i="24" a="1"/>
  <c r="AJ163" i="24" s="1"/>
  <c r="J98" i="6" s="1" a="1"/>
  <c r="J98" i="6" s="1"/>
  <c r="AJ73" i="24" a="1"/>
  <c r="AJ73" i="24" s="1"/>
  <c r="D92" i="6" s="1" a="1"/>
  <c r="D92" i="6" s="1"/>
  <c r="AJ110" i="24" a="1"/>
  <c r="AJ110" i="24" s="1"/>
  <c r="AJ183" i="24" a="1"/>
  <c r="AJ183" i="24" s="1"/>
  <c r="P99" i="6" s="1" a="1"/>
  <c r="P99" i="6" s="1"/>
  <c r="AJ190" i="24" a="1"/>
  <c r="AJ190" i="24" s="1"/>
  <c r="I100" i="6" s="1" a="1"/>
  <c r="I100" i="6" s="1"/>
  <c r="AJ197" i="24" a="1"/>
  <c r="AJ197" i="24" s="1"/>
  <c r="P100" i="6" s="1" a="1"/>
  <c r="P100" i="6" s="1"/>
  <c r="AJ103" i="24" a="1"/>
  <c r="AJ103" i="24" s="1"/>
  <c r="AJ177" i="24" a="1"/>
  <c r="AJ177" i="24" s="1"/>
  <c r="AJ86" i="24" a="1"/>
  <c r="AJ86" i="24" s="1"/>
  <c r="C93" i="6" s="1" a="1"/>
  <c r="C93" i="6" s="1"/>
  <c r="AJ171" i="24" a="1"/>
  <c r="AJ171" i="24" s="1"/>
  <c r="D99" i="6" s="1" a="1"/>
  <c r="D99" i="6" s="1"/>
  <c r="AJ2" i="24" a="1"/>
  <c r="AJ2" i="24" s="1"/>
  <c r="AJ96" i="24" a="1"/>
  <c r="AJ96" i="24" s="1"/>
  <c r="M93" i="6" s="1" a="1"/>
  <c r="M93" i="6" s="1"/>
  <c r="AJ208" i="24" a="1"/>
  <c r="AJ208" i="24" s="1"/>
  <c r="M101" i="6" s="1" a="1"/>
  <c r="M101" i="6" s="1"/>
  <c r="AJ93" i="24" a="1"/>
  <c r="AJ93" i="24" s="1"/>
  <c r="J93" i="6" s="1" a="1"/>
  <c r="J93" i="6" s="1"/>
  <c r="AJ220" i="24" a="1"/>
  <c r="AJ220" i="24" s="1"/>
  <c r="AJ76" i="24" a="1"/>
  <c r="AJ76" i="24" s="1"/>
  <c r="AJ80" i="24" a="1"/>
  <c r="AJ80" i="24" s="1"/>
  <c r="K92" i="6" s="1" a="1"/>
  <c r="K92" i="6" s="1"/>
  <c r="AJ188" i="24" a="1"/>
  <c r="AJ188" i="24" s="1"/>
  <c r="G100" i="6" s="1" a="1"/>
  <c r="G100" i="6" s="1"/>
  <c r="AJ200" i="24" a="1"/>
  <c r="AJ200" i="24" s="1"/>
  <c r="E101" i="6" s="1" a="1"/>
  <c r="E101" i="6" s="1"/>
  <c r="AJ19" i="24" a="1"/>
  <c r="AJ19" i="24" s="1"/>
  <c r="F88" i="6" s="1" a="1"/>
  <c r="F88" i="6" s="1"/>
  <c r="AJ5" i="24" a="1"/>
  <c r="AJ5" i="24" s="1"/>
  <c r="F87" i="6" s="1" a="1"/>
  <c r="F87" i="6" s="1"/>
  <c r="AJ47" i="24" a="1"/>
  <c r="AJ47" i="24" s="1"/>
  <c r="F90" i="6" s="1" a="1"/>
  <c r="F90" i="6" s="1"/>
  <c r="AJ41" i="24" a="1"/>
  <c r="AJ41" i="24" s="1"/>
  <c r="AJ121" i="24" a="1"/>
  <c r="AJ121" i="24" s="1"/>
  <c r="AJ149" i="24" a="1"/>
  <c r="AJ149" i="24" s="1"/>
  <c r="AJ205" i="24" a="1"/>
  <c r="AJ205" i="24" s="1"/>
  <c r="J101" i="6" s="1" a="1"/>
  <c r="J101" i="6" s="1"/>
  <c r="AJ162" i="24" a="1"/>
  <c r="AJ162" i="24" s="1"/>
  <c r="AJ223" i="24" a="1"/>
  <c r="AJ223" i="24" s="1"/>
  <c r="N102" i="6" s="1" a="1"/>
  <c r="N102" i="6" s="1"/>
  <c r="AJ82" i="24" a="1"/>
  <c r="AJ82" i="24" s="1"/>
  <c r="M92" i="6" s="1" a="1"/>
  <c r="M92" i="6" s="1"/>
  <c r="AJ67" i="24" a="1"/>
  <c r="AJ67" i="24" s="1"/>
  <c r="L91" i="6" s="1" a="1"/>
  <c r="L91" i="6" s="1"/>
  <c r="AJ43" i="24" a="1"/>
  <c r="AJ43" i="24" s="1"/>
  <c r="P89" i="6" s="1" a="1"/>
  <c r="P89" i="6" s="1"/>
  <c r="AJ155" i="24" a="1"/>
  <c r="AJ155" i="24" s="1"/>
  <c r="AJ130" i="24" a="1"/>
  <c r="AJ130" i="24" s="1"/>
  <c r="E96" i="6" s="1" a="1"/>
  <c r="E96" i="6" s="1"/>
  <c r="AJ116" i="24" a="1"/>
  <c r="AJ116" i="24" s="1"/>
  <c r="E95" i="6" s="1" a="1"/>
  <c r="E95" i="6" s="1"/>
  <c r="AJ158" i="24" a="1"/>
  <c r="AJ158" i="24" s="1"/>
  <c r="AJ144" i="24" a="1"/>
  <c r="AJ144" i="24" s="1"/>
  <c r="E97" i="6" s="1" a="1"/>
  <c r="E97" i="6" s="1"/>
  <c r="AJ98" i="24" a="1"/>
  <c r="AJ98" i="24" s="1"/>
  <c r="O93" i="6" s="1" a="1"/>
  <c r="O93" i="6" s="1"/>
  <c r="G136" i="24" a="1"/>
  <c r="G136" i="24" s="1"/>
  <c r="H137" i="24" s="1"/>
  <c r="AJ10" i="24" a="1"/>
  <c r="AJ10" i="24" s="1"/>
  <c r="AJ24" i="24" a="1"/>
  <c r="AJ24" i="24" s="1"/>
  <c r="AJ52" i="24" a="1"/>
  <c r="AJ52" i="24" s="1"/>
  <c r="K90" i="6" s="1" a="1"/>
  <c r="K90" i="6" s="1"/>
  <c r="AJ165" i="24" a="1"/>
  <c r="AJ165" i="24" s="1"/>
  <c r="L98" i="6" s="1" a="1"/>
  <c r="L98" i="6" s="1"/>
  <c r="AJ199" i="24" a="1"/>
  <c r="AJ199" i="24" s="1"/>
  <c r="D101" i="6" s="1" a="1"/>
  <c r="D101" i="6" s="1"/>
  <c r="AJ69" i="24" a="1"/>
  <c r="AJ69" i="24" s="1"/>
  <c r="N91" i="6" s="1" a="1"/>
  <c r="N91" i="6" s="1"/>
  <c r="AJ79" i="24" a="1"/>
  <c r="AJ79" i="24" s="1"/>
  <c r="J92" i="6" s="1" a="1"/>
  <c r="J92" i="6" s="1"/>
  <c r="AJ185" i="24" a="1"/>
  <c r="AJ185" i="24" s="1"/>
  <c r="D100" i="6" s="1" a="1"/>
  <c r="D100" i="6" s="1"/>
  <c r="AJ40" i="24" a="1"/>
  <c r="AJ40" i="24" s="1"/>
  <c r="AJ66" i="24" a="1"/>
  <c r="AJ66" i="24" s="1"/>
  <c r="AJ218" i="24" a="1"/>
  <c r="AJ218" i="24" s="1"/>
  <c r="I102" i="6" s="1" a="1"/>
  <c r="I102" i="6" s="1"/>
  <c r="AJ179" i="24" a="1"/>
  <c r="AJ179" i="24" s="1"/>
  <c r="L99" i="6" s="1" a="1"/>
  <c r="L99" i="6" s="1"/>
  <c r="AJ113" i="24" a="1"/>
  <c r="AJ113" i="24" s="1"/>
  <c r="AJ44" i="24" a="1"/>
  <c r="AJ44" i="24" s="1"/>
  <c r="C90" i="6" s="1" a="1"/>
  <c r="C90" i="6" s="1"/>
  <c r="AJ142" i="24" a="1"/>
  <c r="AJ142" i="24" s="1"/>
  <c r="C97" i="6" s="1" a="1"/>
  <c r="C97" i="6" s="1"/>
  <c r="AJ184" i="24" a="1"/>
  <c r="AJ184" i="24" s="1"/>
  <c r="C100" i="6" s="1" a="1"/>
  <c r="C100" i="6" s="1"/>
  <c r="AJ18" i="24" a="1"/>
  <c r="AJ18" i="24" s="1"/>
  <c r="AJ4" i="24" a="1"/>
  <c r="AJ4" i="24" s="1"/>
  <c r="AJ46" i="24" a="1"/>
  <c r="AJ46" i="24" s="1"/>
  <c r="E90" i="6" s="1" a="1"/>
  <c r="E90" i="6" s="1"/>
  <c r="AJ189" i="24" a="1"/>
  <c r="AJ189" i="24" s="1"/>
  <c r="AJ97" i="24" a="1"/>
  <c r="AJ97" i="24" s="1"/>
  <c r="AJ26" i="24" a="1"/>
  <c r="AJ26" i="24" s="1"/>
  <c r="M88" i="6" s="1" a="1"/>
  <c r="M88" i="6" s="1"/>
  <c r="AJ12" i="24" a="1"/>
  <c r="AJ12" i="24" s="1"/>
  <c r="M87" i="6" s="1" a="1"/>
  <c r="M87" i="6" s="1"/>
  <c r="AJ54" i="24" a="1"/>
  <c r="AJ54" i="24" s="1"/>
  <c r="M90" i="6" s="1" a="1"/>
  <c r="M90" i="6" s="1"/>
  <c r="AJ161" i="24" a="1"/>
  <c r="AJ161" i="24" s="1"/>
  <c r="AJ104" i="24" a="1"/>
  <c r="AJ104" i="24" s="1"/>
  <c r="G94" i="6" s="1" a="1"/>
  <c r="G94" i="6" s="1"/>
  <c r="AJ178" i="24" a="1"/>
  <c r="AJ178" i="24" s="1"/>
  <c r="K99" i="6" s="1" a="1"/>
  <c r="K99" i="6" s="1"/>
  <c r="AJ101" i="24" a="1"/>
  <c r="AJ101" i="24" s="1"/>
  <c r="D94" i="6" s="1" a="1"/>
  <c r="D94" i="6" s="1"/>
  <c r="AJ213" i="24" a="1"/>
  <c r="AJ213" i="24" s="1"/>
  <c r="AJ78" i="24" a="1"/>
  <c r="AJ78" i="24" s="1"/>
  <c r="I92" i="6" s="1" a="1"/>
  <c r="I92" i="6" s="1"/>
  <c r="AJ39" i="24" a="1"/>
  <c r="AJ39" i="24" s="1"/>
  <c r="L89" i="6" s="1" a="1"/>
  <c r="L89" i="6" s="1"/>
  <c r="AJ214" i="24" a="1"/>
  <c r="AJ214" i="24" s="1"/>
  <c r="E102" i="6" s="1" a="1"/>
  <c r="E102" i="6" s="1"/>
  <c r="AJ140" i="24" a="1"/>
  <c r="AJ140" i="24" s="1"/>
  <c r="AJ126" i="24" a="1"/>
  <c r="AJ126" i="24" s="1"/>
  <c r="AJ196" i="24" a="1"/>
  <c r="AJ196" i="24" s="1"/>
  <c r="O100" i="6" s="1" a="1"/>
  <c r="O100" i="6" s="1"/>
  <c r="AJ210" i="24" a="1"/>
  <c r="AJ210" i="24" s="1"/>
  <c r="AJ89" i="24" a="1"/>
  <c r="AJ89" i="24" s="1"/>
  <c r="F93" i="6" s="1" a="1"/>
  <c r="F93" i="6" s="1"/>
  <c r="AJ84" i="24" a="1"/>
  <c r="AJ84" i="24" s="1"/>
  <c r="O92" i="6" s="1" a="1"/>
  <c r="O92" i="6" s="1"/>
  <c r="AJ95" i="24" a="1"/>
  <c r="AJ95" i="24" s="1"/>
  <c r="L93" i="6" s="1" a="1"/>
  <c r="L93" i="6" s="1"/>
  <c r="AJ127" i="24" a="1"/>
  <c r="AJ127" i="24" s="1"/>
  <c r="P95" i="6" s="1" a="1"/>
  <c r="P95" i="6" s="1"/>
  <c r="AJ141" i="24" a="1"/>
  <c r="AJ141" i="24" s="1"/>
  <c r="AJ169" i="24" a="1"/>
  <c r="AJ169" i="24" s="1"/>
  <c r="AJ211" i="24" a="1"/>
  <c r="AJ211" i="24" s="1"/>
  <c r="P101" i="6" s="1" a="1"/>
  <c r="P101" i="6" s="1"/>
  <c r="AJ209" i="24" a="1"/>
  <c r="AJ209" i="24" s="1"/>
  <c r="N101" i="6" s="1" a="1"/>
  <c r="N101" i="6" s="1"/>
  <c r="AJ11" i="24" a="1"/>
  <c r="AJ11" i="24" s="1"/>
  <c r="L87" i="6" s="1" a="1"/>
  <c r="L87" i="6" s="1"/>
  <c r="AJ53" i="24" a="1"/>
  <c r="AJ53" i="24" s="1"/>
  <c r="L90" i="6" s="1" a="1"/>
  <c r="L90" i="6" s="1"/>
  <c r="AJ25" i="24" a="1"/>
  <c r="AJ25" i="24" s="1"/>
  <c r="L88" i="6" s="1" a="1"/>
  <c r="L88" i="6" s="1"/>
  <c r="AJ174" i="24" a="1"/>
  <c r="AJ174" i="24" s="1"/>
  <c r="G99" i="6" s="1" a="1"/>
  <c r="G99" i="6" s="1"/>
  <c r="AJ34" i="24" a="1"/>
  <c r="AJ34" i="24" s="1"/>
  <c r="AJ172" i="24" a="1"/>
  <c r="AJ172" i="24" s="1"/>
  <c r="E99" i="6" s="1" a="1"/>
  <c r="E99" i="6" s="1"/>
  <c r="AJ222" i="24" a="1"/>
  <c r="AJ222" i="24" s="1"/>
  <c r="M102" i="6" s="1" a="1"/>
  <c r="M102" i="6" s="1"/>
  <c r="AJ108" i="24" a="1"/>
  <c r="AJ108" i="24" s="1"/>
  <c r="K94" i="6" s="1" a="1"/>
  <c r="K94" i="6" s="1"/>
  <c r="AJ31" i="24" a="1"/>
  <c r="AJ31" i="24" s="1"/>
  <c r="D89" i="6" s="1" a="1"/>
  <c r="D89" i="6" s="1"/>
  <c r="AJ3" i="24" a="1"/>
  <c r="AJ3" i="24" s="1"/>
  <c r="D87" i="6" s="1" a="1"/>
  <c r="D87" i="6" s="1"/>
  <c r="AJ17" i="24" a="1"/>
  <c r="AJ17" i="24" s="1"/>
  <c r="D88" i="6" s="1" a="1"/>
  <c r="D88" i="6" s="1"/>
  <c r="AJ28" i="24" a="1"/>
  <c r="AJ28" i="24" s="1"/>
  <c r="O88" i="6" s="1" a="1"/>
  <c r="O88" i="6" s="1"/>
  <c r="AJ14" i="24" a="1"/>
  <c r="AJ14" i="24" s="1"/>
  <c r="AJ56" i="24" a="1"/>
  <c r="AJ56" i="24" s="1"/>
  <c r="AJ65" i="24" a="1"/>
  <c r="AJ65" i="24" s="1"/>
  <c r="J91" i="6" s="1" a="1"/>
  <c r="J91" i="6" s="1"/>
  <c r="AJ83" i="24" a="1"/>
  <c r="AJ83" i="24" s="1"/>
  <c r="N92" i="6" s="1" a="1"/>
  <c r="N92" i="6" s="1"/>
  <c r="AJ64" i="24" a="1"/>
  <c r="AJ64" i="24" s="1"/>
  <c r="AJ74" i="24" a="1"/>
  <c r="AJ74" i="24" s="1"/>
  <c r="E92" i="6" s="1" a="1"/>
  <c r="E92" i="6" s="1"/>
  <c r="AJ143" i="24" a="1"/>
  <c r="AJ143" i="24" s="1"/>
  <c r="D97" i="6" s="1" a="1"/>
  <c r="D97" i="6" s="1"/>
  <c r="AJ129" i="24" a="1"/>
  <c r="AJ129" i="24" s="1"/>
  <c r="D96" i="6" s="1" a="1"/>
  <c r="D96" i="6" s="1"/>
  <c r="AJ115" i="24" a="1"/>
  <c r="AJ115" i="24" s="1"/>
  <c r="AJ157" i="24" a="1"/>
  <c r="AJ157" i="24" s="1"/>
  <c r="AJ201" i="24" a="1"/>
  <c r="AJ201" i="24" s="1"/>
  <c r="F101" i="6" s="1" a="1"/>
  <c r="F101" i="6" s="1"/>
  <c r="AJ92" i="24" a="1"/>
  <c r="AJ92" i="24" s="1"/>
  <c r="I93" i="6" s="1" a="1"/>
  <c r="I93" i="6" s="1"/>
  <c r="AJ191" i="24" a="1"/>
  <c r="AJ191" i="24" s="1"/>
  <c r="AJ99" i="24" a="1"/>
  <c r="AJ99" i="24" s="1"/>
  <c r="P93" i="6" s="1" a="1"/>
  <c r="P93" i="6" s="1"/>
  <c r="AJ100" i="24" a="1"/>
  <c r="AJ100" i="24" s="1"/>
  <c r="C94" i="6" s="1" a="1"/>
  <c r="C94" i="6" s="1"/>
  <c r="AJ62" i="24" a="1"/>
  <c r="AJ62" i="24" s="1"/>
  <c r="G91" i="6" s="1" a="1"/>
  <c r="G91" i="6" s="1"/>
  <c r="AJ72" i="24" a="1"/>
  <c r="AJ72" i="24" s="1"/>
  <c r="AJ58" i="24" a="1"/>
  <c r="AJ58" i="24" s="1"/>
  <c r="C91" i="6" s="1" a="1"/>
  <c r="C91" i="6" s="1"/>
  <c r="AJ120" i="24" a="1"/>
  <c r="AJ120" i="24" s="1"/>
  <c r="I95" i="6" s="1" a="1"/>
  <c r="I95" i="6" s="1"/>
  <c r="AJ204" i="24" a="1"/>
  <c r="AJ204" i="24" s="1"/>
  <c r="I101" i="6" s="1" a="1"/>
  <c r="I101" i="6" s="1"/>
  <c r="AJ148" i="24" a="1"/>
  <c r="AJ148" i="24" s="1"/>
  <c r="I97" i="6" s="1" a="1"/>
  <c r="I97" i="6" s="1"/>
  <c r="AJ30" i="24" a="1"/>
  <c r="AJ30" i="24" s="1"/>
  <c r="C89" i="6" s="1" a="1"/>
  <c r="C89" i="6" s="1"/>
  <c r="AJ16" i="24" a="1"/>
  <c r="AJ16" i="24" s="1"/>
  <c r="C88" i="6" s="1" a="1"/>
  <c r="C88" i="6" s="1"/>
  <c r="AJ27" i="24" a="1"/>
  <c r="AJ27" i="24" s="1"/>
  <c r="N88" i="6" s="1" a="1"/>
  <c r="N88" i="6" s="1"/>
  <c r="AJ13" i="24" a="1"/>
  <c r="AJ13" i="24" s="1"/>
  <c r="AJ55" i="24" a="1"/>
  <c r="AJ55" i="24" s="1"/>
  <c r="AJ63" i="24" a="1"/>
  <c r="AJ63" i="24" s="1"/>
  <c r="H91" i="6" s="1" a="1"/>
  <c r="H91" i="6" s="1"/>
  <c r="AJ114" i="24" a="1"/>
  <c r="AJ114" i="24" s="1"/>
  <c r="C95" i="6" s="1" a="1"/>
  <c r="C95" i="6" s="1"/>
  <c r="AJ170" i="24" a="1"/>
  <c r="AJ170" i="24" s="1"/>
  <c r="C99" i="6" s="1" a="1"/>
  <c r="C99" i="6" s="1"/>
  <c r="AJ128" i="24" a="1"/>
  <c r="AJ128" i="24" s="1"/>
  <c r="C96" i="6" s="1" a="1"/>
  <c r="C96" i="6" s="1"/>
  <c r="AJ198" i="24" a="1"/>
  <c r="AJ198" i="24" s="1"/>
  <c r="C101" i="6" s="1" a="1"/>
  <c r="C101" i="6" s="1"/>
  <c r="AJ206" i="24" a="1"/>
  <c r="AJ206" i="24" s="1"/>
  <c r="K101" i="6" s="1" a="1"/>
  <c r="K101" i="6" s="1"/>
  <c r="AJ88" i="24" a="1"/>
  <c r="AJ88" i="24" s="1"/>
  <c r="AJ164" i="24" a="1"/>
  <c r="AJ164" i="24" s="1"/>
  <c r="AJ122" i="24" a="1"/>
  <c r="AJ122" i="24" s="1"/>
  <c r="K95" i="6" s="1" a="1"/>
  <c r="K95" i="6" s="1"/>
  <c r="AJ150" i="24" a="1"/>
  <c r="AJ150" i="24" s="1"/>
  <c r="K97" i="6" s="1" a="1"/>
  <c r="K97" i="6" s="1"/>
  <c r="AJ136" i="24" a="1"/>
  <c r="AJ136" i="24" s="1"/>
  <c r="K96" i="6" s="1" a="1"/>
  <c r="K96" i="6" s="1"/>
  <c r="AJ60" i="24" a="1"/>
  <c r="AJ60" i="24" s="1"/>
  <c r="E91" i="6" s="1" a="1"/>
  <c r="E91" i="6" s="1"/>
  <c r="AJ33" i="24" a="1"/>
  <c r="AJ33" i="24" s="1"/>
  <c r="F89" i="6" s="1" a="1"/>
  <c r="F89" i="6" s="1"/>
  <c r="AJ102" i="24" a="1"/>
  <c r="AJ102" i="24" s="1"/>
  <c r="E94" i="6" s="1" a="1"/>
  <c r="E94" i="6" s="1"/>
  <c r="AJ166" i="24" a="1"/>
  <c r="AJ166" i="24" s="1"/>
  <c r="AJ87" i="24" a="1"/>
  <c r="AJ87" i="24" s="1"/>
  <c r="D93" i="6" s="1" a="1"/>
  <c r="D93" i="6" s="1"/>
  <c r="AJ45" i="24" a="1"/>
  <c r="AJ45" i="24" s="1"/>
  <c r="D90" i="6" s="1" a="1"/>
  <c r="D90" i="6" s="1"/>
  <c r="AJ138" i="24" a="1"/>
  <c r="AJ138" i="24" s="1"/>
  <c r="M96" i="6" s="1" a="1"/>
  <c r="M96" i="6" s="1"/>
  <c r="AJ124" i="24" a="1"/>
  <c r="AJ124" i="24" s="1"/>
  <c r="M95" i="6" s="1" a="1"/>
  <c r="M95" i="6" s="1"/>
  <c r="AJ152" i="24" a="1"/>
  <c r="AJ152" i="24" s="1"/>
  <c r="M97" i="6" s="1" a="1"/>
  <c r="M97" i="6" s="1"/>
  <c r="AJ194" i="24" a="1"/>
  <c r="AJ194" i="24" s="1"/>
  <c r="M100" i="6" s="1" a="1"/>
  <c r="M100" i="6" s="1"/>
  <c r="AJ203" i="24" a="1"/>
  <c r="AJ203" i="24" s="1"/>
  <c r="H101" i="6" s="1" a="1"/>
  <c r="H101" i="6" s="1"/>
  <c r="AJ111" i="24" a="1"/>
  <c r="AJ111" i="24" s="1"/>
  <c r="AJ132" i="24" a="1"/>
  <c r="AJ132" i="24" s="1"/>
  <c r="AJ118" i="24" a="1"/>
  <c r="AJ118" i="24" s="1"/>
  <c r="G95" i="6" s="1" a="1"/>
  <c r="G95" i="6" s="1"/>
  <c r="AJ160" i="24" a="1"/>
  <c r="AJ160" i="24" s="1"/>
  <c r="G98" i="6" s="1" a="1"/>
  <c r="G98" i="6" s="1"/>
  <c r="AJ146" i="24" a="1"/>
  <c r="AJ146" i="24" s="1"/>
  <c r="G97" i="6" s="1" a="1"/>
  <c r="G97" i="6" s="1"/>
  <c r="AJ91" i="24" a="1"/>
  <c r="AJ91" i="24" s="1"/>
  <c r="H93" i="6" s="1" a="1"/>
  <c r="H93" i="6" s="1"/>
  <c r="AJ167" i="24" a="1"/>
  <c r="AJ167" i="24" s="1"/>
  <c r="N98" i="6" s="1" a="1"/>
  <c r="N98" i="6" s="1"/>
  <c r="AJ71" i="24" a="1"/>
  <c r="AJ71" i="24" s="1"/>
  <c r="P91" i="6" s="1" a="1"/>
  <c r="P91" i="6" s="1"/>
  <c r="AJ42" i="24" a="1"/>
  <c r="AJ42" i="24" s="1"/>
  <c r="AJ36" i="24" a="1"/>
  <c r="AJ36" i="24" s="1"/>
  <c r="I89" i="6" s="1" a="1"/>
  <c r="I89" i="6" s="1"/>
  <c r="AJ8" i="24" a="1"/>
  <c r="AJ8" i="24" s="1"/>
  <c r="I87" i="6" s="1" a="1"/>
  <c r="I87" i="6" s="1"/>
  <c r="AJ22" i="24" a="1"/>
  <c r="AJ22" i="24" s="1"/>
  <c r="I88" i="6" s="1" a="1"/>
  <c r="I88" i="6" s="1"/>
  <c r="AJ50" i="24" a="1"/>
  <c r="AJ50" i="24" s="1"/>
  <c r="I90" i="6" s="1" a="1"/>
  <c r="I90" i="6" s="1"/>
  <c r="AJ35" i="24" a="1"/>
  <c r="AJ35" i="24" s="1"/>
  <c r="H89" i="6" s="1" a="1"/>
  <c r="H89" i="6" s="1"/>
  <c r="AJ49" i="24" a="1"/>
  <c r="AJ49" i="24" s="1"/>
  <c r="H90" i="6" s="1" a="1"/>
  <c r="H90" i="6" s="1"/>
  <c r="AJ21" i="24" a="1"/>
  <c r="AJ21" i="24" s="1"/>
  <c r="H88" i="6" s="1" a="1"/>
  <c r="H88" i="6" s="1"/>
  <c r="AJ7" i="24" a="1"/>
  <c r="AJ7" i="24" s="1"/>
  <c r="AJ20" i="24" a="1"/>
  <c r="AJ20" i="24" s="1"/>
  <c r="G88" i="6" s="1" a="1"/>
  <c r="G88" i="6" s="1"/>
  <c r="AJ6" i="24" a="1"/>
  <c r="AJ6" i="24" s="1"/>
  <c r="G87" i="6" s="1" a="1"/>
  <c r="G87" i="6" s="1"/>
  <c r="AJ48" i="24" a="1"/>
  <c r="AJ48" i="24" s="1"/>
  <c r="G90" i="6" s="1" a="1"/>
  <c r="G90" i="6" s="1"/>
  <c r="AJ119" i="24" a="1"/>
  <c r="AJ119" i="24" s="1"/>
  <c r="H95" i="6" s="1" a="1"/>
  <c r="H95" i="6" s="1"/>
  <c r="AJ175" i="24" a="1"/>
  <c r="AJ175" i="24" s="1"/>
  <c r="H99" i="6" s="1" a="1"/>
  <c r="H99" i="6" s="1"/>
  <c r="AJ147" i="24" a="1"/>
  <c r="AJ147" i="24" s="1"/>
  <c r="H97" i="6" s="1" a="1"/>
  <c r="H97" i="6" s="1"/>
  <c r="AJ75" i="24" a="1"/>
  <c r="AJ75" i="24" s="1"/>
  <c r="F92" i="6" s="1" a="1"/>
  <c r="F92" i="6" s="1"/>
  <c r="AJ107" i="24" a="1"/>
  <c r="AJ107" i="24" s="1"/>
  <c r="AJ133" i="24" a="1"/>
  <c r="AJ133" i="24" s="1"/>
  <c r="AJ68" i="24" a="1"/>
  <c r="AJ68" i="24" s="1"/>
  <c r="M91" i="6" s="1" a="1"/>
  <c r="M91" i="6" s="1"/>
  <c r="AJ70" i="24" a="1"/>
  <c r="AJ70" i="24" s="1"/>
  <c r="O91" i="6" s="1" a="1"/>
  <c r="O91" i="6" s="1"/>
  <c r="AJ131" i="24" a="1"/>
  <c r="AJ131" i="24" s="1"/>
  <c r="F96" i="6" s="1" a="1"/>
  <c r="F96" i="6" s="1"/>
  <c r="AJ159" i="24" a="1"/>
  <c r="AJ159" i="24" s="1"/>
  <c r="F98" i="6" s="1" a="1"/>
  <c r="F98" i="6" s="1"/>
  <c r="AJ117" i="24" a="1"/>
  <c r="AJ117" i="24" s="1"/>
  <c r="F95" i="6" s="1" a="1"/>
  <c r="F95" i="6" s="1"/>
  <c r="AJ145" i="24" a="1"/>
  <c r="AJ145" i="24" s="1"/>
  <c r="F97" i="6" s="1" a="1"/>
  <c r="F97" i="6" s="1"/>
  <c r="AJ94" i="24" a="1"/>
  <c r="AJ94" i="24" s="1"/>
  <c r="AJ59" i="24" a="1"/>
  <c r="AJ59" i="24" s="1"/>
  <c r="D91" i="6" s="1" a="1"/>
  <c r="D91" i="6" s="1"/>
  <c r="AJ134" i="24" a="1"/>
  <c r="AJ134" i="24" s="1"/>
  <c r="I96" i="6" s="1" a="1"/>
  <c r="I96" i="6" s="1"/>
  <c r="AJ207" i="24" a="1"/>
  <c r="AJ207" i="24" s="1"/>
  <c r="L101" i="6" s="1" a="1"/>
  <c r="L101" i="6" s="1"/>
  <c r="AJ224" i="24" a="1"/>
  <c r="AJ224" i="24" s="1"/>
  <c r="O102" i="6" s="1" a="1"/>
  <c r="O102" i="6" s="1"/>
  <c r="AJ85" i="24" a="1"/>
  <c r="AJ85" i="24" s="1"/>
  <c r="P92" i="6" s="1" a="1"/>
  <c r="P92" i="6" s="1"/>
  <c r="AJ186" i="24" a="1"/>
  <c r="AJ186" i="24" s="1"/>
  <c r="E100" i="6" s="1" a="1"/>
  <c r="E100" i="6" s="1"/>
  <c r="AJ219" i="24" a="1"/>
  <c r="AJ219" i="24" s="1"/>
  <c r="J102" i="6" s="1" a="1"/>
  <c r="J102" i="6" s="1"/>
  <c r="AJ9" i="24" a="1"/>
  <c r="AJ9" i="24" s="1"/>
  <c r="AJ51" i="24" a="1"/>
  <c r="AJ51" i="24" s="1"/>
  <c r="J90" i="6" s="1" a="1"/>
  <c r="J90" i="6" s="1"/>
  <c r="AJ23" i="24" a="1"/>
  <c r="AJ23" i="24" s="1"/>
  <c r="J88" i="6" s="1" a="1"/>
  <c r="J88" i="6" s="1"/>
  <c r="AJ61" i="24" a="1"/>
  <c r="AJ61" i="24" s="1"/>
  <c r="F91" i="6" s="1" a="1"/>
  <c r="F91" i="6" s="1"/>
  <c r="AJ106" i="24" a="1"/>
  <c r="AJ106" i="24" s="1"/>
  <c r="I94" i="6" s="1" a="1"/>
  <c r="I94" i="6" s="1"/>
  <c r="AJ181" i="24" a="1"/>
  <c r="AJ181" i="24" s="1"/>
  <c r="N99" i="6" s="1" a="1"/>
  <c r="N99" i="6" s="1"/>
  <c r="AJ192" i="24" a="1"/>
  <c r="AJ192" i="24" s="1"/>
  <c r="K100" i="6" s="1" a="1"/>
  <c r="K100" i="6" s="1"/>
  <c r="AJ193" i="24" a="1"/>
  <c r="AJ193" i="24" s="1"/>
  <c r="L100" i="6" s="1" a="1"/>
  <c r="L100" i="6" s="1"/>
  <c r="AJ137" i="24" a="1"/>
  <c r="AJ137" i="24" s="1"/>
  <c r="AJ123" i="24" a="1"/>
  <c r="AJ123" i="24" s="1"/>
  <c r="L95" i="6" s="1" a="1"/>
  <c r="L95" i="6" s="1"/>
  <c r="AJ151" i="24" a="1"/>
  <c r="AJ151" i="24" s="1"/>
  <c r="L97" i="6" s="1" a="1"/>
  <c r="L97" i="6" s="1"/>
  <c r="AJ225" i="24" a="1"/>
  <c r="AJ225" i="24" s="1"/>
  <c r="P102" i="6" s="1" a="1"/>
  <c r="P102" i="6" s="1"/>
  <c r="AJ168" i="24" a="1"/>
  <c r="AJ168" i="24" s="1"/>
  <c r="O98" i="6" s="1" a="1"/>
  <c r="O98" i="6" s="1"/>
  <c r="AJ29" i="24" a="1"/>
  <c r="AJ29" i="24" s="1"/>
  <c r="P88" i="6" s="1" a="1"/>
  <c r="P88" i="6" s="1"/>
  <c r="AJ15" i="24" a="1"/>
  <c r="AJ15" i="24" s="1"/>
  <c r="P87" i="6" s="1" a="1"/>
  <c r="P87" i="6" s="1"/>
  <c r="AJ57" i="24" a="1"/>
  <c r="AJ57" i="24" s="1"/>
  <c r="P90" i="6" s="1" a="1"/>
  <c r="P90" i="6" s="1"/>
  <c r="AJ156" i="24" a="1"/>
  <c r="AJ156" i="24" s="1"/>
  <c r="AJ77" i="24" a="1"/>
  <c r="AJ77" i="24" s="1"/>
  <c r="H92" i="6" s="1" a="1"/>
  <c r="H92" i="6" s="1"/>
  <c r="AJ215" i="24" a="1"/>
  <c r="AJ215" i="24" s="1"/>
  <c r="F102" i="6" s="1" a="1"/>
  <c r="F102" i="6" s="1"/>
  <c r="AJ216" i="24" a="1"/>
  <c r="AJ216" i="24" s="1"/>
  <c r="G102" i="6" s="1" a="1"/>
  <c r="G102" i="6" s="1"/>
  <c r="AJ37" i="24" a="1"/>
  <c r="AJ37" i="24" s="1"/>
  <c r="J89" i="6" s="1" a="1"/>
  <c r="J89" i="6" s="1"/>
  <c r="AJ81" i="24" a="1"/>
  <c r="AJ81" i="24" s="1"/>
  <c r="L92" i="6" s="1" a="1"/>
  <c r="L92" i="6" s="1"/>
  <c r="AJ187" i="24" a="1"/>
  <c r="AJ187" i="24" s="1"/>
  <c r="F100" i="6" s="1" a="1"/>
  <c r="F100" i="6" s="1"/>
  <c r="AJ139" i="24" a="1"/>
  <c r="AJ139" i="24" s="1"/>
  <c r="N96" i="6" s="1" a="1"/>
  <c r="N96" i="6" s="1"/>
  <c r="AJ195" i="24" a="1"/>
  <c r="AJ195" i="24" s="1"/>
  <c r="AJ125" i="24" a="1"/>
  <c r="AJ125" i="24" s="1"/>
  <c r="N95" i="6" s="1" a="1"/>
  <c r="N95" i="6" s="1"/>
  <c r="AJ153" i="24" a="1"/>
  <c r="AJ153" i="24" s="1"/>
  <c r="N97" i="6" s="1" a="1"/>
  <c r="N97" i="6" s="1"/>
  <c r="AJ109" i="24" a="1"/>
  <c r="AJ109" i="24" s="1"/>
  <c r="L94" i="6" s="1" a="1"/>
  <c r="L94" i="6" s="1"/>
  <c r="AJ135" i="24" a="1"/>
  <c r="AJ135" i="24" s="1"/>
  <c r="J96" i="6" s="1" a="1"/>
  <c r="J96" i="6" s="1"/>
  <c r="AJ38" i="24" a="1"/>
  <c r="AJ38" i="24" s="1"/>
  <c r="K89" i="6" s="1" a="1"/>
  <c r="K89" i="6" s="1"/>
  <c r="AJ182" i="24" a="1"/>
  <c r="AJ182" i="24" s="1"/>
  <c r="O99" i="6" s="1" a="1"/>
  <c r="O99" i="6" s="1"/>
  <c r="G63" i="24" a="1"/>
  <c r="G63" i="24" s="1"/>
  <c r="H40" i="6" s="1" a="1"/>
  <c r="H40" i="6" s="1"/>
  <c r="F94" i="6" a="1"/>
  <c r="F94" i="6" s="1"/>
  <c r="G88" i="24" a="1"/>
  <c r="G88" i="24" s="1"/>
  <c r="H89" i="24" s="1"/>
  <c r="G30" i="24" a="1"/>
  <c r="G30" i="24" s="1"/>
  <c r="I30" i="24" s="1"/>
  <c r="G206" i="24" a="1"/>
  <c r="G206" i="24" s="1"/>
  <c r="H207" i="24" s="1"/>
  <c r="G114" i="24" a="1"/>
  <c r="G114" i="24" s="1"/>
  <c r="I114" i="24" s="1"/>
  <c r="C102" i="6" a="1"/>
  <c r="C102" i="6" s="1"/>
  <c r="G177" i="24" a="1"/>
  <c r="G177" i="24" s="1"/>
  <c r="J48" i="6" s="1" a="1"/>
  <c r="J48" i="6" s="1"/>
  <c r="G8" i="24" a="1"/>
  <c r="G8" i="24" s="1"/>
  <c r="G148" i="24" a="1"/>
  <c r="G148" i="24" s="1"/>
  <c r="G50" i="24" a="1"/>
  <c r="G50" i="24" s="1"/>
  <c r="G218" i="24" a="1"/>
  <c r="G218" i="24" s="1"/>
  <c r="G204" i="24" a="1"/>
  <c r="G204" i="24" s="1"/>
  <c r="G162" i="24" a="1"/>
  <c r="G162" i="24" s="1"/>
  <c r="G78" i="24" a="1"/>
  <c r="G78" i="24" s="1"/>
  <c r="G106" i="24" a="1"/>
  <c r="G106" i="24" s="1"/>
  <c r="G22" i="24" a="1"/>
  <c r="G22" i="24" s="1"/>
  <c r="G36" i="24" a="1"/>
  <c r="G36" i="24" s="1"/>
  <c r="G120" i="24" a="1"/>
  <c r="G120" i="24" s="1"/>
  <c r="G54" i="24" a="1"/>
  <c r="G54" i="24" s="1"/>
  <c r="G194" i="24" a="1"/>
  <c r="G194" i="24" s="1"/>
  <c r="G152" i="24" a="1"/>
  <c r="G152" i="24" s="1"/>
  <c r="G12" i="24" a="1"/>
  <c r="G12" i="24" s="1"/>
  <c r="G138" i="24" a="1"/>
  <c r="G138" i="24" s="1"/>
  <c r="G26" i="24" a="1"/>
  <c r="G26" i="24" s="1"/>
  <c r="G124" i="24" a="1"/>
  <c r="G124" i="24" s="1"/>
  <c r="G44" i="24" a="1"/>
  <c r="G44" i="24" s="1"/>
  <c r="C92" i="6" a="1"/>
  <c r="C92" i="6" s="1"/>
  <c r="G212" i="24" a="1"/>
  <c r="G212" i="24" s="1"/>
  <c r="G58" i="24" a="1"/>
  <c r="G58" i="24" s="1"/>
  <c r="G190" i="24" a="1"/>
  <c r="G190" i="24" s="1"/>
  <c r="G189" i="24" a="1"/>
  <c r="G189" i="24" s="1"/>
  <c r="G208" i="24" a="1"/>
  <c r="G208" i="24" s="1"/>
  <c r="G222" i="24" a="1"/>
  <c r="G222" i="24" s="1"/>
  <c r="G33" i="24" a="1"/>
  <c r="G33" i="24" s="1"/>
  <c r="G62" i="24" a="1"/>
  <c r="G62" i="24" s="1"/>
  <c r="G90" i="24" a="1"/>
  <c r="G90" i="24" s="1"/>
  <c r="O97" i="6" a="1"/>
  <c r="O97" i="6" s="1"/>
  <c r="G154" i="24" a="1"/>
  <c r="G154" i="24" s="1"/>
  <c r="L102" i="6" a="1"/>
  <c r="L102" i="6" s="1"/>
  <c r="G221" i="24" a="1"/>
  <c r="G221" i="24" s="1"/>
  <c r="G160" i="24" a="1"/>
  <c r="G160" i="24" s="1"/>
  <c r="G119" i="24" a="1"/>
  <c r="G119" i="24" s="1"/>
  <c r="N90" i="6" a="1"/>
  <c r="N90" i="6" s="1"/>
  <c r="N87" i="6" a="1"/>
  <c r="N87" i="6" s="1"/>
  <c r="G167" i="24" a="1"/>
  <c r="G167" i="24" s="1"/>
  <c r="G55" i="24" a="1"/>
  <c r="G55" i="24" s="1"/>
  <c r="G153" i="24" a="1"/>
  <c r="G153" i="24" s="1"/>
  <c r="G125" i="24" a="1"/>
  <c r="G125" i="24" s="1"/>
  <c r="G13" i="24" a="1"/>
  <c r="G13" i="24" s="1"/>
  <c r="G27" i="24" a="1"/>
  <c r="G27" i="24" s="1"/>
  <c r="G41" i="24" a="1"/>
  <c r="G41" i="24" s="1"/>
  <c r="G83" i="24" a="1"/>
  <c r="G83" i="24" s="1"/>
  <c r="G195" i="24" a="1"/>
  <c r="G195" i="24" s="1"/>
  <c r="G97" i="24" a="1"/>
  <c r="G97" i="24" s="1"/>
  <c r="E98" i="6" a="1"/>
  <c r="E98" i="6" s="1"/>
  <c r="G130" i="24" a="1"/>
  <c r="G130" i="24" s="1"/>
  <c r="G98" i="24" a="1"/>
  <c r="G98" i="24" s="1"/>
  <c r="G217" i="24" a="1"/>
  <c r="G217" i="24" s="1"/>
  <c r="G100" i="24" a="1"/>
  <c r="G100" i="24" s="1"/>
  <c r="G86" i="24" a="1"/>
  <c r="G86" i="24" s="1"/>
  <c r="G32" i="24" a="1"/>
  <c r="G32" i="24" s="1"/>
  <c r="G144" i="24" a="1"/>
  <c r="G144" i="24" s="1"/>
  <c r="G16" i="24" a="1"/>
  <c r="G16" i="24" s="1"/>
  <c r="G103" i="24" a="1"/>
  <c r="G103" i="24" s="1"/>
  <c r="G170" i="24" a="1"/>
  <c r="G170" i="24" s="1"/>
  <c r="G128" i="24" a="1"/>
  <c r="G128" i="24" s="1"/>
  <c r="G2" i="24" a="1"/>
  <c r="G2" i="24" s="1"/>
  <c r="G142" i="24" a="1"/>
  <c r="G142" i="24" s="1"/>
  <c r="C98" i="6" a="1"/>
  <c r="C98" i="6" s="1"/>
  <c r="G156" i="24" a="1"/>
  <c r="G156" i="24" s="1"/>
  <c r="G72" i="24" a="1"/>
  <c r="G72" i="24" s="1"/>
  <c r="G184" i="24" a="1"/>
  <c r="G184" i="24" s="1"/>
  <c r="G173" i="24" a="1"/>
  <c r="G173" i="24" s="1"/>
  <c r="G198" i="24" a="1"/>
  <c r="G198" i="24" s="1"/>
  <c r="G151" i="24" a="1"/>
  <c r="G151" i="24" s="1"/>
  <c r="G25" i="24" a="1"/>
  <c r="G25" i="24" s="1"/>
  <c r="G39" i="24" a="1"/>
  <c r="G39" i="24" s="1"/>
  <c r="G53" i="24" a="1"/>
  <c r="G53" i="24" s="1"/>
  <c r="G123" i="24" a="1"/>
  <c r="G123" i="24" s="1"/>
  <c r="G11" i="24" a="1"/>
  <c r="G11" i="24" s="1"/>
  <c r="G165" i="24" a="1"/>
  <c r="G165" i="24" s="1"/>
  <c r="G101" i="24" a="1"/>
  <c r="G101" i="24" s="1"/>
  <c r="G35" i="24" a="1"/>
  <c r="G35" i="24" s="1"/>
  <c r="G92" i="6" a="1"/>
  <c r="G92" i="6" s="1"/>
  <c r="G76" i="24" a="1"/>
  <c r="G76" i="24" s="1"/>
  <c r="G93" i="24" a="1"/>
  <c r="G93" i="24" s="1"/>
  <c r="G77" i="24" a="1"/>
  <c r="G77" i="24" s="1"/>
  <c r="G186" i="24" a="1"/>
  <c r="G186" i="24" s="1"/>
  <c r="K102" i="6" a="1"/>
  <c r="K102" i="6" s="1"/>
  <c r="G220" i="24" a="1"/>
  <c r="G220" i="24" s="1"/>
  <c r="G51" i="24" a="1"/>
  <c r="G51" i="24" s="1"/>
  <c r="G65" i="24" a="1"/>
  <c r="G65" i="24" s="1"/>
  <c r="I99" i="6" a="1"/>
  <c r="I99" i="6" s="1"/>
  <c r="G176" i="24" a="1"/>
  <c r="G176" i="24" s="1"/>
  <c r="J99" i="6" a="1"/>
  <c r="J99" i="6" s="1"/>
  <c r="G172" i="24" a="1"/>
  <c r="G172" i="24" s="1"/>
  <c r="H98" i="6" a="1"/>
  <c r="H98" i="6" s="1"/>
  <c r="G161" i="24" a="1"/>
  <c r="G161" i="24" s="1"/>
  <c r="M94" i="6" a="1"/>
  <c r="M94" i="6" s="1"/>
  <c r="G110" i="24" a="1"/>
  <c r="G110" i="24" s="1"/>
  <c r="G129" i="24" a="1"/>
  <c r="G129" i="24" s="1"/>
  <c r="G48" i="24" a="1"/>
  <c r="G48" i="24" s="1"/>
  <c r="G60" i="24" a="1"/>
  <c r="G60" i="24" s="1"/>
  <c r="G215" i="24" a="1"/>
  <c r="G215" i="24" s="1"/>
  <c r="G102" i="24" a="1"/>
  <c r="G102" i="24" s="1"/>
  <c r="G188" i="24" a="1"/>
  <c r="G188" i="24" s="1"/>
  <c r="M98" i="6" a="1"/>
  <c r="M98" i="6" s="1"/>
  <c r="G166" i="24" a="1"/>
  <c r="G166" i="24" s="1"/>
  <c r="G216" i="24" a="1"/>
  <c r="G216" i="24" s="1"/>
  <c r="O87" i="6" a="1"/>
  <c r="O87" i="6" s="1"/>
  <c r="O90" i="6" a="1"/>
  <c r="O90" i="6" s="1"/>
  <c r="G42" i="24" a="1"/>
  <c r="G42" i="24" s="1"/>
  <c r="O89" i="6" a="1"/>
  <c r="O89" i="6" s="1"/>
  <c r="G14" i="24" a="1"/>
  <c r="G14" i="24" s="1"/>
  <c r="G210" i="24" a="1"/>
  <c r="G210" i="24" s="1"/>
  <c r="G182" i="24" a="1"/>
  <c r="G182" i="24" s="1"/>
  <c r="G168" i="24" a="1"/>
  <c r="G168" i="24" s="1"/>
  <c r="G126" i="24" a="1"/>
  <c r="G126" i="24" s="1"/>
  <c r="G28" i="24" a="1"/>
  <c r="G28" i="24" s="1"/>
  <c r="G140" i="24" a="1"/>
  <c r="G140" i="24" s="1"/>
  <c r="G196" i="24" a="1"/>
  <c r="G196" i="24" s="1"/>
  <c r="G56" i="24" a="1"/>
  <c r="G56" i="24" s="1"/>
  <c r="G84" i="24" a="1"/>
  <c r="G84" i="24" s="1"/>
  <c r="G79" i="24" a="1"/>
  <c r="G79" i="24" s="1"/>
  <c r="K88" i="6" a="1"/>
  <c r="K88" i="6" s="1"/>
  <c r="K87" i="6" a="1"/>
  <c r="K87" i="6" s="1"/>
  <c r="G38" i="24" a="1"/>
  <c r="G38" i="24" s="1"/>
  <c r="G192" i="24" a="1"/>
  <c r="G192" i="24" s="1"/>
  <c r="G24" i="24" a="1"/>
  <c r="G24" i="24" s="1"/>
  <c r="G94" i="24" a="1"/>
  <c r="G94" i="24" s="1"/>
  <c r="G66" i="24" a="1"/>
  <c r="G66" i="24" s="1"/>
  <c r="G52" i="24" a="1"/>
  <c r="G52" i="24" s="1"/>
  <c r="G122" i="24" a="1"/>
  <c r="G122" i="24" s="1"/>
  <c r="G150" i="24" a="1"/>
  <c r="G150" i="24" s="1"/>
  <c r="G178" i="24" a="1"/>
  <c r="G178" i="24" s="1"/>
  <c r="G174" i="24" a="1"/>
  <c r="G174" i="24" s="1"/>
  <c r="G46" i="24" a="1"/>
  <c r="G46" i="24" s="1"/>
  <c r="G105" i="24" a="1"/>
  <c r="G105" i="24" s="1"/>
  <c r="N93" i="6" a="1"/>
  <c r="N93" i="6" s="1"/>
  <c r="G101" i="6" a="1"/>
  <c r="G101" i="6" s="1"/>
  <c r="G202" i="24" a="1"/>
  <c r="G202" i="24" s="1"/>
  <c r="G75" i="24" a="1"/>
  <c r="G75" i="24" s="1"/>
  <c r="E93" i="6" a="1"/>
  <c r="E93" i="6" s="1"/>
  <c r="G89" i="6" a="1"/>
  <c r="G89" i="6" s="1"/>
  <c r="G34" i="24" a="1"/>
  <c r="G34" i="24" s="1"/>
  <c r="J94" i="6" a="1"/>
  <c r="J94" i="6" s="1"/>
  <c r="G107" i="24" a="1"/>
  <c r="G107" i="24" s="1"/>
  <c r="G200" i="24" a="1"/>
  <c r="G200" i="24" s="1"/>
  <c r="G87" i="24" a="1"/>
  <c r="G87" i="24" s="1"/>
  <c r="G112" i="24" a="1"/>
  <c r="G112" i="24" s="1"/>
  <c r="G73" i="24" a="1"/>
  <c r="G73" i="24" s="1"/>
  <c r="G163" i="24" a="1"/>
  <c r="G163" i="24" s="1"/>
  <c r="G6" i="24" a="1"/>
  <c r="G6" i="24" s="1"/>
  <c r="G118" i="24" a="1"/>
  <c r="G118" i="24" s="1"/>
  <c r="G20" i="24" a="1"/>
  <c r="G20" i="24" s="1"/>
  <c r="G146" i="24" a="1"/>
  <c r="G146" i="24" s="1"/>
  <c r="G213" i="24" a="1"/>
  <c r="G213" i="24" s="1"/>
  <c r="G61" i="24" a="1"/>
  <c r="G61" i="24" s="1"/>
  <c r="G171" i="24" a="1"/>
  <c r="G171" i="24" s="1"/>
  <c r="G45" i="24" a="1"/>
  <c r="G45" i="24" s="1"/>
  <c r="G3" i="24" a="1"/>
  <c r="G3" i="24" s="1"/>
  <c r="G10" i="24" a="1"/>
  <c r="G10" i="24" s="1"/>
  <c r="G108" i="24" a="1"/>
  <c r="G108" i="24" s="1"/>
  <c r="G219" i="24" a="1"/>
  <c r="G219" i="24" s="1"/>
  <c r="G133" i="24" a="1"/>
  <c r="G133" i="24" s="1"/>
  <c r="G5" i="24" a="1"/>
  <c r="G5" i="24" s="1"/>
  <c r="G81" i="24" a="1"/>
  <c r="G81" i="24" s="1"/>
  <c r="K98" i="6" a="1"/>
  <c r="K98" i="6" s="1"/>
  <c r="G164" i="24" a="1"/>
  <c r="G164" i="24" s="1"/>
  <c r="G209" i="24" a="1"/>
  <c r="G209" i="24" s="1"/>
  <c r="G37" i="24" a="1"/>
  <c r="G37" i="24" s="1"/>
  <c r="G185" i="24" a="1"/>
  <c r="G185" i="24" s="1"/>
  <c r="G96" i="24" a="1"/>
  <c r="G96" i="24" s="1"/>
  <c r="G104" i="24" a="1"/>
  <c r="G104" i="24" s="1"/>
  <c r="G18" i="24" a="1"/>
  <c r="G18" i="24" s="1"/>
  <c r="H96" i="6" a="1"/>
  <c r="H96" i="6" s="1"/>
  <c r="G117" i="24" a="1"/>
  <c r="G117" i="24" s="1"/>
  <c r="G159" i="24" a="1"/>
  <c r="G159" i="24" s="1"/>
  <c r="G145" i="24" a="1"/>
  <c r="G145" i="24" s="1"/>
  <c r="G47" i="24" a="1"/>
  <c r="G47" i="24" s="1"/>
  <c r="G19" i="24" a="1"/>
  <c r="G19" i="24" s="1"/>
  <c r="G89" i="24" a="1"/>
  <c r="G89" i="24" s="1"/>
  <c r="D102" i="6" a="1"/>
  <c r="D102" i="6" s="1"/>
  <c r="J87" i="6" a="1"/>
  <c r="J87" i="6" s="1"/>
  <c r="G205" i="24" a="1"/>
  <c r="G205" i="24" s="1"/>
  <c r="G9" i="24" a="1"/>
  <c r="G9" i="24" s="1"/>
  <c r="G121" i="24" a="1"/>
  <c r="G121" i="24" s="1"/>
  <c r="G23" i="24" a="1"/>
  <c r="G23" i="24" s="1"/>
  <c r="G69" i="24" a="1"/>
  <c r="G69" i="24" s="1"/>
  <c r="N89" i="6" a="1"/>
  <c r="N89" i="6" s="1"/>
  <c r="G203" i="24" a="1"/>
  <c r="G203" i="24" s="1"/>
  <c r="G111" i="24" a="1"/>
  <c r="G111" i="24" s="1"/>
  <c r="G70" i="24" a="1"/>
  <c r="G70" i="24" s="1"/>
  <c r="E87" i="6" a="1"/>
  <c r="E87" i="6" s="1"/>
  <c r="E88" i="6" a="1"/>
  <c r="E88" i="6" s="1"/>
  <c r="G158" i="24" a="1"/>
  <c r="G158" i="24" s="1"/>
  <c r="G116" i="24" a="1"/>
  <c r="G116" i="24" s="1"/>
  <c r="G214" i="24" a="1"/>
  <c r="G214" i="24" s="1"/>
  <c r="G4" i="24" a="1"/>
  <c r="G4" i="24" s="1"/>
  <c r="H100" i="6" a="1"/>
  <c r="H100" i="6" s="1"/>
  <c r="H87" i="6" a="1"/>
  <c r="H87" i="6" s="1"/>
  <c r="G49" i="24" a="1"/>
  <c r="G49" i="24" s="1"/>
  <c r="G7" i="24" a="1"/>
  <c r="G7" i="24" s="1"/>
  <c r="G21" i="24" a="1"/>
  <c r="G21" i="24" s="1"/>
  <c r="G147" i="24" a="1"/>
  <c r="G147" i="24" s="1"/>
  <c r="G91" i="24" a="1"/>
  <c r="G91" i="24" s="1"/>
  <c r="G175" i="24" a="1"/>
  <c r="G175" i="24" s="1"/>
  <c r="G93" i="6" a="1"/>
  <c r="G93" i="6" s="1"/>
  <c r="G180" i="24" a="1"/>
  <c r="G180" i="24" s="1"/>
  <c r="G17" i="24" a="1"/>
  <c r="G17" i="24" s="1"/>
  <c r="G157" i="24" a="1"/>
  <c r="G157" i="24" s="1"/>
  <c r="G31" i="24" a="1"/>
  <c r="G31" i="24" s="1"/>
  <c r="G115" i="24" a="1"/>
  <c r="G115" i="24" s="1"/>
  <c r="G199" i="24" a="1"/>
  <c r="G199" i="24" s="1"/>
  <c r="G80" i="24" a="1"/>
  <c r="G80" i="24" s="1"/>
  <c r="G193" i="24" a="1"/>
  <c r="G193" i="24" s="1"/>
  <c r="G149" i="24" a="1"/>
  <c r="G149" i="24" s="1"/>
  <c r="G68" i="24" a="1"/>
  <c r="G68" i="24" s="1"/>
  <c r="G187" i="24" a="1"/>
  <c r="G187" i="24" s="1"/>
  <c r="G135" i="24" a="1"/>
  <c r="G135" i="24" s="1"/>
  <c r="M89" i="6" a="1"/>
  <c r="M89" i="6" s="1"/>
  <c r="N100" i="6" a="1"/>
  <c r="N100" i="6" s="1"/>
  <c r="G139" i="24" a="1"/>
  <c r="G139" i="24" s="1"/>
  <c r="G179" i="24" a="1"/>
  <c r="G179" i="24" s="1"/>
  <c r="K91" i="6" a="1"/>
  <c r="K91" i="6" s="1"/>
  <c r="G109" i="24" a="1"/>
  <c r="G109" i="24" s="1"/>
  <c r="G201" i="24" a="1"/>
  <c r="G201" i="24" s="1"/>
  <c r="G134" i="24" a="1"/>
  <c r="G134" i="24" s="1"/>
  <c r="P97" i="6" a="1"/>
  <c r="P97" i="6" s="1"/>
  <c r="G43" i="24" a="1"/>
  <c r="G43" i="24" s="1"/>
  <c r="P38" i="6" s="1" a="1"/>
  <c r="P38" i="6" s="1"/>
  <c r="G183" i="24" a="1"/>
  <c r="G183" i="24" s="1"/>
  <c r="P48" i="6" s="1" a="1"/>
  <c r="P48" i="6" s="1"/>
  <c r="G225" i="24" a="1"/>
  <c r="G225" i="24" s="1"/>
  <c r="P51" i="6" s="1" a="1"/>
  <c r="P51" i="6" s="1"/>
  <c r="I98" i="6" a="1"/>
  <c r="I98" i="6" s="1"/>
  <c r="K93" i="6" a="1"/>
  <c r="K93" i="6" s="1"/>
  <c r="G223" i="24" a="1"/>
  <c r="G223" i="24" s="1"/>
  <c r="G197" i="24" a="1"/>
  <c r="G197" i="24" s="1"/>
  <c r="P49" i="6" s="1" a="1"/>
  <c r="P49" i="6" s="1"/>
  <c r="G191" i="24" a="1"/>
  <c r="G191" i="24" s="1"/>
  <c r="G131" i="24" a="1"/>
  <c r="G131" i="24" s="1"/>
  <c r="G82" i="24" a="1"/>
  <c r="G82" i="24" s="1"/>
  <c r="G92" i="24" a="1"/>
  <c r="G92" i="24" s="1"/>
  <c r="G71" i="24" a="1"/>
  <c r="G71" i="24" s="1"/>
  <c r="P40" i="6" s="1" a="1"/>
  <c r="P40" i="6" s="1"/>
  <c r="G74" i="24" a="1"/>
  <c r="G74" i="24" s="1"/>
  <c r="G207" i="24" a="1"/>
  <c r="G207" i="24" s="1"/>
  <c r="J95" i="6" a="1"/>
  <c r="J95" i="6" s="1"/>
  <c r="J97" i="6" a="1"/>
  <c r="J97" i="6" s="1"/>
  <c r="D98" i="6" a="1"/>
  <c r="D98" i="6" s="1"/>
  <c r="D95" i="6" a="1"/>
  <c r="D95" i="6" s="1"/>
  <c r="G143" i="24" a="1"/>
  <c r="G143" i="24" s="1"/>
  <c r="I91" i="6" a="1"/>
  <c r="I91" i="6" s="1"/>
  <c r="G64" i="24" a="1"/>
  <c r="G64" i="24" s="1"/>
  <c r="G181" i="24" a="1"/>
  <c r="G181" i="24" s="1"/>
  <c r="G40" i="24" a="1"/>
  <c r="G40" i="24" s="1"/>
  <c r="N94" i="6" a="1"/>
  <c r="N94" i="6" s="1"/>
  <c r="O96" i="6" a="1"/>
  <c r="O96" i="6" s="1"/>
  <c r="O101" i="6" a="1"/>
  <c r="O101" i="6" s="1"/>
  <c r="O95" i="6" a="1"/>
  <c r="O95" i="6" s="1"/>
  <c r="G132" i="24" a="1"/>
  <c r="G132" i="24" s="1"/>
  <c r="G96" i="6" a="1"/>
  <c r="G96" i="6" s="1"/>
  <c r="G137" i="24" a="1"/>
  <c r="G137" i="24" s="1"/>
  <c r="G224" i="24" a="1"/>
  <c r="G224" i="24" s="1"/>
  <c r="G95" i="24" a="1"/>
  <c r="G95" i="24" s="1"/>
  <c r="G113" i="24" a="1"/>
  <c r="G113" i="24" s="1"/>
  <c r="P43" i="6" s="1" a="1"/>
  <c r="P43" i="6" s="1"/>
  <c r="J100" i="6" a="1"/>
  <c r="J100" i="6" s="1"/>
  <c r="P98" i="6" a="1"/>
  <c r="P98" i="6" s="1"/>
  <c r="L96" i="6" a="1"/>
  <c r="L96" i="6" s="1"/>
  <c r="G59" i="24" a="1"/>
  <c r="G59" i="24" s="1"/>
  <c r="G99" i="24" a="1"/>
  <c r="G99" i="24" s="1"/>
  <c r="P42" i="6" s="1" a="1"/>
  <c r="P42" i="6" s="1"/>
  <c r="G67" i="24" a="1"/>
  <c r="G67" i="24" s="1"/>
  <c r="G57" i="24" a="1"/>
  <c r="G57" i="24" s="1"/>
  <c r="P39" i="6" s="1" a="1"/>
  <c r="P39" i="6" s="1"/>
  <c r="G29" i="24" a="1"/>
  <c r="G29" i="24" s="1"/>
  <c r="P37" i="6" s="1" a="1"/>
  <c r="P37" i="6" s="1"/>
  <c r="G169" i="24" a="1"/>
  <c r="G169" i="24" s="1"/>
  <c r="P47" i="6" s="1" a="1"/>
  <c r="P47" i="6" s="1"/>
  <c r="G141" i="24" a="1"/>
  <c r="G141" i="24" s="1"/>
  <c r="P45" i="6" s="1" a="1"/>
  <c r="P45" i="6" s="1"/>
  <c r="P94" i="6" a="1"/>
  <c r="P94" i="6" s="1"/>
  <c r="G127" i="24" a="1"/>
  <c r="G127" i="24" s="1"/>
  <c r="P44" i="6" s="1" a="1"/>
  <c r="P44" i="6" s="1"/>
  <c r="P96" i="6" a="1"/>
  <c r="P96" i="6" s="1"/>
  <c r="G155" i="24" a="1"/>
  <c r="G155" i="24" s="1"/>
  <c r="P46" i="6" s="1" a="1"/>
  <c r="P46" i="6" s="1"/>
  <c r="G85" i="24" a="1"/>
  <c r="G85" i="24" s="1"/>
  <c r="P41" i="6" s="1" a="1"/>
  <c r="P41" i="6" s="1"/>
  <c r="G15" i="24" a="1"/>
  <c r="G15" i="24" s="1"/>
  <c r="P36" i="6" s="1" a="1"/>
  <c r="P36" i="6" s="1"/>
  <c r="G211" i="24" a="1"/>
  <c r="G211" i="24" s="1"/>
  <c r="P50" i="6" s="1" a="1"/>
  <c r="P50" i="6" s="1"/>
  <c r="C87" i="6" l="1" a="1"/>
  <c r="C87" i="6" s="1"/>
  <c r="U41" i="6"/>
  <c r="U49" i="6"/>
  <c r="U50" i="6"/>
  <c r="U37" i="6"/>
  <c r="U43" i="6"/>
  <c r="U46" i="6"/>
  <c r="U51" i="6"/>
  <c r="U45" i="6"/>
  <c r="U38" i="6"/>
  <c r="U39" i="6"/>
  <c r="U47" i="6"/>
  <c r="U48" i="6"/>
  <c r="U44" i="6"/>
  <c r="U42" i="6"/>
  <c r="U40" i="6"/>
  <c r="U36" i="6"/>
  <c r="H64" i="24"/>
  <c r="H178" i="24"/>
  <c r="K45" i="6" a="1"/>
  <c r="K45" i="6" s="1"/>
  <c r="E42" i="6" a="1"/>
  <c r="E42" i="6" s="1"/>
  <c r="K50" i="6" a="1"/>
  <c r="K50" i="6" s="1"/>
  <c r="C38" i="6" a="1"/>
  <c r="C38" i="6" s="1"/>
  <c r="H31" i="24"/>
  <c r="I31" i="24" s="1"/>
  <c r="H115" i="24"/>
  <c r="I115" i="24" s="1"/>
  <c r="C44" i="6" a="1"/>
  <c r="C44" i="6" s="1"/>
  <c r="R102" i="6"/>
  <c r="Q94" i="6"/>
  <c r="R91" i="6"/>
  <c r="M40" i="6" a="1"/>
  <c r="M40" i="6" s="1"/>
  <c r="H69" i="24"/>
  <c r="I69" i="24" s="1"/>
  <c r="D50" i="6" a="1"/>
  <c r="D50" i="6" s="1"/>
  <c r="H200" i="24"/>
  <c r="I200" i="24" s="1"/>
  <c r="M48" i="6" a="1"/>
  <c r="M48" i="6" s="1"/>
  <c r="H181" i="24"/>
  <c r="I181" i="24" s="1"/>
  <c r="H46" i="6" a="1"/>
  <c r="H46" i="6" s="1"/>
  <c r="H148" i="24"/>
  <c r="I148" i="24" s="1"/>
  <c r="C27" i="27" a="1"/>
  <c r="C27" i="27" s="1"/>
  <c r="O40" i="6" a="1"/>
  <c r="O40" i="6" s="1"/>
  <c r="H24" i="24"/>
  <c r="I24" i="24" s="1"/>
  <c r="J37" i="6" a="1"/>
  <c r="J37" i="6" s="1"/>
  <c r="H165" i="24"/>
  <c r="I165" i="24" s="1"/>
  <c r="K47" i="6" a="1"/>
  <c r="K47" i="6" s="1"/>
  <c r="H45" i="6" a="1"/>
  <c r="H45" i="6" s="1"/>
  <c r="H134" i="24"/>
  <c r="I134" i="24" s="1"/>
  <c r="E50" i="6" a="1"/>
  <c r="E50" i="6" s="1"/>
  <c r="H201" i="24"/>
  <c r="I201" i="24" s="1"/>
  <c r="H43" i="6" a="1"/>
  <c r="H43" i="6" s="1"/>
  <c r="H106" i="24"/>
  <c r="I106" i="24" s="1"/>
  <c r="K40" i="6" a="1"/>
  <c r="K40" i="6" s="1"/>
  <c r="H67" i="24"/>
  <c r="I67" i="24" s="1"/>
  <c r="H80" i="24"/>
  <c r="I80" i="24" s="1"/>
  <c r="J41" i="6" a="1"/>
  <c r="J41" i="6" s="1"/>
  <c r="O48" i="6" a="1"/>
  <c r="O48" i="6" s="1"/>
  <c r="C35" i="27" a="1"/>
  <c r="C35" i="27" s="1"/>
  <c r="H217" i="24"/>
  <c r="I217" i="24" s="1"/>
  <c r="G51" i="6" a="1"/>
  <c r="G51" i="6" s="1"/>
  <c r="E48" i="6" a="1"/>
  <c r="E48" i="6" s="1"/>
  <c r="H173" i="24"/>
  <c r="I173" i="24" s="1"/>
  <c r="L38" i="6" a="1"/>
  <c r="L38" i="6" s="1"/>
  <c r="H40" i="24"/>
  <c r="I40" i="24" s="1"/>
  <c r="I64" i="24"/>
  <c r="D5" i="1" a="1"/>
  <c r="D5" i="1" s="1"/>
  <c r="D17" i="1" a="1"/>
  <c r="D17" i="1" s="1"/>
  <c r="H3" i="24"/>
  <c r="I3" i="24" s="1"/>
  <c r="D14" i="1" a="1"/>
  <c r="D14" i="1" s="1"/>
  <c r="D6" i="1" a="1"/>
  <c r="D6" i="1" s="1"/>
  <c r="I2" i="24"/>
  <c r="C36" i="6" a="1"/>
  <c r="C36" i="6" s="1"/>
  <c r="D7" i="1" a="1"/>
  <c r="D7" i="1" s="1"/>
  <c r="D12" i="1" a="1"/>
  <c r="D12" i="1" s="1"/>
  <c r="D11" i="1" a="1"/>
  <c r="D11" i="1" s="1"/>
  <c r="D13" i="1" a="1"/>
  <c r="D13" i="1" s="1"/>
  <c r="D18" i="1" a="1"/>
  <c r="D18" i="1" s="1"/>
  <c r="D15" i="1" a="1"/>
  <c r="D15" i="1" s="1"/>
  <c r="D10" i="1" a="1"/>
  <c r="D10" i="1" s="1"/>
  <c r="D16" i="1" a="1"/>
  <c r="D16" i="1" s="1"/>
  <c r="D9" i="1" a="1"/>
  <c r="D9" i="1" s="1"/>
  <c r="D8" i="1" a="1"/>
  <c r="D8" i="1" s="1"/>
  <c r="D19" i="1" a="1"/>
  <c r="D19" i="1" s="1"/>
  <c r="D20" i="1" a="1"/>
  <c r="D20" i="1" s="1"/>
  <c r="V11" i="1" a="1"/>
  <c r="V11" i="1" s="1"/>
  <c r="X11" i="1" s="1"/>
  <c r="L8" i="1" a="1"/>
  <c r="L8" i="1" s="1"/>
  <c r="N8" i="1" s="1"/>
  <c r="Q102" i="6"/>
  <c r="R93" i="6"/>
  <c r="Q93" i="6"/>
  <c r="Q91" i="6"/>
  <c r="H127" i="24"/>
  <c r="I127" i="24" s="1"/>
  <c r="H126" i="24"/>
  <c r="I126" i="24" s="1"/>
  <c r="N44" i="6" a="1"/>
  <c r="N44" i="6" s="1"/>
  <c r="G42" i="6" a="1"/>
  <c r="G42" i="6" s="1"/>
  <c r="H91" i="24"/>
  <c r="I91" i="24" s="1"/>
  <c r="M51" i="6" a="1"/>
  <c r="M51" i="6" s="1"/>
  <c r="H223" i="24"/>
  <c r="I223" i="24" s="1"/>
  <c r="I212" i="24"/>
  <c r="H213" i="24"/>
  <c r="I213" i="24" s="1"/>
  <c r="C51" i="6" a="1"/>
  <c r="C51" i="6" s="1"/>
  <c r="M46" i="6" a="1"/>
  <c r="M46" i="6" s="1"/>
  <c r="H153" i="24"/>
  <c r="I153" i="24" s="1"/>
  <c r="I37" i="6" a="1"/>
  <c r="I37" i="6" s="1"/>
  <c r="H23" i="24"/>
  <c r="I23" i="24" s="1"/>
  <c r="I36" i="6" a="1"/>
  <c r="I36" i="6" s="1"/>
  <c r="H9" i="24"/>
  <c r="I9" i="24" s="1"/>
  <c r="L42" i="6" a="1"/>
  <c r="L42" i="6" s="1"/>
  <c r="H96" i="24"/>
  <c r="I96" i="24" s="1"/>
  <c r="G45" i="6" a="1"/>
  <c r="G45" i="6" s="1"/>
  <c r="H133" i="24"/>
  <c r="I133" i="24" s="1"/>
  <c r="H116" i="24"/>
  <c r="I116" i="24" s="1"/>
  <c r="D44" i="6" a="1"/>
  <c r="D44" i="6" s="1"/>
  <c r="H37" i="6" a="1"/>
  <c r="H37" i="6" s="1"/>
  <c r="H22" i="24"/>
  <c r="I22" i="24" s="1"/>
  <c r="E36" i="6" a="1"/>
  <c r="E36" i="6" s="1"/>
  <c r="H5" i="24"/>
  <c r="I5" i="24" s="1"/>
  <c r="J44" i="6" a="1"/>
  <c r="J44" i="6" s="1"/>
  <c r="H122" i="24"/>
  <c r="I122" i="24" s="1"/>
  <c r="G43" i="6" a="1"/>
  <c r="G43" i="6" s="1"/>
  <c r="H105" i="24"/>
  <c r="I105" i="24" s="1"/>
  <c r="J51" i="6" a="1"/>
  <c r="J51" i="6" s="1"/>
  <c r="H220" i="24"/>
  <c r="I220" i="24" s="1"/>
  <c r="F40" i="6" a="1"/>
  <c r="F40" i="6" s="1"/>
  <c r="H62" i="24"/>
  <c r="I62" i="24" s="1"/>
  <c r="E39" i="6" a="1"/>
  <c r="E39" i="6" s="1"/>
  <c r="H47" i="24"/>
  <c r="I47" i="24" s="1"/>
  <c r="K42" i="6" a="1"/>
  <c r="K42" i="6" s="1"/>
  <c r="H95" i="24"/>
  <c r="I95" i="24" s="1"/>
  <c r="C28" i="27" a="1"/>
  <c r="C28" i="27" s="1"/>
  <c r="O41" i="6" a="1"/>
  <c r="O41" i="6" s="1"/>
  <c r="C37" i="27" a="1"/>
  <c r="C37" i="27" s="1"/>
  <c r="O50" i="6" a="1"/>
  <c r="O50" i="6" s="1"/>
  <c r="M47" i="6" a="1"/>
  <c r="M47" i="6" s="1"/>
  <c r="H167" i="24"/>
  <c r="I167" i="24" s="1"/>
  <c r="H187" i="24"/>
  <c r="I187" i="24" s="1"/>
  <c r="E49" i="6" a="1"/>
  <c r="E49" i="6" s="1"/>
  <c r="H38" i="6" a="1"/>
  <c r="H38" i="6" s="1"/>
  <c r="H36" i="24"/>
  <c r="I36" i="24" s="1"/>
  <c r="H26" i="24"/>
  <c r="I26" i="24" s="1"/>
  <c r="L37" i="6" a="1"/>
  <c r="L37" i="6" s="1"/>
  <c r="F48" i="6" a="1"/>
  <c r="F48" i="6" s="1"/>
  <c r="H174" i="24"/>
  <c r="I174" i="24" s="1"/>
  <c r="I128" i="24"/>
  <c r="C45" i="6" a="1"/>
  <c r="C45" i="6" s="1"/>
  <c r="H129" i="24"/>
  <c r="I129" i="24" s="1"/>
  <c r="V6" i="1" a="1"/>
  <c r="V6" i="1" s="1"/>
  <c r="X6" i="1" s="1"/>
  <c r="L11" i="1" a="1"/>
  <c r="L11" i="1" s="1"/>
  <c r="N11" i="1" s="1"/>
  <c r="Q101" i="6"/>
  <c r="R101" i="6"/>
  <c r="H51" i="6" a="1"/>
  <c r="H51" i="6" s="1"/>
  <c r="H218" i="24"/>
  <c r="I218" i="24" s="1"/>
  <c r="H155" i="24"/>
  <c r="I155" i="24" s="1"/>
  <c r="H154" i="24"/>
  <c r="I154" i="24" s="1"/>
  <c r="N46" i="6" a="1"/>
  <c r="N46" i="6" s="1"/>
  <c r="G40" i="6" a="1"/>
  <c r="G40" i="6" s="1"/>
  <c r="H63" i="24"/>
  <c r="I63" i="24" s="1"/>
  <c r="M50" i="6" a="1"/>
  <c r="M50" i="6" s="1"/>
  <c r="H209" i="24"/>
  <c r="I209" i="24" s="1"/>
  <c r="R92" i="6"/>
  <c r="Q92" i="6"/>
  <c r="M49" i="6" a="1"/>
  <c r="M49" i="6" s="1"/>
  <c r="H195" i="24"/>
  <c r="I195" i="24" s="1"/>
  <c r="H107" i="24"/>
  <c r="I107" i="24" s="1"/>
  <c r="I43" i="6" a="1"/>
  <c r="I43" i="6" s="1"/>
  <c r="H93" i="24"/>
  <c r="I93" i="24" s="1"/>
  <c r="I42" i="6" a="1"/>
  <c r="I42" i="6" s="1"/>
  <c r="H135" i="24"/>
  <c r="I135" i="24" s="1"/>
  <c r="I45" i="6" a="1"/>
  <c r="I45" i="6" s="1"/>
  <c r="J46" i="6" a="1"/>
  <c r="J46" i="6" s="1"/>
  <c r="H150" i="24"/>
  <c r="I150" i="24" s="1"/>
  <c r="D38" i="6" a="1"/>
  <c r="D38" i="6" s="1"/>
  <c r="H32" i="24"/>
  <c r="I32" i="24" s="1"/>
  <c r="H36" i="6" a="1"/>
  <c r="H36" i="6" s="1"/>
  <c r="H8" i="24"/>
  <c r="I8" i="24" s="1"/>
  <c r="E51" i="6" a="1"/>
  <c r="E51" i="6" s="1"/>
  <c r="H215" i="24"/>
  <c r="I215" i="24" s="1"/>
  <c r="J36" i="6" a="1"/>
  <c r="J36" i="6" s="1"/>
  <c r="H10" i="24"/>
  <c r="I10" i="24" s="1"/>
  <c r="H90" i="24"/>
  <c r="I90" i="24" s="1"/>
  <c r="F42" i="6" a="1"/>
  <c r="F42" i="6" s="1"/>
  <c r="D51" i="6" a="1"/>
  <c r="D51" i="6" s="1"/>
  <c r="H214" i="24"/>
  <c r="I214" i="24" s="1"/>
  <c r="H108" i="24"/>
  <c r="I108" i="24" s="1"/>
  <c r="J43" i="6" a="1"/>
  <c r="J43" i="6" s="1"/>
  <c r="R100" i="6"/>
  <c r="Q100" i="6"/>
  <c r="G48" i="6" a="1"/>
  <c r="G48" i="6" s="1"/>
  <c r="H175" i="24"/>
  <c r="I175" i="24" s="1"/>
  <c r="K37" i="6" a="1"/>
  <c r="K37" i="6" s="1"/>
  <c r="H25" i="24"/>
  <c r="I25" i="24" s="1"/>
  <c r="C26" i="27" a="1"/>
  <c r="C26" i="27" s="1"/>
  <c r="O39" i="6" a="1"/>
  <c r="O39" i="6" s="1"/>
  <c r="O36" i="6" a="1"/>
  <c r="O36" i="6" s="1"/>
  <c r="C23" i="27" a="1"/>
  <c r="C23" i="27" s="1"/>
  <c r="G39" i="6" a="1"/>
  <c r="G39" i="6" s="1"/>
  <c r="H49" i="24"/>
  <c r="I49" i="24" s="1"/>
  <c r="D43" i="6" a="1"/>
  <c r="D43" i="6" s="1"/>
  <c r="H102" i="24"/>
  <c r="I102" i="24" s="1"/>
  <c r="R89" i="6"/>
  <c r="Q89" i="6"/>
  <c r="V7" i="1" a="1"/>
  <c r="V7" i="1" s="1"/>
  <c r="X7" i="1" s="1"/>
  <c r="V8" i="1" a="1"/>
  <c r="V8" i="1" s="1"/>
  <c r="X8" i="1" s="1"/>
  <c r="F43" i="6" a="1"/>
  <c r="F43" i="6" s="1"/>
  <c r="H104" i="24"/>
  <c r="I104" i="24" s="1"/>
  <c r="H101" i="24"/>
  <c r="I101" i="24" s="1"/>
  <c r="I100" i="24"/>
  <c r="C43" i="6" a="1"/>
  <c r="C43" i="6" s="1"/>
  <c r="H98" i="24"/>
  <c r="I98" i="24" s="1"/>
  <c r="N42" i="6" a="1"/>
  <c r="N42" i="6" s="1"/>
  <c r="H99" i="24"/>
  <c r="I99" i="24" s="1"/>
  <c r="N39" i="6" a="1"/>
  <c r="N39" i="6" s="1"/>
  <c r="H57" i="24"/>
  <c r="I57" i="24" s="1"/>
  <c r="H56" i="24"/>
  <c r="I56" i="24" s="1"/>
  <c r="R90" i="6"/>
  <c r="Q90" i="6"/>
  <c r="M39" i="6" a="1"/>
  <c r="M39" i="6" s="1"/>
  <c r="H55" i="24"/>
  <c r="I55" i="24" s="1"/>
  <c r="I41" i="6" a="1"/>
  <c r="I41" i="6" s="1"/>
  <c r="H79" i="24"/>
  <c r="I79" i="24" s="1"/>
  <c r="C38" i="27" a="1"/>
  <c r="C38" i="27" s="1"/>
  <c r="O51" i="6" a="1"/>
  <c r="O51" i="6" s="1"/>
  <c r="D46" i="6" a="1"/>
  <c r="D46" i="6" s="1"/>
  <c r="H144" i="24"/>
  <c r="I144" i="24" s="1"/>
  <c r="L48" i="6" a="1"/>
  <c r="L48" i="6" s="1"/>
  <c r="H180" i="24"/>
  <c r="I180" i="24" s="1"/>
  <c r="D47" i="6" a="1"/>
  <c r="D47" i="6" s="1"/>
  <c r="H158" i="24"/>
  <c r="I158" i="24" s="1"/>
  <c r="H50" i="24"/>
  <c r="I50" i="24" s="1"/>
  <c r="H39" i="6" a="1"/>
  <c r="H39" i="6" s="1"/>
  <c r="E44" i="6" a="1"/>
  <c r="E44" i="6" s="1"/>
  <c r="H117" i="24"/>
  <c r="I117" i="24" s="1"/>
  <c r="N43" i="6" a="1"/>
  <c r="N43" i="6" s="1"/>
  <c r="H112" i="24"/>
  <c r="I112" i="24" s="1"/>
  <c r="H113" i="24"/>
  <c r="I113" i="24" s="1"/>
  <c r="J50" i="6" a="1"/>
  <c r="J50" i="6" s="1"/>
  <c r="H206" i="24"/>
  <c r="I206" i="24" s="1"/>
  <c r="F37" i="6" a="1"/>
  <c r="F37" i="6" s="1"/>
  <c r="H20" i="24"/>
  <c r="I20" i="24" s="1"/>
  <c r="M42" i="6" a="1"/>
  <c r="M42" i="6" s="1"/>
  <c r="H97" i="24"/>
  <c r="I97" i="24" s="1"/>
  <c r="K43" i="6" a="1"/>
  <c r="K43" i="6" s="1"/>
  <c r="H109" i="24"/>
  <c r="I109" i="24" s="1"/>
  <c r="J47" i="6" a="1"/>
  <c r="J47" i="6" s="1"/>
  <c r="H164" i="24"/>
  <c r="I164" i="24" s="1"/>
  <c r="H76" i="24"/>
  <c r="I76" i="24" s="1"/>
  <c r="F41" i="6" a="1"/>
  <c r="F41" i="6" s="1"/>
  <c r="K49" i="6" a="1"/>
  <c r="K49" i="6" s="1"/>
  <c r="H193" i="24"/>
  <c r="I193" i="24" s="1"/>
  <c r="O49" i="6" a="1"/>
  <c r="O49" i="6" s="1"/>
  <c r="C36" i="27" a="1"/>
  <c r="C36" i="27" s="1"/>
  <c r="G49" i="6" a="1"/>
  <c r="G49" i="6" s="1"/>
  <c r="H189" i="24"/>
  <c r="I189" i="24" s="1"/>
  <c r="H130" i="24"/>
  <c r="I130" i="24" s="1"/>
  <c r="D45" i="6" a="1"/>
  <c r="D45" i="6" s="1"/>
  <c r="I48" i="6" a="1"/>
  <c r="I48" i="6" s="1"/>
  <c r="H177" i="24"/>
  <c r="I177" i="24" s="1"/>
  <c r="H41" i="6" a="1"/>
  <c r="H41" i="6" s="1"/>
  <c r="H78" i="24"/>
  <c r="I78" i="24" s="1"/>
  <c r="L46" i="6" a="1"/>
  <c r="L46" i="6" s="1"/>
  <c r="H152" i="24"/>
  <c r="I152" i="24" s="1"/>
  <c r="H185" i="24"/>
  <c r="I185" i="24" s="1"/>
  <c r="C49" i="6" a="1"/>
  <c r="C49" i="6" s="1"/>
  <c r="I184" i="24"/>
  <c r="R88" i="6"/>
  <c r="Q88" i="6"/>
  <c r="L6" i="1" a="1"/>
  <c r="L6" i="1" s="1"/>
  <c r="N6" i="1" s="1"/>
  <c r="V10" i="1" a="1"/>
  <c r="V10" i="1" s="1"/>
  <c r="X10" i="1" s="1"/>
  <c r="I16" i="24"/>
  <c r="C37" i="6" a="1"/>
  <c r="C37" i="6" s="1"/>
  <c r="H17" i="24"/>
  <c r="I17" i="24" s="1"/>
  <c r="Q95" i="6"/>
  <c r="R95" i="6"/>
  <c r="O42" i="6" a="1"/>
  <c r="O42" i="6" s="1"/>
  <c r="C29" i="27" a="1"/>
  <c r="C29" i="27" s="1"/>
  <c r="N49" i="6" a="1"/>
  <c r="N49" i="6" s="1"/>
  <c r="H197" i="24"/>
  <c r="I197" i="24" s="1"/>
  <c r="H196" i="24"/>
  <c r="I196" i="24" s="1"/>
  <c r="H169" i="24"/>
  <c r="I169" i="24" s="1"/>
  <c r="H168" i="24"/>
  <c r="I168" i="24" s="1"/>
  <c r="N47" i="6" a="1"/>
  <c r="N47" i="6" s="1"/>
  <c r="G47" i="6" a="1"/>
  <c r="G47" i="6" s="1"/>
  <c r="H161" i="24"/>
  <c r="I161" i="24" s="1"/>
  <c r="F38" i="6" a="1"/>
  <c r="F38" i="6" s="1"/>
  <c r="H34" i="24"/>
  <c r="I34" i="24" s="1"/>
  <c r="R97" i="6"/>
  <c r="Q97" i="6"/>
  <c r="I44" i="24"/>
  <c r="C39" i="6" a="1"/>
  <c r="C39" i="6" s="1"/>
  <c r="H45" i="24"/>
  <c r="I45" i="24" s="1"/>
  <c r="I47" i="6" a="1"/>
  <c r="I47" i="6" s="1"/>
  <c r="H163" i="24"/>
  <c r="I163" i="24" s="1"/>
  <c r="M38" i="6" a="1"/>
  <c r="M38" i="6" s="1"/>
  <c r="H41" i="24"/>
  <c r="I41" i="24" s="1"/>
  <c r="H208" i="24"/>
  <c r="I208" i="24" s="1"/>
  <c r="L50" i="6" a="1"/>
  <c r="L50" i="6" s="1"/>
  <c r="H192" i="24"/>
  <c r="I192" i="24" s="1"/>
  <c r="J49" i="6" a="1"/>
  <c r="J49" i="6" s="1"/>
  <c r="D37" i="6" a="1"/>
  <c r="D37" i="6" s="1"/>
  <c r="H18" i="24"/>
  <c r="I18" i="24" s="1"/>
  <c r="H159" i="24"/>
  <c r="I159" i="24" s="1"/>
  <c r="E47" i="6" a="1"/>
  <c r="E47" i="6" s="1"/>
  <c r="H50" i="6" a="1"/>
  <c r="H50" i="6" s="1"/>
  <c r="H204" i="24"/>
  <c r="I204" i="24" s="1"/>
  <c r="F39" i="6" a="1"/>
  <c r="F39" i="6" s="1"/>
  <c r="H48" i="24"/>
  <c r="I48" i="24" s="1"/>
  <c r="J38" i="6" a="1"/>
  <c r="J38" i="6" s="1"/>
  <c r="H38" i="24"/>
  <c r="I38" i="24" s="1"/>
  <c r="K36" i="6" a="1"/>
  <c r="K36" i="6" s="1"/>
  <c r="H11" i="24"/>
  <c r="I11" i="24" s="1"/>
  <c r="G46" i="6" a="1"/>
  <c r="G46" i="6" s="1"/>
  <c r="H147" i="24"/>
  <c r="I147" i="24" s="1"/>
  <c r="G38" i="6" a="1"/>
  <c r="G38" i="6" s="1"/>
  <c r="H35" i="24"/>
  <c r="I35" i="24" s="1"/>
  <c r="K48" i="6" a="1"/>
  <c r="K48" i="6" s="1"/>
  <c r="H179" i="24"/>
  <c r="I179" i="24" s="1"/>
  <c r="K38" i="6" a="1"/>
  <c r="K38" i="6" s="1"/>
  <c r="H39" i="24"/>
  <c r="I39" i="24" s="1"/>
  <c r="C32" i="27" a="1"/>
  <c r="C32" i="27" s="1"/>
  <c r="O45" i="6" a="1"/>
  <c r="O45" i="6" s="1"/>
  <c r="E43" i="6" a="1"/>
  <c r="E43" i="6" s="1"/>
  <c r="H103" i="24"/>
  <c r="I103" i="24" s="1"/>
  <c r="M43" i="6" a="1"/>
  <c r="M43" i="6" s="1"/>
  <c r="H111" i="24"/>
  <c r="I111" i="24" s="1"/>
  <c r="L47" i="6" a="1"/>
  <c r="L47" i="6" s="1"/>
  <c r="H166" i="24"/>
  <c r="I166" i="24" s="1"/>
  <c r="H73" i="24"/>
  <c r="I73" i="24" s="1"/>
  <c r="I72" i="24"/>
  <c r="C41" i="6" a="1"/>
  <c r="C41" i="6" s="1"/>
  <c r="L5" i="1" a="1"/>
  <c r="L5" i="1" s="1"/>
  <c r="N5" i="1" s="1"/>
  <c r="V9" i="1" a="1"/>
  <c r="V9" i="1" s="1"/>
  <c r="X9" i="1" s="1"/>
  <c r="L7" i="1" a="1"/>
  <c r="L7" i="1" s="1"/>
  <c r="N7" i="1" s="1"/>
  <c r="E46" i="6" a="1"/>
  <c r="E46" i="6" s="1"/>
  <c r="H145" i="24"/>
  <c r="I145" i="24" s="1"/>
  <c r="Q99" i="6"/>
  <c r="R99" i="6"/>
  <c r="N41" i="6" a="1"/>
  <c r="N41" i="6" s="1"/>
  <c r="H85" i="24"/>
  <c r="I85" i="24" s="1"/>
  <c r="H84" i="24"/>
  <c r="I84" i="24" s="1"/>
  <c r="L51" i="6" a="1"/>
  <c r="L51" i="6" s="1"/>
  <c r="H222" i="24"/>
  <c r="I222" i="24" s="1"/>
  <c r="I178" i="24"/>
  <c r="H190" i="24"/>
  <c r="I190" i="24" s="1"/>
  <c r="H49" i="6" a="1"/>
  <c r="H49" i="6" s="1"/>
  <c r="M44" i="6" a="1"/>
  <c r="M44" i="6" s="1"/>
  <c r="H125" i="24"/>
  <c r="I125" i="24" s="1"/>
  <c r="H205" i="24"/>
  <c r="I205" i="24" s="1"/>
  <c r="I50" i="6" a="1"/>
  <c r="I50" i="6" s="1"/>
  <c r="L40" i="6" a="1"/>
  <c r="L40" i="6" s="1"/>
  <c r="H68" i="24"/>
  <c r="I68" i="24" s="1"/>
  <c r="L45" i="6" a="1"/>
  <c r="L45" i="6" s="1"/>
  <c r="H138" i="24"/>
  <c r="I138" i="24" s="1"/>
  <c r="H183" i="24"/>
  <c r="I183" i="24" s="1"/>
  <c r="N48" i="6" a="1"/>
  <c r="N48" i="6" s="1"/>
  <c r="H182" i="24"/>
  <c r="I182" i="24" s="1"/>
  <c r="M41" i="6" a="1"/>
  <c r="M41" i="6" s="1"/>
  <c r="H83" i="24"/>
  <c r="I83" i="24" s="1"/>
  <c r="H202" i="24"/>
  <c r="I202" i="24" s="1"/>
  <c r="F50" i="6" a="1"/>
  <c r="F50" i="6" s="1"/>
  <c r="L49" i="6" a="1"/>
  <c r="L49" i="6" s="1"/>
  <c r="H194" i="24"/>
  <c r="I194" i="24" s="1"/>
  <c r="F46" i="6" a="1"/>
  <c r="F46" i="6" s="1"/>
  <c r="H146" i="24"/>
  <c r="I146" i="24" s="1"/>
  <c r="L41" i="6" a="1"/>
  <c r="L41" i="6" s="1"/>
  <c r="H82" i="24"/>
  <c r="I82" i="24" s="1"/>
  <c r="H4" i="24"/>
  <c r="I4" i="24" s="1"/>
  <c r="D36" i="6" a="1"/>
  <c r="D36" i="6" s="1"/>
  <c r="H21" i="24"/>
  <c r="I21" i="24" s="1"/>
  <c r="G37" i="6" a="1"/>
  <c r="G37" i="6" s="1"/>
  <c r="D41" i="6" a="1"/>
  <c r="D41" i="6" s="1"/>
  <c r="H74" i="24"/>
  <c r="I74" i="24" s="1"/>
  <c r="G50" i="6" a="1"/>
  <c r="G50" i="6" s="1"/>
  <c r="H203" i="24"/>
  <c r="I203" i="24" s="1"/>
  <c r="H151" i="24"/>
  <c r="I151" i="24" s="1"/>
  <c r="K46" i="6" a="1"/>
  <c r="K46" i="6" s="1"/>
  <c r="O37" i="6" a="1"/>
  <c r="O37" i="6" s="1"/>
  <c r="C24" i="27" a="1"/>
  <c r="C24" i="27" s="1"/>
  <c r="C25" i="27" a="1"/>
  <c r="C25" i="27" s="1"/>
  <c r="O38" i="6" a="1"/>
  <c r="O38" i="6" s="1"/>
  <c r="F51" i="6" a="1"/>
  <c r="F51" i="6" s="1"/>
  <c r="H216" i="24"/>
  <c r="I216" i="24" s="1"/>
  <c r="J40" i="6" a="1"/>
  <c r="J40" i="6" s="1"/>
  <c r="H66" i="24"/>
  <c r="I66" i="24" s="1"/>
  <c r="J42" i="6" a="1"/>
  <c r="J42" i="6" s="1"/>
  <c r="H94" i="24"/>
  <c r="I94" i="24" s="1"/>
  <c r="L36" i="6" a="1"/>
  <c r="L36" i="6" s="1"/>
  <c r="H12" i="24"/>
  <c r="I12" i="24" s="1"/>
  <c r="H157" i="24"/>
  <c r="I157" i="24" s="1"/>
  <c r="C47" i="6" a="1"/>
  <c r="C47" i="6" s="1"/>
  <c r="I156" i="24"/>
  <c r="L9" i="1" a="1"/>
  <c r="L9" i="1" s="1"/>
  <c r="N9" i="1" s="1"/>
  <c r="L10" i="1" a="1"/>
  <c r="L10" i="1" s="1"/>
  <c r="N10" i="1" s="1"/>
  <c r="H33" i="24"/>
  <c r="I33" i="24" s="1"/>
  <c r="E38" i="6" a="1"/>
  <c r="E38" i="6" s="1"/>
  <c r="R96" i="6"/>
  <c r="Q96" i="6"/>
  <c r="E45" i="6" a="1"/>
  <c r="E45" i="6" s="1"/>
  <c r="H131" i="24"/>
  <c r="I131" i="24" s="1"/>
  <c r="N38" i="6" a="1"/>
  <c r="N38" i="6" s="1"/>
  <c r="H43" i="24"/>
  <c r="I43" i="24" s="1"/>
  <c r="H42" i="24"/>
  <c r="I42" i="24" s="1"/>
  <c r="M37" i="6" a="1"/>
  <c r="M37" i="6" s="1"/>
  <c r="H27" i="24"/>
  <c r="I27" i="24" s="1"/>
  <c r="H219" i="24"/>
  <c r="I219" i="24" s="1"/>
  <c r="I51" i="6" a="1"/>
  <c r="I51" i="6" s="1"/>
  <c r="I207" i="24"/>
  <c r="I40" i="6" a="1"/>
  <c r="I40" i="6" s="1"/>
  <c r="H65" i="24"/>
  <c r="I65" i="24" s="1"/>
  <c r="E41" i="6" a="1"/>
  <c r="E41" i="6" s="1"/>
  <c r="H75" i="24"/>
  <c r="I75" i="24" s="1"/>
  <c r="H136" i="24"/>
  <c r="I136" i="24" s="1"/>
  <c r="J45" i="6" a="1"/>
  <c r="J45" i="6" s="1"/>
  <c r="H48" i="6" a="1"/>
  <c r="H48" i="6" s="1"/>
  <c r="H176" i="24"/>
  <c r="I176" i="24" s="1"/>
  <c r="H70" i="24"/>
  <c r="I70" i="24" s="1"/>
  <c r="H71" i="24"/>
  <c r="I71" i="24" s="1"/>
  <c r="N40" i="6" a="1"/>
  <c r="N40" i="6" s="1"/>
  <c r="F47" i="6" a="1"/>
  <c r="F47" i="6" s="1"/>
  <c r="H160" i="24"/>
  <c r="I160" i="24" s="1"/>
  <c r="E37" i="6" a="1"/>
  <c r="E37" i="6" s="1"/>
  <c r="H19" i="24"/>
  <c r="I19" i="24" s="1"/>
  <c r="D39" i="6" a="1"/>
  <c r="D39" i="6" s="1"/>
  <c r="H46" i="24"/>
  <c r="I46" i="24" s="1"/>
  <c r="H119" i="24"/>
  <c r="I119" i="24" s="1"/>
  <c r="G44" i="6" a="1"/>
  <c r="G44" i="6" s="1"/>
  <c r="C30" i="27" a="1"/>
  <c r="C30" i="27" s="1"/>
  <c r="O43" i="6" a="1"/>
  <c r="O43" i="6" s="1"/>
  <c r="K44" i="6" a="1"/>
  <c r="K44" i="6" s="1"/>
  <c r="H123" i="24"/>
  <c r="I123" i="24" s="1"/>
  <c r="C31" i="27" a="1"/>
  <c r="C31" i="27" s="1"/>
  <c r="O44" i="6" a="1"/>
  <c r="O44" i="6" s="1"/>
  <c r="H47" i="6" a="1"/>
  <c r="H47" i="6" s="1"/>
  <c r="H162" i="24"/>
  <c r="I162" i="24" s="1"/>
  <c r="H52" i="24"/>
  <c r="I52" i="24" s="1"/>
  <c r="J39" i="6" a="1"/>
  <c r="J39" i="6" s="1"/>
  <c r="L44" i="6" a="1"/>
  <c r="L44" i="6" s="1"/>
  <c r="H124" i="24"/>
  <c r="I124" i="24" s="1"/>
  <c r="I137" i="24"/>
  <c r="Q98" i="6"/>
  <c r="R98" i="6"/>
  <c r="V5" i="1" a="1"/>
  <c r="V5" i="1" s="1"/>
  <c r="X5" i="1" s="1"/>
  <c r="V12" i="1" a="1"/>
  <c r="V12" i="1" s="1"/>
  <c r="X12" i="1" s="1"/>
  <c r="C48" i="6" a="1"/>
  <c r="C48" i="6" s="1"/>
  <c r="I170" i="24"/>
  <c r="H171" i="24"/>
  <c r="I171" i="24" s="1"/>
  <c r="N37" i="6" a="1"/>
  <c r="N37" i="6" s="1"/>
  <c r="H28" i="24"/>
  <c r="I28" i="24" s="1"/>
  <c r="H29" i="24"/>
  <c r="I29" i="24" s="1"/>
  <c r="O46" i="6" a="1"/>
  <c r="O46" i="6" s="1"/>
  <c r="C33" i="27" a="1"/>
  <c r="C33" i="27" s="1"/>
  <c r="I49" i="6" a="1"/>
  <c r="I49" i="6" s="1"/>
  <c r="H191" i="24"/>
  <c r="I191" i="24" s="1"/>
  <c r="M45" i="6" a="1"/>
  <c r="M45" i="6" s="1"/>
  <c r="H139" i="24"/>
  <c r="I139" i="24" s="1"/>
  <c r="I44" i="6" a="1"/>
  <c r="I44" i="6" s="1"/>
  <c r="H121" i="24"/>
  <c r="I121" i="24" s="1"/>
  <c r="I39" i="6" a="1"/>
  <c r="I39" i="6" s="1"/>
  <c r="H51" i="24"/>
  <c r="I51" i="24" s="1"/>
  <c r="R94" i="6"/>
  <c r="H60" i="24"/>
  <c r="I60" i="24" s="1"/>
  <c r="D40" i="6" a="1"/>
  <c r="D40" i="6" s="1"/>
  <c r="F45" i="6" a="1"/>
  <c r="F45" i="6" s="1"/>
  <c r="H132" i="24"/>
  <c r="I132" i="24" s="1"/>
  <c r="H224" i="24"/>
  <c r="I224" i="24" s="1"/>
  <c r="N51" i="6" a="1"/>
  <c r="N51" i="6" s="1"/>
  <c r="H225" i="24"/>
  <c r="I225" i="24" s="1"/>
  <c r="L43" i="6" a="1"/>
  <c r="L43" i="6" s="1"/>
  <c r="H110" i="24"/>
  <c r="I110" i="24" s="1"/>
  <c r="N45" i="6" a="1"/>
  <c r="N45" i="6" s="1"/>
  <c r="H140" i="24"/>
  <c r="I140" i="24" s="1"/>
  <c r="H141" i="24"/>
  <c r="I141" i="24" s="1"/>
  <c r="F49" i="6" a="1"/>
  <c r="F49" i="6" s="1"/>
  <c r="H188" i="24"/>
  <c r="I188" i="24" s="1"/>
  <c r="K41" i="6" a="1"/>
  <c r="K41" i="6" s="1"/>
  <c r="H81" i="24"/>
  <c r="I81" i="24" s="1"/>
  <c r="H42" i="6" a="1"/>
  <c r="H42" i="6" s="1"/>
  <c r="H92" i="24"/>
  <c r="I92" i="24" s="1"/>
  <c r="F44" i="6" a="1"/>
  <c r="F44" i="6" s="1"/>
  <c r="H118" i="24"/>
  <c r="I118" i="24" s="1"/>
  <c r="D49" i="6" a="1"/>
  <c r="D49" i="6" s="1"/>
  <c r="H186" i="24"/>
  <c r="I186" i="24" s="1"/>
  <c r="H210" i="24"/>
  <c r="I210" i="24" s="1"/>
  <c r="N50" i="6" a="1"/>
  <c r="N50" i="6" s="1"/>
  <c r="H211" i="24"/>
  <c r="I211" i="24" s="1"/>
  <c r="F36" i="6" a="1"/>
  <c r="F36" i="6" s="1"/>
  <c r="H6" i="24"/>
  <c r="I6" i="24" s="1"/>
  <c r="D48" i="6" a="1"/>
  <c r="D48" i="6" s="1"/>
  <c r="H172" i="24"/>
  <c r="I172" i="24" s="1"/>
  <c r="G36" i="6" a="1"/>
  <c r="G36" i="6" s="1"/>
  <c r="H7" i="24"/>
  <c r="I7" i="24" s="1"/>
  <c r="D42" i="6" a="1"/>
  <c r="D42" i="6" s="1"/>
  <c r="H88" i="24"/>
  <c r="I88" i="24" s="1"/>
  <c r="K39" i="6" a="1"/>
  <c r="K39" i="6" s="1"/>
  <c r="H53" i="24"/>
  <c r="I53" i="24" s="1"/>
  <c r="O47" i="6" a="1"/>
  <c r="O47" i="6" s="1"/>
  <c r="C34" i="27" a="1"/>
  <c r="C34" i="27" s="1"/>
  <c r="H61" i="24"/>
  <c r="I61" i="24" s="1"/>
  <c r="E40" i="6" a="1"/>
  <c r="E40" i="6" s="1"/>
  <c r="K51" i="6" a="1"/>
  <c r="K51" i="6" s="1"/>
  <c r="H221" i="24"/>
  <c r="I221" i="24" s="1"/>
  <c r="G41" i="6" a="1"/>
  <c r="G41" i="6" s="1"/>
  <c r="H77" i="24"/>
  <c r="I77" i="24" s="1"/>
  <c r="H54" i="24"/>
  <c r="I54" i="24" s="1"/>
  <c r="L39" i="6" a="1"/>
  <c r="L39" i="6" s="1"/>
  <c r="I198" i="24"/>
  <c r="H199" i="24"/>
  <c r="I199" i="24" s="1"/>
  <c r="C50" i="6" a="1"/>
  <c r="C50" i="6" s="1"/>
  <c r="H143" i="24"/>
  <c r="I143" i="24" s="1"/>
  <c r="I142" i="24"/>
  <c r="C46" i="6" a="1"/>
  <c r="C46" i="6" s="1"/>
  <c r="R87" i="6"/>
  <c r="Q87" i="6"/>
  <c r="L12" i="1" a="1"/>
  <c r="L12" i="1" s="1"/>
  <c r="N12" i="1" s="1"/>
  <c r="H87" i="24"/>
  <c r="I87" i="24" s="1"/>
  <c r="C42" i="6" a="1"/>
  <c r="C42" i="6" s="1"/>
  <c r="I86" i="24"/>
  <c r="H15" i="24"/>
  <c r="I15" i="24" s="1"/>
  <c r="H14" i="24"/>
  <c r="I14" i="24" s="1"/>
  <c r="N36" i="6" a="1"/>
  <c r="N36" i="6" s="1"/>
  <c r="H120" i="24"/>
  <c r="I120" i="24" s="1"/>
  <c r="H44" i="6" a="1"/>
  <c r="H44" i="6" s="1"/>
  <c r="I89" i="24"/>
  <c r="I58" i="24"/>
  <c r="C40" i="6" a="1"/>
  <c r="C40" i="6" s="1"/>
  <c r="H59" i="24"/>
  <c r="I59" i="24" s="1"/>
  <c r="M36" i="6" a="1"/>
  <c r="M36" i="6" s="1"/>
  <c r="H13" i="24"/>
  <c r="I13" i="24" s="1"/>
  <c r="H37" i="24"/>
  <c r="I37" i="24" s="1"/>
  <c r="I38" i="6" a="1"/>
  <c r="I38" i="6" s="1"/>
  <c r="I46" i="6" a="1"/>
  <c r="I46" i="6" s="1"/>
  <c r="H149" i="24"/>
  <c r="I149" i="24" s="1"/>
  <c r="Y6" i="1" l="1"/>
  <c r="Y5" i="1"/>
  <c r="O11" i="1"/>
  <c r="O10" i="1"/>
  <c r="O6" i="1"/>
  <c r="O9" i="1"/>
  <c r="O12" i="1"/>
  <c r="O8" i="1"/>
  <c r="O7" i="1"/>
  <c r="O5" i="1"/>
  <c r="M30" i="1"/>
  <c r="Y9" i="1"/>
  <c r="M31" i="1"/>
  <c r="Y10" i="1"/>
  <c r="M29" i="1"/>
  <c r="Y8" i="1"/>
  <c r="M33" i="1"/>
  <c r="Y12" i="1"/>
  <c r="M28" i="1"/>
  <c r="Y7" i="1"/>
  <c r="M32" i="1"/>
  <c r="Y11" i="1"/>
  <c r="Q44" i="6"/>
  <c r="S38" i="6"/>
  <c r="T44" i="6"/>
  <c r="M10" i="1"/>
  <c r="P10" i="1"/>
  <c r="S10" i="1" a="1"/>
  <c r="S10" i="1" s="1"/>
  <c r="Z7" i="1"/>
  <c r="W7" i="1"/>
  <c r="AC7" i="1" a="1"/>
  <c r="AC7" i="1" s="1"/>
  <c r="F16" i="1"/>
  <c r="C16" i="1" a="1"/>
  <c r="C16" i="1" s="1"/>
  <c r="G16" i="1"/>
  <c r="H95" i="1" a="1"/>
  <c r="H95" i="1" s="1"/>
  <c r="B16" i="1" a="1"/>
  <c r="B16" i="1" s="1"/>
  <c r="E16" i="1"/>
  <c r="S36" i="6"/>
  <c r="T36" i="6"/>
  <c r="Q36" i="6"/>
  <c r="R36" i="6"/>
  <c r="P9" i="1"/>
  <c r="M9" i="1"/>
  <c r="S9" i="1" a="1"/>
  <c r="S9" i="1" s="1"/>
  <c r="M7" i="1"/>
  <c r="S7" i="1" a="1"/>
  <c r="S7" i="1" s="1"/>
  <c r="P7" i="1"/>
  <c r="T37" i="6"/>
  <c r="S37" i="6"/>
  <c r="R37" i="6"/>
  <c r="Q37" i="6"/>
  <c r="R49" i="6"/>
  <c r="T49" i="6"/>
  <c r="Q49" i="6"/>
  <c r="S49" i="6"/>
  <c r="B10" i="1" a="1"/>
  <c r="B10" i="1" s="1"/>
  <c r="G10" i="1"/>
  <c r="C10" i="1" a="1"/>
  <c r="C10" i="1" s="1"/>
  <c r="F10" i="1"/>
  <c r="L23" i="1"/>
  <c r="E10" i="1"/>
  <c r="H89" i="1" a="1"/>
  <c r="H89" i="1" s="1"/>
  <c r="S12" i="1" a="1"/>
  <c r="S12" i="1" s="1"/>
  <c r="P12" i="1"/>
  <c r="M12" i="1"/>
  <c r="W12" i="1"/>
  <c r="AC12" i="1" a="1"/>
  <c r="AC12" i="1" s="1"/>
  <c r="Z12" i="1"/>
  <c r="W9" i="1"/>
  <c r="Z9" i="1"/>
  <c r="AC9" i="1" a="1"/>
  <c r="AC9" i="1" s="1"/>
  <c r="Q43" i="6"/>
  <c r="R43" i="6"/>
  <c r="T43" i="6"/>
  <c r="S43" i="6"/>
  <c r="S8" i="1" a="1"/>
  <c r="S8" i="1" s="1"/>
  <c r="P8" i="1"/>
  <c r="M8" i="1"/>
  <c r="B15" i="1" a="1"/>
  <c r="B15" i="1" s="1"/>
  <c r="G15" i="1"/>
  <c r="E15" i="1"/>
  <c r="C15" i="1" a="1"/>
  <c r="C15" i="1" s="1"/>
  <c r="H94" i="1" a="1"/>
  <c r="H94" i="1" s="1"/>
  <c r="F15" i="1"/>
  <c r="E6" i="1"/>
  <c r="G6" i="1"/>
  <c r="F6" i="1"/>
  <c r="L19" i="1"/>
  <c r="C6" i="1" a="1"/>
  <c r="C6" i="1" s="1"/>
  <c r="B6" i="1" a="1"/>
  <c r="B6" i="1" s="1"/>
  <c r="H85" i="1" a="1"/>
  <c r="H85" i="1" s="1"/>
  <c r="R47" i="6"/>
  <c r="S47" i="6"/>
  <c r="T47" i="6"/>
  <c r="Q47" i="6"/>
  <c r="S5" i="1" a="1"/>
  <c r="S5" i="1" s="1"/>
  <c r="P5" i="1"/>
  <c r="M5" i="1"/>
  <c r="Z10" i="1"/>
  <c r="W10" i="1"/>
  <c r="AC10" i="1" a="1"/>
  <c r="AC10" i="1" s="1"/>
  <c r="P11" i="1"/>
  <c r="S11" i="1" a="1"/>
  <c r="S11" i="1" s="1"/>
  <c r="M11" i="1"/>
  <c r="S51" i="6"/>
  <c r="Q51" i="6"/>
  <c r="R51" i="6"/>
  <c r="T51" i="6"/>
  <c r="AC11" i="1" a="1"/>
  <c r="AC11" i="1" s="1"/>
  <c r="W11" i="1"/>
  <c r="Z11" i="1"/>
  <c r="H97" i="1" a="1"/>
  <c r="H97" i="1" s="1"/>
  <c r="B18" i="1" a="1"/>
  <c r="B18" i="1" s="1"/>
  <c r="G18" i="1"/>
  <c r="E18" i="1"/>
  <c r="F18" i="1"/>
  <c r="C18" i="1" a="1"/>
  <c r="C18" i="1" s="1"/>
  <c r="B14" i="1" a="1"/>
  <c r="B14" i="1" s="1"/>
  <c r="G14" i="1"/>
  <c r="F14" i="1"/>
  <c r="H93" i="1" a="1"/>
  <c r="H93" i="1" s="1"/>
  <c r="E14" i="1"/>
  <c r="C14" i="1" a="1"/>
  <c r="C14" i="1" s="1"/>
  <c r="R44" i="6"/>
  <c r="R41" i="6"/>
  <c r="T41" i="6"/>
  <c r="Q41" i="6"/>
  <c r="S41" i="6"/>
  <c r="R39" i="6"/>
  <c r="Q39" i="6"/>
  <c r="S39" i="6"/>
  <c r="T39" i="6"/>
  <c r="P6" i="1"/>
  <c r="S6" i="1" a="1"/>
  <c r="S6" i="1" s="1"/>
  <c r="M6" i="1"/>
  <c r="W6" i="1"/>
  <c r="AC6" i="1" a="1"/>
  <c r="AC6" i="1" s="1"/>
  <c r="Z6" i="1"/>
  <c r="G20" i="1"/>
  <c r="H99" i="1" a="1"/>
  <c r="H99" i="1" s="1"/>
  <c r="F20" i="1"/>
  <c r="C20" i="1" a="1"/>
  <c r="C20" i="1" s="1"/>
  <c r="E20" i="1"/>
  <c r="B20" i="1" a="1"/>
  <c r="B20" i="1" s="1"/>
  <c r="C13" i="1" a="1"/>
  <c r="C13" i="1" s="1"/>
  <c r="F13" i="1"/>
  <c r="B13" i="1" a="1"/>
  <c r="B13" i="1" s="1"/>
  <c r="E13" i="1"/>
  <c r="G13" i="1"/>
  <c r="H92" i="1" a="1"/>
  <c r="H92" i="1" s="1"/>
  <c r="Q48" i="6"/>
  <c r="R48" i="6"/>
  <c r="T48" i="6"/>
  <c r="S48" i="6"/>
  <c r="R38" i="6"/>
  <c r="AC5" i="1" a="1"/>
  <c r="AC5" i="1" s="1"/>
  <c r="Z5" i="1"/>
  <c r="W5" i="1"/>
  <c r="T38" i="6"/>
  <c r="Q38" i="6"/>
  <c r="T46" i="6"/>
  <c r="S46" i="6"/>
  <c r="Q46" i="6"/>
  <c r="R46" i="6"/>
  <c r="S44" i="6"/>
  <c r="B19" i="1" a="1"/>
  <c r="B19" i="1" s="1"/>
  <c r="E19" i="1"/>
  <c r="G19" i="1"/>
  <c r="C19" i="1" a="1"/>
  <c r="C19" i="1" s="1"/>
  <c r="F19" i="1"/>
  <c r="H98" i="1" a="1"/>
  <c r="H98" i="1" s="1"/>
  <c r="E11" i="1"/>
  <c r="B11" i="1" a="1"/>
  <c r="B11" i="1" s="1"/>
  <c r="C11" i="1" a="1"/>
  <c r="C11" i="1" s="1"/>
  <c r="H90" i="1" a="1"/>
  <c r="H90" i="1" s="1"/>
  <c r="G11" i="1"/>
  <c r="L24" i="1"/>
  <c r="F11" i="1"/>
  <c r="E17" i="1"/>
  <c r="C17" i="1" a="1"/>
  <c r="C17" i="1" s="1"/>
  <c r="B17" i="1" a="1"/>
  <c r="B17" i="1" s="1"/>
  <c r="H96" i="1" a="1"/>
  <c r="H96" i="1" s="1"/>
  <c r="G17" i="1"/>
  <c r="F17" i="1"/>
  <c r="T40" i="6"/>
  <c r="Q40" i="6"/>
  <c r="R40" i="6"/>
  <c r="S40" i="6"/>
  <c r="T45" i="6"/>
  <c r="R45" i="6"/>
  <c r="S45" i="6"/>
  <c r="Q45" i="6"/>
  <c r="B8" i="1" a="1"/>
  <c r="B8" i="1" s="1"/>
  <c r="E8" i="1"/>
  <c r="G8" i="1"/>
  <c r="C8" i="1" a="1"/>
  <c r="C8" i="1" s="1"/>
  <c r="L21" i="1"/>
  <c r="F8" i="1"/>
  <c r="H87" i="1" a="1"/>
  <c r="H87" i="1" s="1"/>
  <c r="C12" i="1" a="1"/>
  <c r="C12" i="1" s="1"/>
  <c r="E12" i="1"/>
  <c r="B12" i="1" a="1"/>
  <c r="B12" i="1" s="1"/>
  <c r="F12" i="1"/>
  <c r="H91" i="1" a="1"/>
  <c r="H91" i="1" s="1"/>
  <c r="G12" i="1"/>
  <c r="X36" i="1"/>
  <c r="X41" i="1"/>
  <c r="X38" i="1"/>
  <c r="C5" i="1" a="1"/>
  <c r="C5" i="1" s="1"/>
  <c r="X43" i="1"/>
  <c r="X31" i="1"/>
  <c r="X39" i="1"/>
  <c r="B5" i="1" a="1"/>
  <c r="B5" i="1" s="1"/>
  <c r="X40" i="1"/>
  <c r="X32" i="1"/>
  <c r="X28" i="1"/>
  <c r="X30" i="1"/>
  <c r="L18" i="1"/>
  <c r="X34" i="1"/>
  <c r="G5" i="1"/>
  <c r="H84" i="1" a="1"/>
  <c r="H84" i="1" s="1"/>
  <c r="X29" i="1"/>
  <c r="X35" i="1"/>
  <c r="X33" i="1"/>
  <c r="E5" i="1"/>
  <c r="F5" i="1"/>
  <c r="X37" i="1"/>
  <c r="X42" i="1"/>
  <c r="R50" i="6"/>
  <c r="Q50" i="6"/>
  <c r="T50" i="6"/>
  <c r="S50" i="6"/>
  <c r="R42" i="6"/>
  <c r="S42" i="6"/>
  <c r="T42" i="6"/>
  <c r="Q42" i="6"/>
  <c r="AC8" i="1" a="1"/>
  <c r="AC8" i="1" s="1"/>
  <c r="Z8" i="1"/>
  <c r="W8" i="1"/>
  <c r="B9" i="1" a="1"/>
  <c r="B9" i="1" s="1"/>
  <c r="C9" i="1" a="1"/>
  <c r="C9" i="1" s="1"/>
  <c r="G9" i="1"/>
  <c r="L22" i="1"/>
  <c r="E9" i="1"/>
  <c r="H88" i="1" a="1"/>
  <c r="H88" i="1" s="1"/>
  <c r="F9" i="1"/>
  <c r="C7" i="1" a="1"/>
  <c r="C7" i="1" s="1"/>
  <c r="F7" i="1"/>
  <c r="B7" i="1" a="1"/>
  <c r="B7" i="1" s="1"/>
  <c r="G7" i="1"/>
  <c r="L20" i="1"/>
  <c r="E7" i="1"/>
  <c r="H86" i="1" a="1"/>
  <c r="H86" i="1" s="1"/>
  <c r="N30" i="1" l="1"/>
  <c r="O30" i="1" s="1" a="1"/>
  <c r="O30" i="1" s="1"/>
  <c r="N31" i="1"/>
  <c r="O31" i="1" s="1" a="1"/>
  <c r="O31" i="1" s="1"/>
  <c r="N33" i="1"/>
  <c r="O33" i="1" s="1" a="1"/>
  <c r="O33" i="1" s="1"/>
  <c r="N32" i="1"/>
  <c r="O32" i="1" s="1" a="1"/>
  <c r="O32" i="1" s="1"/>
  <c r="N29" i="1"/>
  <c r="O29" i="1" s="1" a="1"/>
  <c r="O29" i="1" s="1"/>
  <c r="I14" i="1"/>
  <c r="I93" i="1"/>
  <c r="H14" i="1" s="1"/>
  <c r="I12" i="1"/>
  <c r="I91" i="1"/>
  <c r="H12" i="1" s="1"/>
  <c r="W13" i="1"/>
  <c r="I18" i="1"/>
  <c r="I97" i="1"/>
  <c r="H18" i="1" s="1"/>
  <c r="I96" i="1"/>
  <c r="H17" i="1" s="1"/>
  <c r="I17" i="1"/>
  <c r="I98" i="1"/>
  <c r="H19" i="1" s="1"/>
  <c r="I19" i="1"/>
  <c r="I84" i="1"/>
  <c r="H5" i="1" s="1"/>
  <c r="I5" i="1"/>
  <c r="I92" i="1"/>
  <c r="H13" i="1" s="1"/>
  <c r="I13" i="1"/>
  <c r="M13" i="1"/>
  <c r="I10" i="1"/>
  <c r="I89" i="1"/>
  <c r="H10" i="1" s="1"/>
  <c r="I7" i="1"/>
  <c r="I86" i="1"/>
  <c r="H7" i="1" s="1"/>
  <c r="I88" i="1"/>
  <c r="H9" i="1" s="1"/>
  <c r="I9" i="1"/>
  <c r="X13" i="1"/>
  <c r="I99" i="1"/>
  <c r="H20" i="1" s="1"/>
  <c r="I20" i="1"/>
  <c r="I8" i="1"/>
  <c r="I87" i="1"/>
  <c r="H8" i="1" s="1"/>
  <c r="I90" i="1"/>
  <c r="H11" i="1" s="1"/>
  <c r="I11" i="1"/>
  <c r="N13" i="1"/>
  <c r="I6" i="1"/>
  <c r="I85" i="1"/>
  <c r="H6" i="1" s="1"/>
  <c r="I15" i="1"/>
  <c r="I94" i="1"/>
  <c r="H15" i="1" s="1"/>
  <c r="I95" i="1"/>
  <c r="H16" i="1" s="1"/>
  <c r="I16" i="1"/>
  <c r="AA12" i="1" l="1"/>
  <c r="AA6" i="1"/>
  <c r="AA8" i="1"/>
  <c r="Q8" i="1"/>
  <c r="AA5" i="1"/>
  <c r="Q10" i="1"/>
  <c r="AA10" i="1"/>
  <c r="Q11" i="1"/>
  <c r="Q12" i="1"/>
  <c r="Q6" i="1"/>
  <c r="AA9" i="1"/>
  <c r="AA7" i="1"/>
  <c r="Q5" i="1"/>
  <c r="Q7" i="1"/>
  <c r="AA11" i="1"/>
  <c r="Q9" i="1"/>
  <c r="X19" i="1"/>
  <c r="W44" i="1"/>
  <c r="X20" i="1"/>
  <c r="I3" i="25" l="1"/>
  <c r="I18" i="25"/>
  <c r="I10" i="25"/>
  <c r="I7" i="25"/>
  <c r="I17" i="25"/>
  <c r="I9" i="25"/>
  <c r="I16" i="25"/>
  <c r="I8" i="25"/>
  <c r="I15" i="25"/>
  <c r="I14" i="25"/>
  <c r="I6" i="25"/>
  <c r="I5" i="25"/>
  <c r="I13" i="25"/>
  <c r="I12" i="25"/>
  <c r="I4" i="25"/>
  <c r="I11" i="25"/>
  <c r="G16" i="25" l="1"/>
  <c r="H32" i="25"/>
  <c r="L184" i="24"/>
  <c r="G12" i="25"/>
  <c r="H28" i="25"/>
  <c r="L128" i="24"/>
  <c r="G9" i="25"/>
  <c r="H25" i="25"/>
  <c r="L86" i="24"/>
  <c r="G13" i="25"/>
  <c r="H29" i="25"/>
  <c r="L142" i="24"/>
  <c r="G17" i="25"/>
  <c r="H33" i="25"/>
  <c r="L198" i="24"/>
  <c r="G11" i="25"/>
  <c r="H27" i="25"/>
  <c r="L114" i="24"/>
  <c r="G5" i="25"/>
  <c r="H21" i="25"/>
  <c r="L30" i="24"/>
  <c r="G7" i="25"/>
  <c r="H23" i="25"/>
  <c r="L58" i="24"/>
  <c r="G4" i="25"/>
  <c r="H20" i="25"/>
  <c r="L16" i="24"/>
  <c r="G10" i="25"/>
  <c r="H26" i="25"/>
  <c r="L100" i="24"/>
  <c r="G6" i="25"/>
  <c r="H22" i="25"/>
  <c r="L44" i="24"/>
  <c r="G18" i="25"/>
  <c r="H34" i="25"/>
  <c r="L212" i="24"/>
  <c r="G8" i="25"/>
  <c r="H24" i="25"/>
  <c r="L72" i="24"/>
  <c r="G14" i="25"/>
  <c r="H30" i="25"/>
  <c r="L156" i="24"/>
  <c r="G15" i="25"/>
  <c r="H31" i="25"/>
  <c r="L170" i="24"/>
  <c r="G3" i="25"/>
  <c r="H19" i="25"/>
  <c r="L2" i="24"/>
  <c r="G25" i="25" l="1"/>
  <c r="AM69" i="26" a="1"/>
  <c r="AM69" i="26" s="1"/>
  <c r="G19" i="25"/>
  <c r="G23" i="25"/>
  <c r="AM67" i="26" a="1"/>
  <c r="AM67" i="26" s="1"/>
  <c r="O86" i="24"/>
  <c r="G33" i="25"/>
  <c r="AM77" i="26" a="1"/>
  <c r="AM77" i="26" s="1"/>
  <c r="G22" i="25"/>
  <c r="AM66" i="26" a="1"/>
  <c r="AM66" i="26" s="1"/>
  <c r="G26" i="25"/>
  <c r="G28" i="25"/>
  <c r="AM72" i="26" a="1"/>
  <c r="AM72" i="26" s="1"/>
  <c r="O44" i="24"/>
  <c r="O16" i="24"/>
  <c r="O58" i="24"/>
  <c r="O100" i="24"/>
  <c r="O72" i="24"/>
  <c r="O30" i="24"/>
  <c r="Q156" i="24"/>
  <c r="Q16" i="24"/>
  <c r="Q198" i="24"/>
  <c r="Q184" i="24"/>
  <c r="Q142" i="24"/>
  <c r="Q72" i="24"/>
  <c r="Q30" i="24"/>
  <c r="Q114" i="24"/>
  <c r="Q86" i="24"/>
  <c r="Q44" i="24"/>
  <c r="Q2" i="24"/>
  <c r="Q170" i="24"/>
  <c r="Q128" i="24"/>
  <c r="Q100" i="24"/>
  <c r="Q58" i="24"/>
  <c r="O2" i="24"/>
  <c r="Q212" i="24"/>
  <c r="G34" i="25"/>
  <c r="G29" i="25"/>
  <c r="AM73" i="26" a="1"/>
  <c r="AM73" i="26" s="1"/>
  <c r="O156" i="24"/>
  <c r="O198" i="24"/>
  <c r="O128" i="24"/>
  <c r="O114" i="24"/>
  <c r="O142" i="24"/>
  <c r="O212" i="24"/>
  <c r="O184" i="24"/>
  <c r="O170" i="24"/>
  <c r="G32" i="25"/>
  <c r="AM76" i="26" a="1"/>
  <c r="AM76" i="26" s="1"/>
  <c r="G24" i="25"/>
  <c r="AM68" i="26" a="1"/>
  <c r="AM68" i="26" s="1"/>
  <c r="G31" i="25"/>
  <c r="AM75" i="26" a="1"/>
  <c r="AM75" i="26" s="1"/>
  <c r="G21" i="25"/>
  <c r="AM65" i="26" a="1"/>
  <c r="AM65" i="26" s="1"/>
  <c r="G20" i="25"/>
  <c r="AM64" i="26" a="1"/>
  <c r="AM64" i="26" s="1"/>
  <c r="G30" i="25"/>
  <c r="AM74" i="26" a="1"/>
  <c r="AM74" i="26" s="1"/>
  <c r="G27" i="25"/>
  <c r="P213" i="24" l="1"/>
  <c r="AM78" i="26" a="1"/>
  <c r="AM78" i="26" s="1"/>
  <c r="N73" i="24"/>
  <c r="AM70" i="26" a="1"/>
  <c r="AM70" i="26" s="1"/>
  <c r="AM71" i="26" a="1"/>
  <c r="AM71" i="26" s="1"/>
  <c r="N199" i="24"/>
  <c r="N213" i="24"/>
  <c r="N185" i="24"/>
  <c r="N143" i="24"/>
  <c r="N129" i="24"/>
  <c r="N171" i="24"/>
  <c r="N157" i="24"/>
  <c r="N115" i="24"/>
  <c r="AM63" i="26" a="1"/>
  <c r="AM63" i="26" s="1"/>
  <c r="N101" i="24"/>
  <c r="N59" i="24"/>
  <c r="N31" i="24"/>
  <c r="N17" i="24"/>
  <c r="N87" i="24"/>
  <c r="N45" i="24"/>
  <c r="N3" i="24"/>
  <c r="P3" i="24"/>
  <c r="P199" i="24"/>
  <c r="P171" i="24"/>
  <c r="P185" i="24"/>
  <c r="P87" i="24"/>
  <c r="P129" i="24"/>
  <c r="P101" i="24"/>
  <c r="P31" i="24"/>
  <c r="P115" i="24"/>
  <c r="P45" i="24"/>
  <c r="P157" i="24"/>
  <c r="P73" i="24"/>
  <c r="P17" i="24"/>
  <c r="P59" i="24"/>
  <c r="P143" i="24"/>
  <c r="L15" i="24"/>
  <c r="AV2" i="6" s="1" a="1"/>
  <c r="AV2" i="6" s="1"/>
  <c r="L99" i="24"/>
  <c r="AV8" i="6" s="1" a="1"/>
  <c r="AV8" i="6" s="1"/>
  <c r="L85" i="24"/>
  <c r="L183" i="24"/>
  <c r="AV14" i="6" s="1" a="1"/>
  <c r="AV14" i="6" s="1"/>
  <c r="L197" i="24"/>
  <c r="AV15" i="6" s="1" a="1"/>
  <c r="AV15" i="6" s="1"/>
  <c r="L113" i="24"/>
  <c r="R11" i="1" s="1" a="1"/>
  <c r="R11" i="1" s="1"/>
  <c r="L29" i="24"/>
  <c r="L127" i="24"/>
  <c r="AV10" i="6" s="1" a="1"/>
  <c r="AV10" i="6" s="1"/>
  <c r="L57" i="24"/>
  <c r="R6" i="1" s="1" a="1"/>
  <c r="R6" i="1" s="1"/>
  <c r="L71" i="24"/>
  <c r="AV6" i="6" s="1" a="1"/>
  <c r="AV6" i="6" s="1"/>
  <c r="L43" i="24"/>
  <c r="L141" i="24"/>
  <c r="AV11" i="6" s="1" a="1"/>
  <c r="AV11" i="6" s="1"/>
  <c r="L211" i="24"/>
  <c r="AV16" i="6" s="1" a="1"/>
  <c r="AV16" i="6" s="1"/>
  <c r="L155" i="24"/>
  <c r="AV12" i="6" s="1" a="1"/>
  <c r="AV12" i="6" s="1"/>
  <c r="L225" i="24"/>
  <c r="AV17" i="6" s="1" a="1"/>
  <c r="AV17" i="6" s="1"/>
  <c r="L169" i="24"/>
  <c r="AV13" i="6" s="1" a="1"/>
  <c r="AV13" i="6" s="1"/>
  <c r="AB7" i="1" l="1"/>
  <c r="AB11" i="1"/>
  <c r="AB12" i="1"/>
  <c r="R10" i="1" a="1"/>
  <c r="R10" i="1" s="1"/>
  <c r="AB8" i="1"/>
  <c r="R7" i="1" a="1"/>
  <c r="R7" i="1" s="1"/>
  <c r="R5" i="1" a="1"/>
  <c r="R5" i="1" s="1"/>
  <c r="AB9" i="1"/>
  <c r="AB5" i="1"/>
  <c r="AB10" i="1"/>
  <c r="AB6" i="1"/>
  <c r="R12" i="1" a="1"/>
  <c r="R12" i="1" s="1"/>
  <c r="AV5" i="6" a="1"/>
  <c r="AV5" i="6" s="1"/>
  <c r="AV7" i="6" a="1"/>
  <c r="AV7" i="6" s="1"/>
  <c r="P29" i="24"/>
  <c r="N43" i="24"/>
  <c r="AV3" i="6" a="1"/>
  <c r="AV3" i="6" s="1"/>
  <c r="P99" i="24"/>
  <c r="Q29" i="24"/>
  <c r="O169" i="24"/>
  <c r="N57" i="24"/>
  <c r="O155" i="24"/>
  <c r="Q43" i="24"/>
  <c r="AV9" i="6" a="1"/>
  <c r="AV9" i="6" s="1"/>
  <c r="P15" i="24"/>
  <c r="O127" i="24"/>
  <c r="AV4" i="6" a="1"/>
  <c r="AV4" i="6" s="1"/>
  <c r="N113" i="24"/>
  <c r="P183" i="24"/>
  <c r="P197" i="24"/>
  <c r="Q197" i="24"/>
  <c r="Q113" i="24"/>
  <c r="O15" i="24"/>
  <c r="O211" i="24"/>
  <c r="O183" i="24"/>
  <c r="Q15" i="24"/>
  <c r="Q225" i="24"/>
  <c r="Q99" i="24"/>
  <c r="P113" i="24"/>
  <c r="P71" i="24"/>
  <c r="P141" i="24"/>
  <c r="O141" i="24"/>
  <c r="Q169" i="24"/>
  <c r="O113" i="24"/>
  <c r="Q155" i="24"/>
  <c r="Q141" i="24"/>
  <c r="R9" i="1" a="1"/>
  <c r="R9" i="1" s="1"/>
  <c r="O99" i="24"/>
  <c r="Q183" i="24"/>
  <c r="Q211" i="24"/>
  <c r="P43" i="24"/>
  <c r="P211" i="24"/>
  <c r="P127" i="24"/>
  <c r="O197" i="24"/>
  <c r="O57" i="24"/>
  <c r="Q71" i="24"/>
  <c r="R8" i="1" a="1"/>
  <c r="R8" i="1" s="1"/>
  <c r="N85" i="24"/>
  <c r="N15" i="24"/>
  <c r="N99" i="24"/>
  <c r="O225" i="24"/>
  <c r="O29" i="24"/>
  <c r="O43" i="24"/>
  <c r="Q127" i="24"/>
  <c r="P57" i="24"/>
  <c r="P155" i="24"/>
  <c r="N29" i="24"/>
  <c r="Q57" i="24"/>
  <c r="Q85" i="24"/>
  <c r="N71" i="24"/>
  <c r="P85" i="24"/>
  <c r="O85" i="24"/>
  <c r="O71" i="24"/>
  <c r="P169" i="24"/>
  <c r="P225" i="24"/>
  <c r="AB13" i="1" l="1"/>
  <c r="R13" i="1"/>
</calcChain>
</file>

<file path=xl/sharedStrings.xml><?xml version="1.0" encoding="utf-8"?>
<sst xmlns="http://schemas.openxmlformats.org/spreadsheetml/2006/main" count="1116" uniqueCount="192">
  <si>
    <t>Rank</t>
  </si>
  <si>
    <t xml:space="preserve">Team Name </t>
  </si>
  <si>
    <t>Point Total</t>
  </si>
  <si>
    <t>Record</t>
  </si>
  <si>
    <t>Overall Standings</t>
  </si>
  <si>
    <t>Team Name</t>
  </si>
  <si>
    <t>Playoff Seeding</t>
  </si>
  <si>
    <t>Description of Seed</t>
  </si>
  <si>
    <t>Weekly High Point Leader</t>
  </si>
  <si>
    <t>Team</t>
  </si>
  <si>
    <t>Week</t>
  </si>
  <si>
    <t>Winnings</t>
  </si>
  <si>
    <t># of Games</t>
  </si>
  <si>
    <t>Wins</t>
  </si>
  <si>
    <t>Losses</t>
  </si>
  <si>
    <t>Total</t>
  </si>
  <si>
    <t>Team Name /Week Points For</t>
  </si>
  <si>
    <t>Team Name /Week Points Against</t>
  </si>
  <si>
    <t>Average</t>
  </si>
  <si>
    <t>`</t>
  </si>
  <si>
    <t>Opponent</t>
  </si>
  <si>
    <t>Total/Avg Point Total</t>
  </si>
  <si>
    <t>Team/Team</t>
  </si>
  <si>
    <t>Team 1</t>
  </si>
  <si>
    <t>Team 2</t>
  </si>
  <si>
    <t>Result</t>
  </si>
  <si>
    <t>Avg</t>
  </si>
  <si>
    <t>Sum</t>
  </si>
  <si>
    <t>Overall Win %</t>
  </si>
  <si>
    <t>x</t>
  </si>
  <si>
    <t>Points Total</t>
  </si>
  <si>
    <t>Points Behind</t>
  </si>
  <si>
    <t>Per game</t>
  </si>
  <si>
    <t xml:space="preserve">Week </t>
  </si>
  <si>
    <t xml:space="preserve">Team </t>
  </si>
  <si>
    <t xml:space="preserve">Result </t>
  </si>
  <si>
    <t>PFC</t>
  </si>
  <si>
    <t>PAC</t>
  </si>
  <si>
    <t xml:space="preserve">Overall Net </t>
  </si>
  <si>
    <t>Net</t>
  </si>
  <si>
    <t>PF Rank</t>
  </si>
  <si>
    <t>PACRANK</t>
  </si>
  <si>
    <t>PARANK</t>
  </si>
  <si>
    <t>PFCRANK</t>
  </si>
  <si>
    <t>Win Streak</t>
  </si>
  <si>
    <t>Losing Streak</t>
  </si>
  <si>
    <t>Overall Rank</t>
  </si>
  <si>
    <t>Rank Prior Week</t>
  </si>
  <si>
    <t>Net Rank</t>
  </si>
  <si>
    <t>PF</t>
  </si>
  <si>
    <t>PA</t>
  </si>
  <si>
    <t>TEAMNAME</t>
  </si>
  <si>
    <t>Win %</t>
  </si>
  <si>
    <t>Team Name /Div Rank</t>
  </si>
  <si>
    <t>Ties</t>
  </si>
  <si>
    <t>Max</t>
  </si>
  <si>
    <t>Week Rank</t>
  </si>
  <si>
    <t>Season Rank</t>
  </si>
  <si>
    <t>FAAB</t>
  </si>
  <si>
    <t>FAAB $</t>
  </si>
  <si>
    <t>PA Rank</t>
  </si>
  <si>
    <t>Average/Total</t>
  </si>
  <si>
    <t>PF Team</t>
  </si>
  <si>
    <t>Season</t>
  </si>
  <si>
    <t>Weekly  Average</t>
  </si>
  <si>
    <t>Season Average</t>
  </si>
  <si>
    <t>Points</t>
  </si>
  <si>
    <t>-</t>
  </si>
  <si>
    <t>Avg W/L Margin</t>
  </si>
  <si>
    <t>W/L Margin</t>
  </si>
  <si>
    <t>#</t>
  </si>
  <si>
    <t>Rank/Week</t>
  </si>
  <si>
    <t xml:space="preserve">Average </t>
  </si>
  <si>
    <t>Min</t>
  </si>
  <si>
    <t>Std</t>
  </si>
  <si>
    <t>Q3</t>
  </si>
  <si>
    <t>Q1</t>
  </si>
  <si>
    <t>Team/PF Rank</t>
  </si>
  <si>
    <t>Team/PA Rank</t>
  </si>
  <si>
    <t>Maximum PF Owner Week Value</t>
  </si>
  <si>
    <t xml:space="preserve">PF Ranks Values Max </t>
  </si>
  <si>
    <t>PA Team Schedule</t>
  </si>
  <si>
    <t>Best</t>
  </si>
  <si>
    <t>Worst</t>
  </si>
  <si>
    <t>STD</t>
  </si>
  <si>
    <t>Point Rank</t>
  </si>
  <si>
    <t>Preseason Rank</t>
  </si>
  <si>
    <t>Season Winning Money and Rank Comparison</t>
  </si>
  <si>
    <t>Current Rank</t>
  </si>
  <si>
    <t>Playoff %</t>
  </si>
  <si>
    <t>Wakanda Black Mambas</t>
  </si>
  <si>
    <t>GOWT'S ANIMAL HOUSE</t>
  </si>
  <si>
    <t>Soy Boy Beta Cucks</t>
  </si>
  <si>
    <t>Shitcago Bowels</t>
  </si>
  <si>
    <t>Koo Brees</t>
  </si>
  <si>
    <t>Green Horn</t>
  </si>
  <si>
    <t>COVID Curious</t>
  </si>
  <si>
    <t>Gronk's 2nd Rookie Year</t>
  </si>
  <si>
    <t>DJ Charkcuterie</t>
  </si>
  <si>
    <t>Double D' Andres</t>
  </si>
  <si>
    <t>BIG DOM'S SUBS</t>
  </si>
  <si>
    <t>Los CUCKeadores</t>
  </si>
  <si>
    <t>Riddler's RevengePorn</t>
  </si>
  <si>
    <t>Kenosha Cunt Curlers</t>
  </si>
  <si>
    <t>Kupping up with The Jones</t>
  </si>
  <si>
    <t>Fuck Frank Fuck Frank</t>
  </si>
  <si>
    <t>FAAB Intial</t>
  </si>
  <si>
    <t>FAAB Remaining</t>
  </si>
  <si>
    <t>Bone</t>
  </si>
  <si>
    <t>Wardo</t>
  </si>
  <si>
    <t>Conference  PF Week Averages</t>
  </si>
  <si>
    <t>Conference PA Week Averages</t>
  </si>
  <si>
    <t>Conf Rank</t>
  </si>
  <si>
    <t xml:space="preserve">Max </t>
  </si>
  <si>
    <t xml:space="preserve">Min </t>
  </si>
  <si>
    <t>Conference  Point Total</t>
  </si>
  <si>
    <t>Conference</t>
  </si>
  <si>
    <t xml:space="preserve">Conference Weekly Point Total </t>
  </si>
  <si>
    <t xml:space="preserve">Avg W/L Margin </t>
  </si>
  <si>
    <t>2nd Seed</t>
  </si>
  <si>
    <t>3rd Seed</t>
  </si>
  <si>
    <t>4th Seed</t>
  </si>
  <si>
    <t>5th Seed</t>
  </si>
  <si>
    <t>6th Seed</t>
  </si>
  <si>
    <t>WildCard</t>
  </si>
  <si>
    <t>PFRANK</t>
  </si>
  <si>
    <t>Conf Score</t>
  </si>
  <si>
    <t>Overall Score</t>
  </si>
  <si>
    <t>Maximum PF Conference Week Value</t>
  </si>
  <si>
    <t xml:space="preserve">Max Conference </t>
  </si>
  <si>
    <t>Team Name /Overall Rank</t>
  </si>
  <si>
    <t>Conf Leader %</t>
  </si>
  <si>
    <t>Conference Order</t>
  </si>
  <si>
    <t>Conf Draft Order</t>
  </si>
  <si>
    <t xml:space="preserve">FAAB Spent </t>
  </si>
  <si>
    <t>FAAB Season Tot</t>
  </si>
  <si>
    <t xml:space="preserve">FAAB Remaining </t>
  </si>
  <si>
    <t>FAAB Conf Tot</t>
  </si>
  <si>
    <t>FAAB Conf Remain</t>
  </si>
  <si>
    <t xml:space="preserve">Conference Comparison </t>
  </si>
  <si>
    <t xml:space="preserve">Note: Points highlighted in green are points behind 7 seed. The top scorer not in the top 3 of either conference is the  7 seed. Rank 1-9 is the  points rank trailing the 7 seed. </t>
  </si>
  <si>
    <t>Overall Record</t>
  </si>
  <si>
    <t>Total/Average</t>
  </si>
  <si>
    <t>Conf Record</t>
  </si>
  <si>
    <t>Non Conf Record</t>
  </si>
  <si>
    <t>Non Conf Wins</t>
  </si>
  <si>
    <t xml:space="preserve">Conf Wins </t>
  </si>
  <si>
    <t>Non Conf</t>
  </si>
  <si>
    <t>Conf</t>
  </si>
  <si>
    <t xml:space="preserve">IF OPPONENT IS SAME AS PF TEAM THAT MEANS THOSE TEAMS PLAYED EACH OTHER ON THE ACTUAL SCHEDULE, THE RESULT OF THAT MATCHUP  IS LISTED. 1 IS A W , 0 IS A L, 0.5 IS A T. </t>
  </si>
  <si>
    <t xml:space="preserve">Overall Rank </t>
  </si>
  <si>
    <t xml:space="preserve">Playoff Scenario  </t>
  </si>
  <si>
    <t>with win over jowl , wardo 6</t>
  </si>
  <si>
    <t>Eppy wins common opponents tiebreaker</t>
  </si>
  <si>
    <t>Jowl wins the tiebreak with W over Wardo 7, Eppy 6, JP 5</t>
  </si>
  <si>
    <t>4,7</t>
  </si>
  <si>
    <t>3,8</t>
  </si>
  <si>
    <t>Jowl W ,Crawf W , Brooks L Scottie L                      Jowl 5, Crawf 4, Scottie 5, Brooks 6</t>
  </si>
  <si>
    <t>Scottie 7, Brooks 7, Crawf 6 (Crawf W, Scottie L, Brooks L)  3rd tiebreak non conf Brooks 5-1 over scottie (3-3)</t>
  </si>
  <si>
    <t xml:space="preserve">Conf Record 4-3 Out of Conf 4-2, Lost H2H Scottie </t>
  </si>
  <si>
    <t>Conf Record 5-2 Out of Conf 3-3, Won h2h tie break over jowl</t>
  </si>
  <si>
    <t>JP 6 (W), Brooks 7(L), Jowl 7 (W), Brooks Jowl H2H W Brooks wins tiebreak</t>
  </si>
  <si>
    <t xml:space="preserve">Brooks 7 (L), JP 6 (W), Wardo 6(W) brooks, wardo, JP wardo over jp h2h </t>
  </si>
  <si>
    <t>Tiebreak</t>
  </si>
  <si>
    <t xml:space="preserve">Champion </t>
  </si>
  <si>
    <t>Runner Up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</si>
  <si>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</si>
  <si>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</si>
  <si>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</si>
  <si>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</si>
  <si>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</si>
  <si>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</si>
  <si>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</si>
  <si>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</si>
  <si>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</si>
  <si>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</si>
  <si>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</si>
  <si>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</si>
  <si>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</si>
  <si>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</si>
  <si>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1st Seed</t>
  </si>
  <si>
    <t>Weekly Low Point</t>
  </si>
  <si>
    <t>PWCRank</t>
  </si>
  <si>
    <t>Record Wildcard</t>
  </si>
  <si>
    <t>Conf Leader</t>
  </si>
  <si>
    <t>Conf RunnerUp</t>
  </si>
  <si>
    <t xml:space="preserve">Conference Wildcard Point Standings </t>
  </si>
  <si>
    <t>Weekly FAAB Spent</t>
  </si>
  <si>
    <t>Culmulative FAAB Spent</t>
  </si>
  <si>
    <t>Conf/ Non Conf</t>
  </si>
  <si>
    <t>Non Conf Rec</t>
  </si>
  <si>
    <t>Conf Rec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</si>
</sst>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_(&quot;$&quot;* #,##0_);_(&quot;$&quot;* \(#,##0\);_(&quot;$&quot;* &quot;-&quot;??_);_(@_)"/>
    <numFmt numFmtId="166" formatCode="&quot;$&quot;#,##0"/>
    <numFmt numFmtId="167" formatCode="&quot;$&quot;#,##0.00"/>
  </numFmts>
  <fonts count="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1F4E78"/>
      <name val="Calibri"/>
      <family val="2"/>
    </font>
    <font>
      <sz val="11"/>
      <color rgb="FF375623"/>
      <name val="Calibri"/>
      <family val="2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48494A"/>
      <name val="Calibri"/>
      <family val="2"/>
      <scheme val="minor"/>
    </font>
    <font>
      <u/>
      <sz val="11"/>
      <color rgb="FF151617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151617"/>
      <name val="Calibri"/>
      <family val="2"/>
      <scheme val="minor"/>
    </font>
    <font>
      <b/>
      <sz val="12"/>
      <color rgb="FF797B7D"/>
      <name val="Calibri"/>
      <family val="2"/>
      <scheme val="minor"/>
    </font>
    <font>
      <sz val="12"/>
      <color rgb="FF797B7D"/>
      <name val="Calibri"/>
      <family val="2"/>
      <scheme val="minor"/>
    </font>
    <font>
      <b/>
      <sz val="11"/>
      <color rgb="FF48494A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67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3" borderId="25" xfId="0" applyNumberFormat="1" applyFill="1" applyBorder="1" applyAlignment="1">
      <alignment horizontal="center" vertical="center"/>
    </xf>
    <xf numFmtId="164" fontId="0" fillId="3" borderId="26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4" fillId="7" borderId="2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2" fontId="0" fillId="0" borderId="0" xfId="1" applyNumberFormat="1" applyFont="1" applyFill="1" applyBorder="1" applyAlignment="1">
      <alignment horizontal="center" vertical="center"/>
    </xf>
    <xf numFmtId="44" fontId="0" fillId="0" borderId="0" xfId="2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1" fontId="0" fillId="8" borderId="23" xfId="0" applyNumberFormat="1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42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1" fontId="0" fillId="3" borderId="28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7" borderId="47" xfId="0" applyFont="1" applyFill="1" applyBorder="1" applyAlignment="1">
      <alignment horizontal="center" vertical="center"/>
    </xf>
    <xf numFmtId="0" fontId="4" fillId="7" borderId="48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" fontId="0" fillId="3" borderId="27" xfId="0" applyNumberFormat="1" applyFill="1" applyBorder="1" applyAlignment="1">
      <alignment horizontal="center" vertical="center"/>
    </xf>
    <xf numFmtId="0" fontId="4" fillId="7" borderId="52" xfId="0" applyFont="1" applyFill="1" applyBorder="1" applyAlignment="1">
      <alignment horizontal="center" vertical="center"/>
    </xf>
    <xf numFmtId="0" fontId="4" fillId="7" borderId="58" xfId="0" applyFont="1" applyFill="1" applyBorder="1" applyAlignment="1">
      <alignment horizontal="center" vertical="center"/>
    </xf>
    <xf numFmtId="0" fontId="4" fillId="7" borderId="44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8" borderId="65" xfId="0" applyFill="1" applyBorder="1" applyAlignment="1">
      <alignment horizontal="center" vertical="center"/>
    </xf>
    <xf numFmtId="0" fontId="0" fillId="8" borderId="66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164" fontId="0" fillId="0" borderId="47" xfId="0" applyNumberFormat="1" applyFill="1" applyBorder="1" applyAlignment="1">
      <alignment horizontal="center" vertical="center"/>
    </xf>
    <xf numFmtId="164" fontId="0" fillId="0" borderId="48" xfId="0" applyNumberFormat="1" applyFill="1" applyBorder="1" applyAlignment="1">
      <alignment horizontal="center" vertical="center"/>
    </xf>
    <xf numFmtId="164" fontId="0" fillId="0" borderId="52" xfId="0" applyNumberFormat="1" applyFill="1" applyBorder="1" applyAlignment="1">
      <alignment horizontal="center" vertical="center"/>
    </xf>
    <xf numFmtId="0" fontId="0" fillId="8" borderId="44" xfId="0" applyFill="1" applyBorder="1" applyAlignment="1">
      <alignment horizontal="center" vertical="center"/>
    </xf>
    <xf numFmtId="0" fontId="0" fillId="8" borderId="64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9" fillId="0" borderId="0" xfId="0" applyFont="1"/>
    <xf numFmtId="0" fontId="7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46" xfId="0" applyNumberFormat="1" applyBorder="1" applyAlignment="1">
      <alignment horizontal="center" vertical="center"/>
    </xf>
    <xf numFmtId="164" fontId="0" fillId="0" borderId="47" xfId="0" applyNumberFormat="1" applyBorder="1" applyAlignment="1">
      <alignment horizontal="center" vertical="center"/>
    </xf>
    <xf numFmtId="164" fontId="0" fillId="0" borderId="48" xfId="0" applyNumberFormat="1" applyBorder="1" applyAlignment="1">
      <alignment horizontal="center" vertical="center"/>
    </xf>
    <xf numFmtId="1" fontId="0" fillId="0" borderId="45" xfId="0" applyNumberFormat="1" applyBorder="1" applyAlignment="1">
      <alignment horizontal="center" vertical="center"/>
    </xf>
    <xf numFmtId="1" fontId="0" fillId="0" borderId="38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1" fontId="0" fillId="0" borderId="47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" fontId="0" fillId="0" borderId="48" xfId="0" applyNumberFormat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0" fillId="7" borderId="37" xfId="0" applyFill="1" applyBorder="1" applyAlignment="1">
      <alignment horizontal="center" vertical="center"/>
    </xf>
    <xf numFmtId="0" fontId="4" fillId="0" borderId="27" xfId="0" applyFont="1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7" borderId="67" xfId="0" applyFill="1" applyBorder="1" applyAlignment="1">
      <alignment horizontal="center" vertical="center"/>
    </xf>
    <xf numFmtId="164" fontId="0" fillId="0" borderId="0" xfId="0" applyNumberFormat="1"/>
    <xf numFmtId="0" fontId="16" fillId="0" borderId="0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3" borderId="3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6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0" borderId="0" xfId="2" applyNumberFormat="1" applyFont="1" applyBorder="1"/>
    <xf numFmtId="6" fontId="0" fillId="0" borderId="0" xfId="0" applyNumberFormat="1" applyFont="1" applyBorder="1"/>
    <xf numFmtId="0" fontId="0" fillId="0" borderId="0" xfId="0" applyFont="1" applyBorder="1"/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165" fontId="0" fillId="0" borderId="0" xfId="2" applyNumberFormat="1" applyFont="1" applyFill="1" applyBorder="1"/>
    <xf numFmtId="0" fontId="0" fillId="0" borderId="0" xfId="0"/>
    <xf numFmtId="0" fontId="4" fillId="0" borderId="10" xfId="0" applyFont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7" borderId="40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49" xfId="0" applyFont="1" applyFill="1" applyBorder="1" applyAlignment="1">
      <alignment horizontal="center" vertical="center"/>
    </xf>
    <xf numFmtId="0" fontId="4" fillId="7" borderId="36" xfId="0" applyFont="1" applyFill="1" applyBorder="1" applyAlignment="1">
      <alignment horizontal="center" vertical="center"/>
    </xf>
    <xf numFmtId="0" fontId="0" fillId="7" borderId="20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0" borderId="46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164" fontId="4" fillId="0" borderId="36" xfId="0" applyNumberFormat="1" applyFont="1" applyBorder="1" applyAlignment="1">
      <alignment horizontal="center"/>
    </xf>
    <xf numFmtId="164" fontId="4" fillId="0" borderId="55" xfId="0" applyNumberFormat="1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0" fillId="0" borderId="48" xfId="0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166" fontId="0" fillId="3" borderId="28" xfId="0" applyNumberForma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center" vertical="center"/>
    </xf>
    <xf numFmtId="166" fontId="0" fillId="3" borderId="27" xfId="0" applyNumberForma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4" fontId="4" fillId="0" borderId="0" xfId="2" applyFont="1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0" xfId="0"/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167" fontId="0" fillId="7" borderId="12" xfId="2" applyNumberFormat="1" applyFont="1" applyFill="1" applyBorder="1" applyAlignment="1">
      <alignment horizontal="center" vertical="center"/>
    </xf>
    <xf numFmtId="0" fontId="0" fillId="0" borderId="0" xfId="0"/>
    <xf numFmtId="167" fontId="0" fillId="7" borderId="27" xfId="2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3" borderId="4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0" borderId="2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44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0" fontId="4" fillId="10" borderId="27" xfId="0" applyFont="1" applyFill="1" applyBorder="1" applyAlignment="1">
      <alignment horizontal="center" vertical="center"/>
    </xf>
    <xf numFmtId="0" fontId="4" fillId="10" borderId="23" xfId="0" applyFont="1" applyFill="1" applyBorder="1" applyAlignment="1">
      <alignment horizontal="center" vertical="center"/>
    </xf>
    <xf numFmtId="0" fontId="4" fillId="10" borderId="24" xfId="0" applyFont="1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0" fillId="10" borderId="29" xfId="0" applyFont="1" applyFill="1" applyBorder="1" applyAlignment="1">
      <alignment horizontal="center" vertical="center"/>
    </xf>
    <xf numFmtId="166" fontId="0" fillId="10" borderId="28" xfId="0" applyNumberFormat="1" applyFill="1" applyBorder="1" applyAlignment="1">
      <alignment horizontal="center" vertical="center"/>
    </xf>
    <xf numFmtId="164" fontId="0" fillId="10" borderId="31" xfId="0" applyNumberFormat="1" applyFill="1" applyBorder="1" applyAlignment="1">
      <alignment horizontal="center" vertical="center"/>
    </xf>
    <xf numFmtId="0" fontId="0" fillId="10" borderId="14" xfId="0" applyFon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164" fontId="0" fillId="10" borderId="6" xfId="0" applyNumberFormat="1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50" xfId="0" applyFill="1" applyBorder="1" applyAlignment="1">
      <alignment horizontal="center" vertical="center"/>
    </xf>
    <xf numFmtId="0" fontId="0" fillId="10" borderId="41" xfId="0" applyFill="1" applyBorder="1" applyAlignment="1">
      <alignment horizontal="center" vertical="center"/>
    </xf>
    <xf numFmtId="1" fontId="0" fillId="10" borderId="27" xfId="0" applyNumberFormat="1" applyFill="1" applyBorder="1" applyAlignment="1">
      <alignment horizontal="center" vertical="center"/>
    </xf>
    <xf numFmtId="164" fontId="0" fillId="10" borderId="27" xfId="0" applyNumberFormat="1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60" xfId="0" applyFill="1" applyBorder="1" applyAlignment="1">
      <alignment horizontal="center" vertical="center"/>
    </xf>
    <xf numFmtId="0" fontId="0" fillId="0" borderId="68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164" fontId="0" fillId="0" borderId="3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2" fontId="0" fillId="0" borderId="51" xfId="0" applyNumberFormat="1" applyFill="1" applyBorder="1" applyAlignment="1">
      <alignment horizontal="center" vertical="center"/>
    </xf>
    <xf numFmtId="164" fontId="0" fillId="0" borderId="51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/>
    </xf>
    <xf numFmtId="164" fontId="0" fillId="0" borderId="8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2" fontId="0" fillId="0" borderId="60" xfId="0" applyNumberFormat="1" applyFill="1" applyBorder="1" applyAlignment="1">
      <alignment horizontal="center" vertical="center"/>
    </xf>
    <xf numFmtId="164" fontId="0" fillId="0" borderId="60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2" fontId="0" fillId="0" borderId="41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1" fontId="0" fillId="0" borderId="15" xfId="0" applyNumberFormat="1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0" fillId="0" borderId="50" xfId="0" applyNumberForma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4" fillId="10" borderId="46" xfId="0" applyFont="1" applyFill="1" applyBorder="1" applyAlignment="1">
      <alignment horizontal="center"/>
    </xf>
    <xf numFmtId="0" fontId="4" fillId="10" borderId="51" xfId="0" applyFont="1" applyFill="1" applyBorder="1" applyAlignment="1">
      <alignment horizontal="center"/>
    </xf>
    <xf numFmtId="0" fontId="4" fillId="10" borderId="47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/>
    </xf>
    <xf numFmtId="0" fontId="4" fillId="3" borderId="47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48" xfId="0" applyFont="1" applyFill="1" applyBorder="1" applyAlignment="1">
      <alignment horizontal="center"/>
    </xf>
    <xf numFmtId="0" fontId="4" fillId="3" borderId="60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0" fontId="0" fillId="0" borderId="0" xfId="0" applyFont="1"/>
    <xf numFmtId="0" fontId="0" fillId="4" borderId="0" xfId="0" applyFont="1" applyFill="1"/>
    <xf numFmtId="0" fontId="4" fillId="0" borderId="0" xfId="0" applyFont="1"/>
    <xf numFmtId="0" fontId="0" fillId="0" borderId="0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9" fillId="0" borderId="0" xfId="0" applyFont="1" applyFill="1"/>
    <xf numFmtId="2" fontId="0" fillId="10" borderId="3" xfId="0" applyNumberFormat="1" applyFont="1" applyFill="1" applyBorder="1" applyAlignment="1">
      <alignment horizontal="center"/>
    </xf>
    <xf numFmtId="0" fontId="0" fillId="10" borderId="3" xfId="0" applyFont="1" applyFill="1" applyBorder="1" applyAlignment="1">
      <alignment horizontal="center"/>
    </xf>
    <xf numFmtId="0" fontId="0" fillId="10" borderId="4" xfId="0" applyFont="1" applyFill="1" applyBorder="1" applyAlignment="1">
      <alignment horizontal="center"/>
    </xf>
    <xf numFmtId="0" fontId="0" fillId="0" borderId="1" xfId="0" applyFont="1" applyBorder="1"/>
    <xf numFmtId="0" fontId="20" fillId="0" borderId="1" xfId="0" applyFont="1" applyBorder="1" applyAlignment="1">
      <alignment horizontal="center"/>
    </xf>
    <xf numFmtId="0" fontId="18" fillId="0" borderId="0" xfId="0" applyFont="1"/>
    <xf numFmtId="0" fontId="18" fillId="0" borderId="0" xfId="0" applyFont="1" applyBorder="1"/>
    <xf numFmtId="2" fontId="0" fillId="10" borderId="1" xfId="0" applyNumberFormat="1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1" fillId="0" borderId="0" xfId="0" applyFont="1"/>
    <xf numFmtId="0" fontId="0" fillId="0" borderId="0" xfId="0" applyFont="1" applyBorder="1" applyAlignment="1">
      <alignment horizontal="left"/>
    </xf>
    <xf numFmtId="0" fontId="22" fillId="0" borderId="0" xfId="0" applyFont="1"/>
    <xf numFmtId="2" fontId="0" fillId="3" borderId="1" xfId="0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2" fontId="0" fillId="3" borderId="8" xfId="0" applyNumberFormat="1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23" fillId="0" borderId="0" xfId="0" applyFont="1" applyBorder="1" applyAlignment="1"/>
    <xf numFmtId="0" fontId="0" fillId="0" borderId="0" xfId="0" applyFont="1" applyAlignment="1"/>
    <xf numFmtId="0" fontId="23" fillId="0" borderId="0" xfId="0" applyFont="1"/>
    <xf numFmtId="0" fontId="2" fillId="0" borderId="0" xfId="0" applyFont="1"/>
    <xf numFmtId="0" fontId="2" fillId="0" borderId="0" xfId="0" applyFont="1" applyBorder="1"/>
    <xf numFmtId="0" fontId="0" fillId="0" borderId="0" xfId="0" applyFont="1" applyFill="1" applyBorder="1"/>
    <xf numFmtId="0" fontId="2" fillId="0" borderId="0" xfId="0" applyFont="1" applyAlignment="1"/>
    <xf numFmtId="0" fontId="0" fillId="0" borderId="0" xfId="0" applyFont="1" applyFill="1"/>
    <xf numFmtId="0" fontId="19" fillId="0" borderId="0" xfId="0" applyFont="1"/>
    <xf numFmtId="0" fontId="2" fillId="0" borderId="0" xfId="0" applyFont="1" applyFill="1"/>
    <xf numFmtId="164" fontId="0" fillId="10" borderId="3" xfId="0" applyNumberFormat="1" applyFont="1" applyFill="1" applyBorder="1" applyAlignment="1">
      <alignment horizontal="center"/>
    </xf>
    <xf numFmtId="164" fontId="0" fillId="10" borderId="1" xfId="0" applyNumberFormat="1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4" fontId="0" fillId="3" borderId="1" xfId="0" applyNumberFormat="1" applyFont="1" applyFill="1" applyBorder="1" applyAlignment="1">
      <alignment horizontal="center"/>
    </xf>
    <xf numFmtId="164" fontId="0" fillId="3" borderId="8" xfId="0" applyNumberFormat="1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6" fontId="5" fillId="0" borderId="0" xfId="0" applyNumberFormat="1" applyFont="1" applyFill="1" applyBorder="1"/>
    <xf numFmtId="6" fontId="5" fillId="0" borderId="0" xfId="0" applyNumberFormat="1" applyFont="1" applyFill="1" applyBorder="1" applyAlignment="1"/>
    <xf numFmtId="0" fontId="20" fillId="0" borderId="0" xfId="0" applyFont="1" applyFill="1" applyBorder="1"/>
    <xf numFmtId="0" fontId="20" fillId="0" borderId="0" xfId="0" applyFont="1"/>
    <xf numFmtId="0" fontId="22" fillId="0" borderId="0" xfId="0" applyFont="1" applyAlignment="1"/>
    <xf numFmtId="1" fontId="0" fillId="0" borderId="34" xfId="0" applyNumberFormat="1" applyFill="1" applyBorder="1" applyAlignment="1">
      <alignment horizontal="center" vertical="center"/>
    </xf>
    <xf numFmtId="1" fontId="0" fillId="0" borderId="13" xfId="0" applyNumberFormat="1" applyFill="1" applyBorder="1" applyAlignment="1">
      <alignment horizontal="center" vertical="center"/>
    </xf>
    <xf numFmtId="1" fontId="0" fillId="0" borderId="35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64" fontId="0" fillId="0" borderId="41" xfId="0" applyNumberFormat="1" applyFill="1" applyBorder="1" applyAlignment="1">
      <alignment horizontal="center" vertical="center"/>
    </xf>
    <xf numFmtId="2" fontId="0" fillId="8" borderId="59" xfId="0" applyNumberForma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Fill="1"/>
    <xf numFmtId="0" fontId="0" fillId="0" borderId="1" xfId="0" applyFont="1" applyBorder="1" applyAlignment="1">
      <alignment horizontal="center"/>
    </xf>
    <xf numFmtId="0" fontId="0" fillId="10" borderId="46" xfId="0" applyFill="1" applyBorder="1" applyAlignment="1">
      <alignment horizontal="center" vertical="center"/>
    </xf>
    <xf numFmtId="0" fontId="0" fillId="10" borderId="47" xfId="0" applyFill="1" applyBorder="1" applyAlignment="1">
      <alignment horizontal="center" vertical="center"/>
    </xf>
    <xf numFmtId="0" fontId="0" fillId="10" borderId="68" xfId="0" applyFill="1" applyBorder="1" applyAlignment="1">
      <alignment horizontal="center" vertical="center"/>
    </xf>
    <xf numFmtId="0" fontId="0" fillId="10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68" xfId="0" applyFill="1" applyBorder="1" applyAlignment="1">
      <alignment horizontal="center" vertical="center"/>
    </xf>
    <xf numFmtId="0" fontId="0" fillId="0" borderId="61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69" xfId="0" applyFill="1" applyBorder="1" applyAlignment="1">
      <alignment horizontal="center"/>
    </xf>
    <xf numFmtId="164" fontId="0" fillId="0" borderId="61" xfId="0" applyNumberFormat="1" applyFill="1" applyBorder="1" applyAlignment="1">
      <alignment horizontal="center"/>
    </xf>
    <xf numFmtId="0" fontId="0" fillId="10" borderId="28" xfId="0" applyNumberFormat="1" applyFill="1" applyBorder="1" applyAlignment="1">
      <alignment horizontal="center" vertical="center"/>
    </xf>
    <xf numFmtId="0" fontId="0" fillId="10" borderId="1" xfId="0" applyNumberForma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7" borderId="11" xfId="2" applyNumberFormat="1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0" fillId="10" borderId="46" xfId="0" applyFont="1" applyFill="1" applyBorder="1" applyAlignment="1">
      <alignment horizontal="center" vertical="center"/>
    </xf>
    <xf numFmtId="0" fontId="0" fillId="10" borderId="47" xfId="0" applyFont="1" applyFill="1" applyBorder="1" applyAlignment="1">
      <alignment horizontal="center" vertical="center"/>
    </xf>
    <xf numFmtId="0" fontId="0" fillId="3" borderId="47" xfId="0" applyFont="1" applyFill="1" applyBorder="1" applyAlignment="1">
      <alignment horizontal="center" vertical="center"/>
    </xf>
    <xf numFmtId="0" fontId="0" fillId="3" borderId="48" xfId="0" applyFont="1" applyFill="1" applyBorder="1" applyAlignment="1">
      <alignment horizontal="center" vertical="center"/>
    </xf>
    <xf numFmtId="164" fontId="0" fillId="0" borderId="46" xfId="0" applyNumberFormat="1" applyFill="1" applyBorder="1" applyAlignment="1">
      <alignment horizontal="center" vertical="center"/>
    </xf>
    <xf numFmtId="164" fontId="0" fillId="0" borderId="47" xfId="2" applyNumberFormat="1" applyFont="1" applyFill="1" applyBorder="1" applyAlignment="1">
      <alignment horizontal="center" vertical="center"/>
    </xf>
    <xf numFmtId="164" fontId="0" fillId="0" borderId="48" xfId="2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7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70" xfId="0" applyBorder="1" applyAlignment="1">
      <alignment horizontal="center" vertical="center"/>
    </xf>
    <xf numFmtId="0" fontId="4" fillId="7" borderId="26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1" fontId="0" fillId="0" borderId="46" xfId="0" applyNumberFormat="1" applyFill="1" applyBorder="1" applyAlignment="1">
      <alignment horizontal="center" vertical="center"/>
    </xf>
    <xf numFmtId="1" fontId="0" fillId="0" borderId="47" xfId="0" applyNumberFormat="1" applyFill="1" applyBorder="1" applyAlignment="1">
      <alignment horizontal="center" vertical="center"/>
    </xf>
    <xf numFmtId="1" fontId="0" fillId="0" borderId="52" xfId="0" applyNumberFormat="1" applyFill="1" applyBorder="1" applyAlignment="1">
      <alignment horizontal="center" vertical="center"/>
    </xf>
    <xf numFmtId="1" fontId="0" fillId="0" borderId="48" xfId="2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1" fontId="0" fillId="0" borderId="47" xfId="2" applyNumberFormat="1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4" fillId="10" borderId="20" xfId="0" applyFont="1" applyFill="1" applyBorder="1" applyAlignment="1">
      <alignment horizontal="center" vertical="center"/>
    </xf>
    <xf numFmtId="0" fontId="4" fillId="10" borderId="32" xfId="0" applyFont="1" applyFill="1" applyBorder="1" applyAlignment="1">
      <alignment horizontal="center" vertical="center"/>
    </xf>
    <xf numFmtId="0" fontId="4" fillId="10" borderId="33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15" fillId="10" borderId="15" xfId="0" applyFont="1" applyFill="1" applyBorder="1" applyAlignment="1">
      <alignment horizontal="center"/>
    </xf>
    <xf numFmtId="0" fontId="18" fillId="0" borderId="1" xfId="0" applyFont="1" applyBorder="1"/>
    <xf numFmtId="0" fontId="1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4" fillId="10" borderId="20" xfId="0" applyFont="1" applyFill="1" applyBorder="1" applyAlignment="1">
      <alignment horizontal="center"/>
    </xf>
    <xf numFmtId="0" fontId="4" fillId="10" borderId="32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33" xfId="0" applyFont="1" applyFill="1" applyBorder="1" applyAlignment="1">
      <alignment horizontal="center"/>
    </xf>
    <xf numFmtId="0" fontId="18" fillId="0" borderId="41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7" borderId="36" xfId="0" applyFont="1" applyFill="1" applyBorder="1" applyAlignment="1">
      <alignment horizontal="center" vertical="center"/>
    </xf>
    <xf numFmtId="166" fontId="0" fillId="7" borderId="27" xfId="2" applyNumberFormat="1" applyFont="1" applyFill="1" applyBorder="1" applyAlignment="1">
      <alignment horizontal="center" vertical="center"/>
    </xf>
    <xf numFmtId="0" fontId="0" fillId="0" borderId="46" xfId="2" applyNumberFormat="1" applyFont="1" applyFill="1" applyBorder="1" applyAlignment="1">
      <alignment horizontal="center" vertical="center"/>
    </xf>
    <xf numFmtId="0" fontId="0" fillId="0" borderId="45" xfId="2" applyNumberFormat="1" applyFont="1" applyFill="1" applyBorder="1" applyAlignment="1">
      <alignment horizontal="center" vertical="center"/>
    </xf>
    <xf numFmtId="0" fontId="0" fillId="0" borderId="47" xfId="2" applyNumberFormat="1" applyFont="1" applyFill="1" applyBorder="1" applyAlignment="1">
      <alignment horizontal="center" vertical="center"/>
    </xf>
    <xf numFmtId="0" fontId="0" fillId="0" borderId="38" xfId="2" applyNumberFormat="1" applyFont="1" applyFill="1" applyBorder="1" applyAlignment="1">
      <alignment horizontal="center" vertical="center"/>
    </xf>
    <xf numFmtId="0" fontId="0" fillId="0" borderId="48" xfId="2" applyNumberFormat="1" applyFont="1" applyFill="1" applyBorder="1" applyAlignment="1">
      <alignment horizontal="center" vertical="center"/>
    </xf>
    <xf numFmtId="0" fontId="0" fillId="0" borderId="39" xfId="2" applyNumberFormat="1" applyFont="1" applyFill="1" applyBorder="1" applyAlignment="1">
      <alignment horizontal="center" vertical="center"/>
    </xf>
    <xf numFmtId="166" fontId="0" fillId="0" borderId="4" xfId="0" applyNumberFormat="1" applyFill="1" applyBorder="1" applyAlignment="1">
      <alignment horizontal="center" vertical="center"/>
    </xf>
    <xf numFmtId="166" fontId="0" fillId="0" borderId="9" xfId="0" applyNumberForma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167" fontId="0" fillId="0" borderId="0" xfId="2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46" xfId="2" applyNumberFormat="1" applyFont="1" applyFill="1" applyBorder="1" applyAlignment="1">
      <alignment horizontal="center" vertical="center"/>
    </xf>
    <xf numFmtId="166" fontId="0" fillId="0" borderId="47" xfId="2" applyNumberFormat="1" applyFont="1" applyFill="1" applyBorder="1" applyAlignment="1">
      <alignment horizontal="center" vertical="center"/>
    </xf>
    <xf numFmtId="166" fontId="0" fillId="0" borderId="48" xfId="2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2" fontId="0" fillId="0" borderId="48" xfId="0" applyNumberForma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47" xfId="0" applyNumberForma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2" fontId="0" fillId="0" borderId="39" xfId="0" applyNumberFormat="1" applyBorder="1" applyAlignment="1">
      <alignment horizontal="center" vertical="center"/>
    </xf>
    <xf numFmtId="2" fontId="0" fillId="8" borderId="65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vertical="center"/>
    </xf>
    <xf numFmtId="0" fontId="6" fillId="7" borderId="71" xfId="0" applyFont="1" applyFill="1" applyBorder="1" applyAlignment="1">
      <alignment horizontal="center" vertical="center"/>
    </xf>
    <xf numFmtId="0" fontId="6" fillId="7" borderId="6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7" borderId="38" xfId="0" applyNumberFormat="1" applyFill="1" applyBorder="1" applyAlignment="1">
      <alignment horizontal="center" vertical="center"/>
    </xf>
    <xf numFmtId="0" fontId="4" fillId="10" borderId="4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164" fontId="0" fillId="8" borderId="65" xfId="0" applyNumberFormat="1" applyFill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7" borderId="70" xfId="0" applyNumberFormat="1" applyFill="1" applyBorder="1" applyAlignment="1">
      <alignment horizontal="center" vertical="center"/>
    </xf>
    <xf numFmtId="164" fontId="5" fillId="7" borderId="38" xfId="0" applyNumberFormat="1" applyFont="1" applyFill="1" applyBorder="1" applyAlignment="1">
      <alignment horizontal="center" vertical="center"/>
    </xf>
    <xf numFmtId="164" fontId="0" fillId="3" borderId="28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4" fillId="10" borderId="11" xfId="0" applyFont="1" applyFill="1" applyBorder="1" applyAlignment="1">
      <alignment vertical="center"/>
    </xf>
    <xf numFmtId="164" fontId="0" fillId="10" borderId="28" xfId="0" applyNumberFormat="1" applyFill="1" applyBorder="1" applyAlignment="1">
      <alignment horizontal="center" vertical="center"/>
    </xf>
    <xf numFmtId="0" fontId="4" fillId="10" borderId="22" xfId="0" applyFont="1" applyFill="1" applyBorder="1" applyAlignment="1">
      <alignment horizontal="center" vertical="center"/>
    </xf>
    <xf numFmtId="0" fontId="0" fillId="10" borderId="15" xfId="0" applyNumberFormat="1" applyFill="1" applyBorder="1" applyAlignment="1">
      <alignment horizontal="center" vertical="center"/>
    </xf>
    <xf numFmtId="166" fontId="0" fillId="10" borderId="15" xfId="0" applyNumberFormat="1" applyFill="1" applyBorder="1" applyAlignment="1">
      <alignment horizontal="center" vertical="center"/>
    </xf>
    <xf numFmtId="164" fontId="0" fillId="10" borderId="16" xfId="0" applyNumberFormat="1" applyFill="1" applyBorder="1" applyAlignment="1">
      <alignment horizontal="center" vertical="center"/>
    </xf>
    <xf numFmtId="164" fontId="0" fillId="10" borderId="15" xfId="0" applyNumberFormat="1" applyFill="1" applyBorder="1" applyAlignment="1">
      <alignment horizontal="center" vertical="center"/>
    </xf>
    <xf numFmtId="164" fontId="0" fillId="10" borderId="21" xfId="0" applyNumberFormat="1" applyFill="1" applyBorder="1" applyAlignment="1">
      <alignment horizontal="center" vertical="center"/>
    </xf>
    <xf numFmtId="44" fontId="0" fillId="10" borderId="27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4" fillId="10" borderId="23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4" fillId="0" borderId="36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1" fontId="0" fillId="8" borderId="65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/>
    </xf>
    <xf numFmtId="0" fontId="8" fillId="10" borderId="32" xfId="0" applyFont="1" applyFill="1" applyBorder="1" applyAlignment="1">
      <alignment horizontal="center"/>
    </xf>
    <xf numFmtId="0" fontId="8" fillId="3" borderId="32" xfId="0" applyFont="1" applyFill="1" applyBorder="1" applyAlignment="1">
      <alignment horizontal="center"/>
    </xf>
    <xf numFmtId="0" fontId="8" fillId="3" borderId="3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7" xfId="0" applyBorder="1"/>
    <xf numFmtId="0" fontId="0" fillId="0" borderId="70" xfId="0" applyFill="1" applyBorder="1" applyAlignment="1">
      <alignment horizontal="center" vertical="center"/>
    </xf>
    <xf numFmtId="0" fontId="4" fillId="0" borderId="66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7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2" fontId="0" fillId="0" borderId="46" xfId="0" applyNumberFormat="1" applyFill="1" applyBorder="1" applyAlignment="1">
      <alignment horizontal="center" vertical="center"/>
    </xf>
    <xf numFmtId="2" fontId="0" fillId="0" borderId="47" xfId="0" applyNumberFormat="1" applyFill="1" applyBorder="1" applyAlignment="1">
      <alignment horizontal="center" vertical="center"/>
    </xf>
    <xf numFmtId="2" fontId="0" fillId="0" borderId="52" xfId="0" applyNumberFormat="1" applyFill="1" applyBorder="1" applyAlignment="1">
      <alignment horizontal="center" vertical="center"/>
    </xf>
    <xf numFmtId="2" fontId="0" fillId="0" borderId="48" xfId="2" applyNumberFormat="1" applyFont="1" applyFill="1" applyBorder="1" applyAlignment="1">
      <alignment horizontal="center" vertical="center"/>
    </xf>
    <xf numFmtId="2" fontId="0" fillId="0" borderId="47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10" borderId="46" xfId="0" applyNumberFormat="1" applyFill="1" applyBorder="1" applyAlignment="1">
      <alignment horizontal="center" vertical="center"/>
    </xf>
    <xf numFmtId="164" fontId="0" fillId="10" borderId="47" xfId="0" applyNumberFormat="1" applyFill="1" applyBorder="1" applyAlignment="1">
      <alignment horizontal="center" vertical="center"/>
    </xf>
    <xf numFmtId="164" fontId="0" fillId="3" borderId="47" xfId="0" applyNumberFormat="1" applyFill="1" applyBorder="1" applyAlignment="1">
      <alignment horizontal="center" vertical="center"/>
    </xf>
    <xf numFmtId="164" fontId="0" fillId="3" borderId="52" xfId="0" applyNumberFormat="1" applyFill="1" applyBorder="1" applyAlignment="1">
      <alignment horizontal="center" vertical="center"/>
    </xf>
    <xf numFmtId="164" fontId="0" fillId="3" borderId="48" xfId="2" applyNumberFormat="1" applyFont="1" applyFill="1" applyBorder="1" applyAlignment="1">
      <alignment horizontal="center" vertical="center"/>
    </xf>
    <xf numFmtId="164" fontId="0" fillId="3" borderId="48" xfId="0" applyNumberFormat="1" applyFill="1" applyBorder="1" applyAlignment="1">
      <alignment horizontal="center" vertical="center"/>
    </xf>
    <xf numFmtId="164" fontId="0" fillId="10" borderId="47" xfId="2" applyNumberFormat="1" applyFont="1" applyFill="1" applyBorder="1" applyAlignment="1">
      <alignment horizontal="center" vertical="center"/>
    </xf>
    <xf numFmtId="164" fontId="0" fillId="10" borderId="48" xfId="2" applyNumberFormat="1" applyFont="1" applyFill="1" applyBorder="1" applyAlignment="1">
      <alignment horizontal="center" vertical="center"/>
    </xf>
    <xf numFmtId="164" fontId="0" fillId="3" borderId="47" xfId="2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0" borderId="49" xfId="0" applyFont="1" applyFill="1" applyBorder="1" applyAlignment="1">
      <alignment horizontal="center" vertical="center"/>
    </xf>
    <xf numFmtId="0" fontId="0" fillId="0" borderId="15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1" fontId="2" fillId="10" borderId="13" xfId="0" applyNumberFormat="1" applyFont="1" applyFill="1" applyBorder="1" applyAlignment="1">
      <alignment horizontal="center"/>
    </xf>
    <xf numFmtId="1" fontId="0" fillId="10" borderId="13" xfId="0" applyNumberFormat="1" applyFont="1" applyFill="1" applyBorder="1" applyAlignment="1">
      <alignment horizontal="center"/>
    </xf>
    <xf numFmtId="1" fontId="2" fillId="10" borderId="19" xfId="0" applyNumberFormat="1" applyFont="1" applyFill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8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164" fontId="0" fillId="10" borderId="27" xfId="2" applyNumberFormat="1" applyFont="1" applyFill="1" applyBorder="1" applyAlignment="1">
      <alignment horizontal="center" vertical="center"/>
    </xf>
    <xf numFmtId="0" fontId="4" fillId="7" borderId="40" xfId="0" applyFont="1" applyFill="1" applyBorder="1" applyAlignment="1">
      <alignment horizontal="center" vertical="center"/>
    </xf>
    <xf numFmtId="0" fontId="4" fillId="7" borderId="32" xfId="0" applyFont="1" applyFill="1" applyBorder="1" applyAlignment="1">
      <alignment horizontal="center" vertical="center"/>
    </xf>
    <xf numFmtId="164" fontId="0" fillId="0" borderId="70" xfId="0" applyNumberFormat="1" applyFill="1" applyBorder="1" applyAlignment="1">
      <alignment horizontal="center" vertical="center"/>
    </xf>
    <xf numFmtId="164" fontId="0" fillId="0" borderId="38" xfId="0" applyNumberFormat="1" applyFill="1" applyBorder="1" applyAlignment="1">
      <alignment horizontal="center" vertical="center"/>
    </xf>
    <xf numFmtId="164" fontId="0" fillId="0" borderId="39" xfId="0" applyNumberFormat="1" applyFill="1" applyBorder="1" applyAlignment="1">
      <alignment horizontal="center" vertical="center"/>
    </xf>
    <xf numFmtId="164" fontId="0" fillId="10" borderId="55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7" borderId="27" xfId="0" applyNumberFormat="1" applyFont="1" applyFill="1" applyBorder="1" applyAlignment="1">
      <alignment horizontal="center" vertical="center"/>
    </xf>
    <xf numFmtId="164" fontId="0" fillId="7" borderId="46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164" fontId="5" fillId="7" borderId="47" xfId="0" applyNumberFormat="1" applyFont="1" applyFill="1" applyBorder="1" applyAlignment="1">
      <alignment horizontal="center" vertical="center"/>
    </xf>
    <xf numFmtId="0" fontId="0" fillId="7" borderId="47" xfId="0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7" borderId="32" xfId="0" applyNumberFormat="1" applyFill="1" applyBorder="1" applyAlignment="1">
      <alignment horizontal="center" vertical="center"/>
    </xf>
    <xf numFmtId="164" fontId="0" fillId="7" borderId="38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7" borderId="12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4" fillId="7" borderId="36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7" borderId="20" xfId="0" applyFont="1" applyFill="1" applyBorder="1" applyAlignment="1">
      <alignment horizontal="center" vertical="center"/>
    </xf>
    <xf numFmtId="0" fontId="0" fillId="7" borderId="45" xfId="0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164" fontId="0" fillId="7" borderId="33" xfId="0" applyNumberFormat="1" applyFill="1" applyBorder="1" applyAlignment="1">
      <alignment horizontal="center" vertical="center"/>
    </xf>
    <xf numFmtId="164" fontId="0" fillId="7" borderId="39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4" fillId="9" borderId="53" xfId="0" applyFont="1" applyFill="1" applyBorder="1" applyAlignment="1">
      <alignment horizontal="left" vertical="top" wrapText="1"/>
    </xf>
    <xf numFmtId="0" fontId="4" fillId="9" borderId="0" xfId="0" applyFont="1" applyFill="1" applyBorder="1" applyAlignment="1">
      <alignment horizontal="left" vertical="top" wrapText="1"/>
    </xf>
    <xf numFmtId="0" fontId="4" fillId="9" borderId="54" xfId="0" applyFont="1" applyFill="1" applyBorder="1" applyAlignment="1">
      <alignment horizontal="left" vertical="top" wrapText="1"/>
    </xf>
    <xf numFmtId="0" fontId="4" fillId="9" borderId="55" xfId="0" applyFont="1" applyFill="1" applyBorder="1" applyAlignment="1">
      <alignment horizontal="left" vertical="top" wrapText="1"/>
    </xf>
    <xf numFmtId="0" fontId="4" fillId="9" borderId="56" xfId="0" applyFont="1" applyFill="1" applyBorder="1" applyAlignment="1">
      <alignment horizontal="left" vertical="top" wrapText="1"/>
    </xf>
    <xf numFmtId="0" fontId="4" fillId="9" borderId="57" xfId="0" applyFont="1" applyFill="1" applyBorder="1" applyAlignment="1">
      <alignment horizontal="left" vertical="top" wrapText="1"/>
    </xf>
    <xf numFmtId="0" fontId="4" fillId="9" borderId="26" xfId="0" applyFont="1" applyFill="1" applyBorder="1" applyAlignment="1">
      <alignment horizontal="left" vertical="top" wrapText="1"/>
    </xf>
    <xf numFmtId="0" fontId="0" fillId="0" borderId="32" xfId="0" applyFill="1" applyBorder="1" applyAlignment="1">
      <alignment horizontal="center" vertical="top"/>
    </xf>
    <xf numFmtId="0" fontId="0" fillId="0" borderId="38" xfId="0" applyFill="1" applyBorder="1" applyAlignment="1">
      <alignment horizontal="center" vertical="top"/>
    </xf>
    <xf numFmtId="0" fontId="4" fillId="0" borderId="10" xfId="0" applyFont="1" applyBorder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6" xfId="0" applyBorder="1" applyAlignment="1">
      <alignment horizontal="center" vertical="top" wrapText="1"/>
    </xf>
    <xf numFmtId="0" fontId="0" fillId="0" borderId="37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36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0" borderId="36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55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53" xfId="0" applyBorder="1" applyAlignment="1">
      <alignment horizontal="center"/>
    </xf>
    <xf numFmtId="0" fontId="0" fillId="0" borderId="73" xfId="0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1017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480386581579215E-2"/>
          <c:y val="3.5910923712899438E-2"/>
          <c:w val="0.90520019612933"/>
          <c:h val="0.87913608526206966"/>
        </c:manualLayout>
      </c:layout>
      <c:scatterChart>
        <c:scatterStyle val="lineMarker"/>
        <c:varyColors val="0"/>
        <c:ser>
          <c:idx val="1"/>
          <c:order val="0"/>
          <c:tx>
            <c:strRef>
              <c:f>'Point Data'!$B$198</c:f>
              <c:strCache>
                <c:ptCount val="1"/>
                <c:pt idx="0">
                  <c:v>Team 15</c:v>
                </c:pt>
              </c:strCache>
            </c:strRef>
          </c:tx>
          <c:spPr>
            <a:ln w="9525">
              <a:solidFill>
                <a:srgbClr val="FFC000"/>
              </a:solidFill>
              <a:prstDash val="lgDash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Data'!$D$198:$D$211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Data'!$G$198:$G$211</c:f>
              <c:numCache>
                <c:formatCode>General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10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6</c:v>
                </c:pt>
                <c:pt idx="10">
                  <c:v>6</c:v>
                </c:pt>
                <c:pt idx="11">
                  <c:v>12</c:v>
                </c:pt>
                <c:pt idx="12">
                  <c:v>10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738D-3744-AF9B-56A34DEE2362}"/>
            </c:ext>
          </c:extLst>
        </c:ser>
        <c:ser>
          <c:idx val="2"/>
          <c:order val="1"/>
          <c:tx>
            <c:strRef>
              <c:f>'Point Data'!$B$170</c:f>
              <c:strCache>
                <c:ptCount val="1"/>
                <c:pt idx="0">
                  <c:v>Team 13</c:v>
                </c:pt>
              </c:strCache>
            </c:strRef>
          </c:tx>
          <c:spPr>
            <a:ln w="9525">
              <a:solidFill>
                <a:srgbClr val="FFC000"/>
              </a:solidFill>
              <a:prstDash val="lgDash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Data'!$D$170:$D$183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Data'!$G$170:$G$183</c:f>
              <c:numCache>
                <c:formatCode>General</c:formatCode>
                <c:ptCount val="14"/>
                <c:pt idx="0">
                  <c:v>15</c:v>
                </c:pt>
                <c:pt idx="1">
                  <c:v>16</c:v>
                </c:pt>
                <c:pt idx="2">
                  <c:v>16</c:v>
                </c:pt>
                <c:pt idx="3">
                  <c:v>15</c:v>
                </c:pt>
                <c:pt idx="4">
                  <c:v>16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  <c:pt idx="12">
                  <c:v>13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738D-3744-AF9B-56A34DEE2362}"/>
            </c:ext>
          </c:extLst>
        </c:ser>
        <c:ser>
          <c:idx val="3"/>
          <c:order val="2"/>
          <c:tx>
            <c:strRef>
              <c:f>'Point Data'!$B$212</c:f>
              <c:strCache>
                <c:ptCount val="1"/>
                <c:pt idx="0">
                  <c:v>Team 16</c:v>
                </c:pt>
              </c:strCache>
            </c:strRef>
          </c:tx>
          <c:spPr>
            <a:ln w="9525">
              <a:solidFill>
                <a:srgbClr val="FFC000"/>
              </a:solidFill>
              <a:prstDash val="lgDash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Data'!$D$212:$D$225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Data'!$G$212:$G$223</c:f>
              <c:numCache>
                <c:formatCode>General</c:formatCode>
                <c:ptCount val="12"/>
                <c:pt idx="0">
                  <c:v>16</c:v>
                </c:pt>
                <c:pt idx="1">
                  <c:v>15</c:v>
                </c:pt>
                <c:pt idx="2">
                  <c:v>14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738D-3744-AF9B-56A34DEE2362}"/>
            </c:ext>
          </c:extLst>
        </c:ser>
        <c:ser>
          <c:idx val="4"/>
          <c:order val="3"/>
          <c:tx>
            <c:strRef>
              <c:f>'Point Data'!$B$184</c:f>
              <c:strCache>
                <c:ptCount val="1"/>
                <c:pt idx="0">
                  <c:v>Team 14</c:v>
                </c:pt>
              </c:strCache>
            </c:strRef>
          </c:tx>
          <c:spPr>
            <a:ln w="9525">
              <a:solidFill>
                <a:srgbClr val="FFC000"/>
              </a:solidFill>
              <a:prstDash val="lgDash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Data'!$D$184:$D$197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Data'!$G$184:$G$197</c:f>
              <c:numCache>
                <c:formatCode>General</c:formatCode>
                <c:ptCount val="14"/>
                <c:pt idx="0">
                  <c:v>7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38D-3744-AF9B-56A34DEE2362}"/>
            </c:ext>
          </c:extLst>
        </c:ser>
        <c:ser>
          <c:idx val="5"/>
          <c:order val="4"/>
          <c:tx>
            <c:strRef>
              <c:f>'Point Data'!$B$114</c:f>
              <c:strCache>
                <c:ptCount val="1"/>
                <c:pt idx="0">
                  <c:v>Team 9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Data'!$D$114:$D$127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Data'!$G$114:$G$127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738D-3744-AF9B-56A34DEE2362}"/>
            </c:ext>
          </c:extLst>
        </c:ser>
        <c:ser>
          <c:idx val="6"/>
          <c:order val="5"/>
          <c:tx>
            <c:strRef>
              <c:f>'Point Data'!$B$128</c:f>
              <c:strCache>
                <c:ptCount val="1"/>
                <c:pt idx="0">
                  <c:v>Team 10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Data'!$D$128:$D$141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Data'!$G$128:$G$141</c:f>
              <c:numCache>
                <c:formatCode>General</c:formatCode>
                <c:ptCount val="14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11</c:v>
                </c:pt>
                <c:pt idx="5">
                  <c:v>9</c:v>
                </c:pt>
                <c:pt idx="6">
                  <c:v>11</c:v>
                </c:pt>
                <c:pt idx="7">
                  <c:v>11</c:v>
                </c:pt>
                <c:pt idx="8">
                  <c:v>8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738D-3744-AF9B-56A34DEE2362}"/>
            </c:ext>
          </c:extLst>
        </c:ser>
        <c:ser>
          <c:idx val="7"/>
          <c:order val="6"/>
          <c:tx>
            <c:strRef>
              <c:f>'Point Data'!$B$142</c:f>
              <c:strCache>
                <c:ptCount val="1"/>
                <c:pt idx="0">
                  <c:v>Team 11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Data'!$D$142:$D$155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Data'!$G$142:$G$155</c:f>
              <c:numCache>
                <c:formatCode>General</c:formatCode>
                <c:ptCount val="14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10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38D-3744-AF9B-56A34DEE2362}"/>
            </c:ext>
          </c:extLst>
        </c:ser>
        <c:ser>
          <c:idx val="11"/>
          <c:order val="7"/>
          <c:tx>
            <c:strRef>
              <c:f>'Point Data'!$B$156</c:f>
              <c:strCache>
                <c:ptCount val="1"/>
                <c:pt idx="0">
                  <c:v>Team 12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Data'!$D$156:$D$169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Data'!$G$156:$G$169</c:f>
              <c:numCache>
                <c:formatCode>General</c:formatCode>
                <c:ptCount val="14"/>
                <c:pt idx="0">
                  <c:v>12</c:v>
                </c:pt>
                <c:pt idx="1">
                  <c:v>9</c:v>
                </c:pt>
                <c:pt idx="2">
                  <c:v>13</c:v>
                </c:pt>
                <c:pt idx="3">
                  <c:v>12</c:v>
                </c:pt>
                <c:pt idx="4">
                  <c:v>14</c:v>
                </c:pt>
                <c:pt idx="5">
                  <c:v>13</c:v>
                </c:pt>
                <c:pt idx="6">
                  <c:v>15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38D-3744-AF9B-56A34DEE2362}"/>
            </c:ext>
          </c:extLst>
        </c:ser>
        <c:ser>
          <c:idx val="12"/>
          <c:order val="8"/>
          <c:tx>
            <c:strRef>
              <c:f>'Point Data'!$B$2</c:f>
              <c:strCache>
                <c:ptCount val="1"/>
                <c:pt idx="0">
                  <c:v>Team 1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Data'!$D$2:$D$15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Data'!$G$2:$G$15</c:f>
              <c:numCache>
                <c:formatCode>General</c:formatCode>
                <c:ptCount val="14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13</c:v>
                </c:pt>
                <c:pt idx="4">
                  <c:v>15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738D-3744-AF9B-56A34DEE2362}"/>
            </c:ext>
          </c:extLst>
        </c:ser>
        <c:ser>
          <c:idx val="13"/>
          <c:order val="9"/>
          <c:tx>
            <c:strRef>
              <c:f>'Point Data'!$B$16</c:f>
              <c:strCache>
                <c:ptCount val="1"/>
                <c:pt idx="0">
                  <c:v>Team 2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Data'!$D$16:$D$29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Data'!$G$16:$G$29</c:f>
              <c:numCache>
                <c:formatCode>General</c:formatCode>
                <c:ptCount val="14"/>
                <c:pt idx="0">
                  <c:v>8</c:v>
                </c:pt>
                <c:pt idx="1">
                  <c:v>4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738D-3744-AF9B-56A34DEE2362}"/>
            </c:ext>
          </c:extLst>
        </c:ser>
        <c:ser>
          <c:idx val="14"/>
          <c:order val="10"/>
          <c:tx>
            <c:strRef>
              <c:f>'Point Data'!$B$30</c:f>
              <c:strCache>
                <c:ptCount val="1"/>
                <c:pt idx="0">
                  <c:v>Team 3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Data'!$D$30:$D$43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Data'!$G$30:$G$43</c:f>
              <c:numCache>
                <c:formatCode>General</c:formatCode>
                <c:ptCount val="14"/>
                <c:pt idx="0">
                  <c:v>11</c:v>
                </c:pt>
                <c:pt idx="1">
                  <c:v>12</c:v>
                </c:pt>
                <c:pt idx="2">
                  <c:v>15</c:v>
                </c:pt>
                <c:pt idx="3">
                  <c:v>16</c:v>
                </c:pt>
                <c:pt idx="4">
                  <c:v>13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738D-3744-AF9B-56A34DEE2362}"/>
            </c:ext>
          </c:extLst>
        </c:ser>
        <c:ser>
          <c:idx val="15"/>
          <c:order val="11"/>
          <c:tx>
            <c:strRef>
              <c:f>'Point Data'!$B$44</c:f>
              <c:strCache>
                <c:ptCount val="1"/>
                <c:pt idx="0">
                  <c:v>Team 4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Data'!$D$44:$D$57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Data'!$G$44:$G$57</c:f>
              <c:numCache>
                <c:formatCode>General</c:formatCode>
                <c:ptCount val="14"/>
                <c:pt idx="0">
                  <c:v>10</c:v>
                </c:pt>
                <c:pt idx="1">
                  <c:v>11</c:v>
                </c:pt>
                <c:pt idx="2">
                  <c:v>9</c:v>
                </c:pt>
                <c:pt idx="3">
                  <c:v>11</c:v>
                </c:pt>
                <c:pt idx="4">
                  <c:v>10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738D-3744-AF9B-56A34DEE2362}"/>
            </c:ext>
          </c:extLst>
        </c:ser>
        <c:ser>
          <c:idx val="16"/>
          <c:order val="12"/>
          <c:tx>
            <c:strRef>
              <c:f>'Point Data'!$B$58</c:f>
              <c:strCache>
                <c:ptCount val="1"/>
                <c:pt idx="0">
                  <c:v>Team 5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Data'!$D$58:$D$71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Data'!$G$58:$G$71</c:f>
              <c:numCache>
                <c:formatCode>General</c:formatCode>
                <c:ptCount val="14"/>
                <c:pt idx="0">
                  <c:v>13</c:v>
                </c:pt>
                <c:pt idx="1">
                  <c:v>10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738D-3744-AF9B-56A34DEE2362}"/>
            </c:ext>
          </c:extLst>
        </c:ser>
        <c:ser>
          <c:idx val="17"/>
          <c:order val="13"/>
          <c:tx>
            <c:strRef>
              <c:f>'Point Data'!$B$72</c:f>
              <c:strCache>
                <c:ptCount val="1"/>
                <c:pt idx="0">
                  <c:v>Team 6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Data'!$D$72:$D$85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Data'!$G$72:$G$85</c:f>
              <c:numCache>
                <c:formatCode>General</c:formatCode>
                <c:ptCount val="14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9</c:v>
                </c:pt>
                <c:pt idx="5">
                  <c:v>11</c:v>
                </c:pt>
                <c:pt idx="6">
                  <c:v>9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8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738D-3744-AF9B-56A34DEE2362}"/>
            </c:ext>
          </c:extLst>
        </c:ser>
        <c:ser>
          <c:idx val="18"/>
          <c:order val="14"/>
          <c:tx>
            <c:strRef>
              <c:f>'Point Data'!$B$86</c:f>
              <c:strCache>
                <c:ptCount val="1"/>
                <c:pt idx="0">
                  <c:v>Team 7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Data'!$D$86:$D$99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Data'!$G$86:$G$99</c:f>
              <c:numCache>
                <c:formatCode>General</c:formatCode>
                <c:ptCount val="1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738D-3744-AF9B-56A34DEE2362}"/>
            </c:ext>
          </c:extLst>
        </c:ser>
        <c:ser>
          <c:idx val="19"/>
          <c:order val="15"/>
          <c:tx>
            <c:strRef>
              <c:f>'Point Data'!$B$100</c:f>
              <c:strCache>
                <c:ptCount val="1"/>
                <c:pt idx="0">
                  <c:v>Team 8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00" b="1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'Point Data'!$D$100:$D$113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Data'!$G$100:$G$113</c:f>
              <c:numCache>
                <c:formatCode>General</c:formatCode>
                <c:ptCount val="14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8</c:v>
                </c:pt>
                <c:pt idx="12">
                  <c:v>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738D-3744-AF9B-56A34DEE2362}"/>
            </c:ext>
          </c:extLst>
        </c:ser>
        <c:ser>
          <c:idx val="0"/>
          <c:order val="16"/>
          <c:tx>
            <c:strRef>
              <c:f>Standings!$V$19</c:f>
              <c:strCache>
                <c:ptCount val="1"/>
                <c:pt idx="0">
                  <c:v>Bone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circ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strRef>
              <c:f>'Point Data'!$G$2:$G$15</c:f>
              <c:strCach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13</c:v>
                </c:pt>
                <c:pt idx="4">
                  <c:v>15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</c:strCache>
            </c:str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3FC-824C-B2AF-25F500003CEC}"/>
            </c:ext>
          </c:extLst>
        </c:ser>
        <c:ser>
          <c:idx val="8"/>
          <c:order val="17"/>
          <c:tx>
            <c:strRef>
              <c:f>Standings!$V$20</c:f>
              <c:strCache>
                <c:ptCount val="1"/>
                <c:pt idx="0">
                  <c:v>Wardo</c:v>
                </c:pt>
              </c:strCache>
            </c:strRef>
          </c:tx>
          <c:spPr>
            <a:ln w="9525">
              <a:solidFill>
                <a:srgbClr val="92D050"/>
              </a:solidFill>
              <a:prstDash val="sysDot"/>
            </a:ln>
          </c:spPr>
          <c:marker>
            <c:symbol val="circle"/>
            <c:size val="3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strRef>
              <c:f>'Point Data'!$B$58:$B$71</c:f>
              <c:strCache>
                <c:ptCount val="14"/>
                <c:pt idx="0">
                  <c:v>Team 5</c:v>
                </c:pt>
                <c:pt idx="1">
                  <c:v>Team 5</c:v>
                </c:pt>
                <c:pt idx="2">
                  <c:v>Team 5</c:v>
                </c:pt>
                <c:pt idx="3">
                  <c:v>Team 5</c:v>
                </c:pt>
                <c:pt idx="4">
                  <c:v>Team 5</c:v>
                </c:pt>
                <c:pt idx="5">
                  <c:v>Team 5</c:v>
                </c:pt>
                <c:pt idx="6">
                  <c:v>Team 5</c:v>
                </c:pt>
                <c:pt idx="7">
                  <c:v>Team 5</c:v>
                </c:pt>
                <c:pt idx="8">
                  <c:v>Team 5</c:v>
                </c:pt>
                <c:pt idx="9">
                  <c:v>Team 5</c:v>
                </c:pt>
                <c:pt idx="10">
                  <c:v>Team 5</c:v>
                </c:pt>
                <c:pt idx="11">
                  <c:v>Team 5</c:v>
                </c:pt>
                <c:pt idx="12">
                  <c:v>Team 5</c:v>
                </c:pt>
                <c:pt idx="13">
                  <c:v>Team 5</c:v>
                </c:pt>
              </c:strCache>
            </c:strRef>
          </c:xVal>
          <c:yVal>
            <c:numRef>
              <c:f>'Point Data'!$G$58:$G$71</c:f>
              <c:numCache>
                <c:formatCode>General</c:formatCode>
                <c:ptCount val="14"/>
                <c:pt idx="0">
                  <c:v>13</c:v>
                </c:pt>
                <c:pt idx="1">
                  <c:v>10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FC-824C-B2AF-25F500003CEC}"/>
            </c:ext>
          </c:extLst>
        </c:ser>
        <c:ser>
          <c:idx val="9"/>
          <c:order val="18"/>
          <c:tx>
            <c:strRef>
              <c:f>Standings!#REF!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diamond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strLit>
              <c:ptCount val="1"/>
              <c:pt idx="0">
                <c:v>''Point Data'!$B$106:$B$118</c:v>
              </c:pt>
            </c:strLit>
          </c:xVal>
          <c:yVal>
            <c:numRef>
              <c:f>'Point Data'!$G$114:$G$127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FC-824C-B2AF-25F500003CEC}"/>
            </c:ext>
          </c:extLst>
        </c:ser>
        <c:ser>
          <c:idx val="10"/>
          <c:order val="19"/>
          <c:tx>
            <c:strRef>
              <c:f>Standings!#REF!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FFC000"/>
              </a:solidFill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strLit>
              <c:ptCount val="1"/>
              <c:pt idx="0">
                <c:v>''Point Data'!$B$171:$B$183</c:v>
              </c:pt>
            </c:strLit>
          </c:xVal>
          <c:yVal>
            <c:numRef>
              <c:f>'Point Data'!$G$184:$G$197</c:f>
              <c:numCache>
                <c:formatCode>General</c:formatCode>
                <c:ptCount val="14"/>
                <c:pt idx="0">
                  <c:v>7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FC-824C-B2AF-25F500003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97760"/>
        <c:axId val="421668896"/>
        <c:extLst/>
      </c:scatterChart>
      <c:valAx>
        <c:axId val="210597760"/>
        <c:scaling>
          <c:orientation val="minMax"/>
          <c:max val="13.95"/>
          <c:min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Week </a:t>
                </a:r>
              </a:p>
            </c:rich>
          </c:tx>
          <c:layout>
            <c:manualLayout>
              <c:xMode val="edge"/>
              <c:yMode val="edge"/>
              <c:x val="0.48946958553257763"/>
              <c:y val="0.955642090193271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668896"/>
        <c:crosses val="autoZero"/>
        <c:crossBetween val="midCat"/>
        <c:majorUnit val="1"/>
        <c:minorUnit val="1"/>
      </c:valAx>
      <c:valAx>
        <c:axId val="421668896"/>
        <c:scaling>
          <c:orientation val="maxMin"/>
          <c:max val="16.10000000000000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Overall</a:t>
                </a:r>
                <a:r>
                  <a:rPr lang="en-US" b="1" baseline="0"/>
                  <a:t> R</a:t>
                </a:r>
                <a:r>
                  <a:rPr lang="en-US" b="1"/>
                  <a:t>ank</a:t>
                </a:r>
              </a:p>
            </c:rich>
          </c:tx>
          <c:layout>
            <c:manualLayout>
              <c:xMode val="edge"/>
              <c:yMode val="edge"/>
              <c:x val="6.2032742585877293E-3"/>
              <c:y val="0.3480614452892898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97760"/>
        <c:crosses val="autoZero"/>
        <c:crossBetween val="midCat"/>
        <c:majorUnit val="1"/>
        <c:minorUnit val="1"/>
      </c:valAx>
      <c:spPr>
        <a:noFill/>
        <a:ln w="9525">
          <a:solidFill>
            <a:schemeClr val="tx1"/>
          </a:solidFill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3.7330218338092351E-2"/>
          <c:y val="0.94947188419629369"/>
          <c:w val="0.40644988607193333"/>
          <c:h val="4.452318460192476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Season Point Totals </a:t>
            </a:r>
            <a:endParaRPr lang="en-US"/>
          </a:p>
        </c:rich>
      </c:tx>
      <c:layout>
        <c:manualLayout>
          <c:xMode val="edge"/>
          <c:yMode val="edge"/>
          <c:x val="0.42495129123360093"/>
          <c:y val="1.33469292429608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57412021203878E-2"/>
          <c:y val="5.5377817621277123E-2"/>
          <c:w val="0.95071342956128668"/>
          <c:h val="0.74682794070044389"/>
        </c:manualLayout>
      </c:layout>
      <c:barChart>
        <c:barDir val="col"/>
        <c:grouping val="clustered"/>
        <c:varyColors val="0"/>
        <c:ser>
          <c:idx val="0"/>
          <c:order val="0"/>
          <c:tx>
            <c:v>PF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80C-8247-A3DD-0DAC0F182CE8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80C-8247-A3DD-0DAC0F182CE8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80C-8247-A3DD-0DAC0F182CE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80C-8247-A3DD-0DAC0F182CE8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80C-8247-A3DD-0DAC0F182CE8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80C-8247-A3DD-0DAC0F182CE8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80C-8247-A3DD-0DAC0F182CE8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80C-8247-A3DD-0DAC0F182CE8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80C-8247-A3DD-0DAC0F182CE8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80C-8247-A3DD-0DAC0F182CE8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80C-8247-A3DD-0DAC0F182CE8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80C-8247-A3DD-0DAC0F182CE8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D80C-8247-A3DD-0DAC0F182CE8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D80C-8247-A3DD-0DAC0F182CE8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D80C-8247-A3DD-0DAC0F182CE8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D80C-8247-A3DD-0DAC0F182CE8}"/>
              </c:ext>
            </c:extLst>
          </c:dPt>
          <c:dLbls>
            <c:dLbl>
              <c:idx val="0"/>
              <c:layout>
                <c:manualLayout>
                  <c:x val="-1.4295844487937788E-17"/>
                  <c:y val="9.483781706494505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0C-8247-A3DD-0DAC0F182CE8}"/>
                </c:ext>
              </c:extLst>
            </c:dLbl>
            <c:dLbl>
              <c:idx val="3"/>
              <c:layout>
                <c:manualLayout>
                  <c:x val="0"/>
                  <c:y val="1.13065331106925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0C-8247-A3DD-0DAC0F182CE8}"/>
                </c:ext>
              </c:extLst>
            </c:dLbl>
            <c:dLbl>
              <c:idx val="8"/>
              <c:layout>
                <c:manualLayout>
                  <c:x val="0"/>
                  <c:y val="9.04522648855404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0C-8247-A3DD-0DAC0F182C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Ranks!$AU$2:$AU$17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cat>
          <c:val>
            <c:numRef>
              <c:f>Ranks!$Q$2:$Q$17</c:f>
              <c:numCache>
                <c:formatCode>0.0</c:formatCode>
                <c:ptCount val="16"/>
                <c:pt idx="0">
                  <c:v>1162.99</c:v>
                </c:pt>
                <c:pt idx="1">
                  <c:v>1299.43</c:v>
                </c:pt>
                <c:pt idx="2">
                  <c:v>1232.73</c:v>
                </c:pt>
                <c:pt idx="3">
                  <c:v>1298.93</c:v>
                </c:pt>
                <c:pt idx="4">
                  <c:v>1518.9800000000002</c:v>
                </c:pt>
                <c:pt idx="5">
                  <c:v>1311.5300000000002</c:v>
                </c:pt>
                <c:pt idx="6">
                  <c:v>1406.67</c:v>
                </c:pt>
                <c:pt idx="7">
                  <c:v>1419.95</c:v>
                </c:pt>
                <c:pt idx="8">
                  <c:v>1592.5700000000004</c:v>
                </c:pt>
                <c:pt idx="9">
                  <c:v>1210.07</c:v>
                </c:pt>
                <c:pt idx="10">
                  <c:v>1281.8300000000002</c:v>
                </c:pt>
                <c:pt idx="11">
                  <c:v>1199.06</c:v>
                </c:pt>
                <c:pt idx="12">
                  <c:v>1137.4100000000001</c:v>
                </c:pt>
                <c:pt idx="13">
                  <c:v>1465.81</c:v>
                </c:pt>
                <c:pt idx="14">
                  <c:v>1420.0400000000002</c:v>
                </c:pt>
                <c:pt idx="15">
                  <c:v>1230.1400000000001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80C-8247-A3DD-0DAC0F182C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2064608"/>
        <c:axId val="422065000"/>
      </c:barChart>
      <c:catAx>
        <c:axId val="4220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>
                    <a:solidFill>
                      <a:schemeClr val="tx1"/>
                    </a:solidFill>
                  </a:rPr>
                  <a:t> </a:t>
                </a:r>
                <a:r>
                  <a:rPr lang="en-US">
                    <a:solidFill>
                      <a:schemeClr val="tx1"/>
                    </a:solidFill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48419838852614316"/>
              <c:y val="0.886187688077451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5000"/>
        <c:crosses val="autoZero"/>
        <c:auto val="1"/>
        <c:lblAlgn val="ctr"/>
        <c:lblOffset val="10"/>
        <c:noMultiLvlLbl val="0"/>
      </c:catAx>
      <c:valAx>
        <c:axId val="422065000"/>
        <c:scaling>
          <c:orientation val="minMax"/>
          <c:max val="9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4608"/>
        <c:crosses val="autoZero"/>
        <c:crossBetween val="between"/>
        <c:majorUnit val="100"/>
        <c:minorUnit val="50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b"/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Weekly Season Point Rank Averages</a:t>
            </a:r>
          </a:p>
        </c:rich>
      </c:tx>
      <c:layout>
        <c:manualLayout>
          <c:xMode val="edge"/>
          <c:yMode val="edge"/>
          <c:x val="0.40696438800960355"/>
          <c:y val="1.686138734951551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122932256685173E-2"/>
          <c:y val="5.5377817621277123E-2"/>
          <c:w val="0.89528059897898959"/>
          <c:h val="0.813048495494876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Standings!$AL$83:$AL$98</c:f>
              <c:strCach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07-CC40-A5DC-9C124DF2825F}"/>
              </c:ext>
            </c:extLst>
          </c:dPt>
          <c:dPt>
            <c:idx val="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07-CC40-A5DC-9C124DF2825F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07-CC40-A5DC-9C124DF2825F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07-CC40-A5DC-9C124DF2825F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B07-CC40-A5DC-9C124DF2825F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B07-CC40-A5DC-9C124DF2825F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07-CC40-A5DC-9C124DF2825F}"/>
              </c:ext>
            </c:extLst>
          </c:dPt>
          <c:dPt>
            <c:idx val="7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B07-CC40-A5DC-9C124DF2825F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B07-CC40-A5DC-9C124DF2825F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B07-CC40-A5DC-9C124DF2825F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BB07-CC40-A5DC-9C124DF2825F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B07-CC40-A5DC-9C124DF2825F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B07-CC40-A5DC-9C124DF2825F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BB07-CC40-A5DC-9C124DF2825F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BB07-CC40-A5DC-9C124DF2825F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BB07-CC40-A5DC-9C124DF2825F}"/>
              </c:ext>
            </c:extLst>
          </c:dPt>
          <c:dLbls>
            <c:dLbl>
              <c:idx val="0"/>
              <c:layout>
                <c:manualLayout>
                  <c:x val="-1.4295844487937788E-17"/>
                  <c:y val="9.483781706494505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07-CC40-A5DC-9C124DF28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Standings!$AL$83:$AL$98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Standings!$BB$83:$BB$98</c:f>
              <c:numCache>
                <c:formatCode>0.00</c:formatCode>
                <c:ptCount val="16"/>
                <c:pt idx="0">
                  <c:v>144.30769230769232</c:v>
                </c:pt>
                <c:pt idx="1">
                  <c:v>133.17615384615385</c:v>
                </c:pt>
                <c:pt idx="2">
                  <c:v>123.69307692307694</c:v>
                </c:pt>
                <c:pt idx="3">
                  <c:v>118.48</c:v>
                </c:pt>
                <c:pt idx="4">
                  <c:v>113.04384615384616</c:v>
                </c:pt>
                <c:pt idx="5">
                  <c:v>109.57923076923075</c:v>
                </c:pt>
                <c:pt idx="6">
                  <c:v>103.70384615384613</c:v>
                </c:pt>
                <c:pt idx="7">
                  <c:v>100.18692307692308</c:v>
                </c:pt>
                <c:pt idx="8">
                  <c:v>98.65</c:v>
                </c:pt>
                <c:pt idx="9">
                  <c:v>95.121538461538478</c:v>
                </c:pt>
                <c:pt idx="10">
                  <c:v>91.923846153846156</c:v>
                </c:pt>
                <c:pt idx="11">
                  <c:v>89.783076923076933</c:v>
                </c:pt>
                <c:pt idx="12">
                  <c:v>85.358461538461526</c:v>
                </c:pt>
                <c:pt idx="13">
                  <c:v>80.782307692307697</c:v>
                </c:pt>
                <c:pt idx="14">
                  <c:v>76.154615384615369</c:v>
                </c:pt>
                <c:pt idx="15">
                  <c:v>65.912307692307706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B07-CC40-A5DC-9C124DF282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2064608"/>
        <c:axId val="422065000"/>
      </c:barChart>
      <c:catAx>
        <c:axId val="4220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 </a:t>
                </a:r>
              </a:p>
            </c:rich>
          </c:tx>
          <c:layout>
            <c:manualLayout>
              <c:xMode val="edge"/>
              <c:yMode val="edge"/>
              <c:x val="0.48419838852614316"/>
              <c:y val="0.886187688077451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5000"/>
        <c:crosses val="autoZero"/>
        <c:auto val="1"/>
        <c:lblAlgn val="ctr"/>
        <c:lblOffset val="10"/>
        <c:noMultiLvlLbl val="0"/>
      </c:catAx>
      <c:valAx>
        <c:axId val="422065000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4608"/>
        <c:crosses val="autoZero"/>
        <c:crossBetween val="between"/>
        <c:majorUnit val="10"/>
        <c:minorUnit val="2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317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Points Allowed Season Rank Average</a:t>
            </a:r>
            <a:endParaRPr lang="en-US"/>
          </a:p>
        </c:rich>
      </c:tx>
      <c:layout>
        <c:manualLayout>
          <c:xMode val="edge"/>
          <c:yMode val="edge"/>
          <c:x val="0.3720546542970059"/>
          <c:y val="1.3346976207117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122932256685173E-2"/>
          <c:y val="5.5377817621277123E-2"/>
          <c:w val="0.89994790808343239"/>
          <c:h val="0.71742960392329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Ranks!$B$2:$B$17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41-CA45-B802-EC9C24A0C020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41-CA45-B802-EC9C24A0C020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41-CA45-B802-EC9C24A0C020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41-CA45-B802-EC9C24A0C02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41-CA45-B802-EC9C24A0C020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41-CA45-B802-EC9C24A0C020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41-CA45-B802-EC9C24A0C020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141-CA45-B802-EC9C24A0C020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41-CA45-B802-EC9C24A0C020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141-CA45-B802-EC9C24A0C020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41-CA45-B802-EC9C24A0C02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41-CA45-B802-EC9C24A0C020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141-CA45-B802-EC9C24A0C020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141-CA45-B802-EC9C24A0C020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141-CA45-B802-EC9C24A0C020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141-CA45-B802-EC9C24A0C0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Ranks!$B$2:$B$17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cat>
          <c:val>
            <c:numRef>
              <c:f>Standings!$BB$119:$BB$134</c:f>
              <c:numCache>
                <c:formatCode>0.0</c:formatCode>
                <c:ptCount val="16"/>
                <c:pt idx="0">
                  <c:v>7.9230769230769234</c:v>
                </c:pt>
                <c:pt idx="1">
                  <c:v>9.3076923076923084</c:v>
                </c:pt>
                <c:pt idx="2">
                  <c:v>7.4615384615384617</c:v>
                </c:pt>
                <c:pt idx="3">
                  <c:v>10.846153846153847</c:v>
                </c:pt>
                <c:pt idx="4">
                  <c:v>9</c:v>
                </c:pt>
                <c:pt idx="5">
                  <c:v>7.5384615384615383</c:v>
                </c:pt>
                <c:pt idx="6">
                  <c:v>6.7692307692307692</c:v>
                </c:pt>
                <c:pt idx="7">
                  <c:v>7.9230769230769234</c:v>
                </c:pt>
                <c:pt idx="8">
                  <c:v>6.615384615384615</c:v>
                </c:pt>
                <c:pt idx="9">
                  <c:v>7.384615384615385</c:v>
                </c:pt>
                <c:pt idx="10">
                  <c:v>10.923076923076923</c:v>
                </c:pt>
                <c:pt idx="11">
                  <c:v>10.23076923076923</c:v>
                </c:pt>
                <c:pt idx="12">
                  <c:v>10.23076923076923</c:v>
                </c:pt>
                <c:pt idx="13">
                  <c:v>9.1538461538461533</c:v>
                </c:pt>
                <c:pt idx="14">
                  <c:v>7</c:v>
                </c:pt>
                <c:pt idx="15">
                  <c:v>7.6923076923076925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141-CA45-B802-EC9C24A0C0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2064608"/>
        <c:axId val="422065000"/>
      </c:barChart>
      <c:catAx>
        <c:axId val="4220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>
                    <a:solidFill>
                      <a:schemeClr val="tx1"/>
                    </a:solidFill>
                  </a:rPr>
                  <a:t> </a:t>
                </a:r>
                <a:r>
                  <a:rPr lang="en-US">
                    <a:solidFill>
                      <a:schemeClr val="tx1"/>
                    </a:solidFill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48419838852614316"/>
              <c:y val="0.886187688077451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5000"/>
        <c:crosses val="autoZero"/>
        <c:auto val="1"/>
        <c:lblAlgn val="ctr"/>
        <c:lblOffset val="10"/>
        <c:noMultiLvlLbl val="0"/>
      </c:catAx>
      <c:valAx>
        <c:axId val="422065000"/>
        <c:scaling>
          <c:orientation val="minMax"/>
          <c:max val="16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4608"/>
        <c:crosses val="autoZero"/>
        <c:crossBetween val="between"/>
        <c:majorUnit val="1"/>
        <c:minorUnit val="1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Points For Season Rank Average</a:t>
            </a:r>
            <a:endParaRPr lang="en-US"/>
          </a:p>
        </c:rich>
      </c:tx>
      <c:layout>
        <c:manualLayout>
          <c:xMode val="edge"/>
          <c:yMode val="edge"/>
          <c:x val="0.3720546542970059"/>
          <c:y val="1.3346976207117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122932256685173E-2"/>
          <c:y val="5.5377817621277123E-2"/>
          <c:w val="0.89994790808343239"/>
          <c:h val="0.717429603923298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Ranks!$B$2:$B$17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A2-C84C-9C97-C7D80F1FDCC3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A2-C84C-9C97-C7D80F1FDCC3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A2-C84C-9C97-C7D80F1FDCC3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A2-C84C-9C97-C7D80F1FDCC3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A2-C84C-9C97-C7D80F1FDCC3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A2-C84C-9C97-C7D80F1FDCC3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A2-C84C-9C97-C7D80F1FDCC3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A2-C84C-9C97-C7D80F1FDCC3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4A2-C84C-9C97-C7D80F1FDCC3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4A2-C84C-9C97-C7D80F1FDCC3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4A2-C84C-9C97-C7D80F1FDCC3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4A2-C84C-9C97-C7D80F1FDCC3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4A2-C84C-9C97-C7D80F1FDCC3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4A2-C84C-9C97-C7D80F1FDCC3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4A2-C84C-9C97-C7D80F1FDCC3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4A2-C84C-9C97-C7D80F1FDC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Ranks!$B$2:$B$17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cat>
          <c:val>
            <c:numRef>
              <c:f>Standings!$BB$101:$BB$116</c:f>
              <c:numCache>
                <c:formatCode>0.0</c:formatCode>
                <c:ptCount val="16"/>
                <c:pt idx="0">
                  <c:v>11</c:v>
                </c:pt>
                <c:pt idx="1">
                  <c:v>8.8461538461538467</c:v>
                </c:pt>
                <c:pt idx="2">
                  <c:v>10.153846153846153</c:v>
                </c:pt>
                <c:pt idx="3">
                  <c:v>8.7692307692307701</c:v>
                </c:pt>
                <c:pt idx="4">
                  <c:v>6.3076923076923075</c:v>
                </c:pt>
                <c:pt idx="5">
                  <c:v>8.8461538461538467</c:v>
                </c:pt>
                <c:pt idx="6">
                  <c:v>6.8461538461538458</c:v>
                </c:pt>
                <c:pt idx="7">
                  <c:v>6.2307692307692308</c:v>
                </c:pt>
                <c:pt idx="8">
                  <c:v>4.615384615384615</c:v>
                </c:pt>
                <c:pt idx="9">
                  <c:v>10.076923076923077</c:v>
                </c:pt>
                <c:pt idx="10">
                  <c:v>8.3076923076923084</c:v>
                </c:pt>
                <c:pt idx="11">
                  <c:v>10.846153846153847</c:v>
                </c:pt>
                <c:pt idx="12">
                  <c:v>11</c:v>
                </c:pt>
                <c:pt idx="13">
                  <c:v>6.1538461538461542</c:v>
                </c:pt>
                <c:pt idx="14">
                  <c:v>7.384615384615385</c:v>
                </c:pt>
                <c:pt idx="15">
                  <c:v>10.615384615384615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4A2-C84C-9C97-C7D80F1FDCC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2064608"/>
        <c:axId val="422065000"/>
      </c:barChart>
      <c:catAx>
        <c:axId val="4220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>
                    <a:solidFill>
                      <a:schemeClr val="tx1"/>
                    </a:solidFill>
                  </a:rPr>
                  <a:t> </a:t>
                </a:r>
                <a:r>
                  <a:rPr lang="en-US">
                    <a:solidFill>
                      <a:schemeClr val="tx1"/>
                    </a:solidFill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48419838852614316"/>
              <c:y val="0.886187688077451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5000"/>
        <c:crosses val="autoZero"/>
        <c:auto val="1"/>
        <c:lblAlgn val="ctr"/>
        <c:lblOffset val="10"/>
        <c:noMultiLvlLbl val="0"/>
      </c:catAx>
      <c:valAx>
        <c:axId val="422065000"/>
        <c:scaling>
          <c:orientation val="minMax"/>
          <c:max val="16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4608"/>
        <c:crosses val="autoZero"/>
        <c:crossBetween val="between"/>
        <c:majorUnit val="1"/>
        <c:minorUnit val="1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'Points Charts'!$AG$7</c:f>
          <c:strCache>
            <c:ptCount val="1"/>
            <c:pt idx="0">
              <c:v>Bone Point Totals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151027384174976"/>
          <c:h val="0.84936137387189015"/>
        </c:manualLayout>
      </c:layout>
      <c:scatterChart>
        <c:scatterStyle val="lineMarker"/>
        <c:varyColors val="0"/>
        <c:ser>
          <c:idx val="3"/>
          <c:order val="0"/>
          <c:tx>
            <c:strRef>
              <c:f>'Point Data'!$B$2</c:f>
              <c:strCache>
                <c:ptCount val="1"/>
                <c:pt idx="0">
                  <c:v>Team 1</c:v>
                </c:pt>
              </c:strCache>
            </c:strRef>
          </c:tx>
          <c:spPr>
            <a:ln w="9525">
              <a:solidFill>
                <a:srgbClr val="00B0F0"/>
              </a:solidFill>
              <a:prstDash val="lgDash"/>
            </a:ln>
          </c:spPr>
          <c:marker>
            <c:symbol val="none"/>
          </c:marker>
          <c:xVal>
            <c:numRef>
              <c:f>'Point Data'!$D$2:$D$15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Data'!$AC$2:$AC$15</c:f>
              <c:numCache>
                <c:formatCode>0.0</c:formatCode>
                <c:ptCount val="14"/>
                <c:pt idx="0">
                  <c:v>106.84</c:v>
                </c:pt>
                <c:pt idx="1">
                  <c:v>201.7</c:v>
                </c:pt>
                <c:pt idx="2">
                  <c:v>314.81</c:v>
                </c:pt>
                <c:pt idx="3">
                  <c:v>412.73</c:v>
                </c:pt>
                <c:pt idx="4">
                  <c:v>479.03000000000003</c:v>
                </c:pt>
                <c:pt idx="5">
                  <c:v>553.46</c:v>
                </c:pt>
                <c:pt idx="6">
                  <c:v>650.30000000000007</c:v>
                </c:pt>
                <c:pt idx="7">
                  <c:v>718.16000000000008</c:v>
                </c:pt>
                <c:pt idx="8">
                  <c:v>794.91000000000008</c:v>
                </c:pt>
                <c:pt idx="9">
                  <c:v>868.82</c:v>
                </c:pt>
                <c:pt idx="10">
                  <c:v>968.91000000000008</c:v>
                </c:pt>
                <c:pt idx="11">
                  <c:v>1067.8900000000001</c:v>
                </c:pt>
                <c:pt idx="12">
                  <c:v>1162.99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3-BD43-9DED-C110313DD7A5}"/>
            </c:ext>
          </c:extLst>
        </c:ser>
        <c:ser>
          <c:idx val="4"/>
          <c:order val="1"/>
          <c:tx>
            <c:strRef>
              <c:f>'Point Data'!$B$16</c:f>
              <c:strCache>
                <c:ptCount val="1"/>
                <c:pt idx="0">
                  <c:v>Team 2</c:v>
                </c:pt>
              </c:strCache>
            </c:strRef>
          </c:tx>
          <c:spPr>
            <a:ln w="9525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'Point Data'!$D$16:$D$29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Data'!$AC$16:$AC$29</c:f>
              <c:numCache>
                <c:formatCode>0.0</c:formatCode>
                <c:ptCount val="14"/>
                <c:pt idx="0">
                  <c:v>101.04</c:v>
                </c:pt>
                <c:pt idx="1">
                  <c:v>217.08</c:v>
                </c:pt>
                <c:pt idx="2">
                  <c:v>303.89999999999998</c:v>
                </c:pt>
                <c:pt idx="3">
                  <c:v>425.19</c:v>
                </c:pt>
                <c:pt idx="4">
                  <c:v>563.96</c:v>
                </c:pt>
                <c:pt idx="5">
                  <c:v>661.92000000000007</c:v>
                </c:pt>
                <c:pt idx="6">
                  <c:v>752.44</c:v>
                </c:pt>
                <c:pt idx="7">
                  <c:v>839.75</c:v>
                </c:pt>
                <c:pt idx="8">
                  <c:v>945.6</c:v>
                </c:pt>
                <c:pt idx="9">
                  <c:v>1018.5</c:v>
                </c:pt>
                <c:pt idx="10">
                  <c:v>1111.44</c:v>
                </c:pt>
                <c:pt idx="11">
                  <c:v>1208.68</c:v>
                </c:pt>
                <c:pt idx="12">
                  <c:v>1299.43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3-BD43-9DED-C110313DD7A5}"/>
            </c:ext>
          </c:extLst>
        </c:ser>
        <c:ser>
          <c:idx val="5"/>
          <c:order val="2"/>
          <c:tx>
            <c:strRef>
              <c:f>'Point Data'!$B$30</c:f>
              <c:strCache>
                <c:ptCount val="1"/>
                <c:pt idx="0">
                  <c:v>Team 3</c:v>
                </c:pt>
              </c:strCache>
            </c:strRef>
          </c:tx>
          <c:spPr>
            <a:ln w="9525">
              <a:solidFill>
                <a:srgbClr val="002060"/>
              </a:solidFill>
              <a:prstDash val="lgDash"/>
            </a:ln>
          </c:spPr>
          <c:marker>
            <c:symbol val="none"/>
          </c:marker>
          <c:xVal>
            <c:numRef>
              <c:f>'Point Data'!$D$30:$D$43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Data'!$AC$30:$AC$43</c:f>
              <c:numCache>
                <c:formatCode>0.0</c:formatCode>
                <c:ptCount val="14"/>
                <c:pt idx="0">
                  <c:v>103.84</c:v>
                </c:pt>
                <c:pt idx="1">
                  <c:v>213.87</c:v>
                </c:pt>
                <c:pt idx="2">
                  <c:v>289.13</c:v>
                </c:pt>
                <c:pt idx="3">
                  <c:v>381.15</c:v>
                </c:pt>
                <c:pt idx="4">
                  <c:v>499.65</c:v>
                </c:pt>
                <c:pt idx="5">
                  <c:v>567.02</c:v>
                </c:pt>
                <c:pt idx="6">
                  <c:v>688.82999999999993</c:v>
                </c:pt>
                <c:pt idx="7">
                  <c:v>769.05</c:v>
                </c:pt>
                <c:pt idx="8">
                  <c:v>856.45999999999992</c:v>
                </c:pt>
                <c:pt idx="9">
                  <c:v>927.50999999999988</c:v>
                </c:pt>
                <c:pt idx="10">
                  <c:v>1039.81</c:v>
                </c:pt>
                <c:pt idx="11">
                  <c:v>1127.56</c:v>
                </c:pt>
                <c:pt idx="12">
                  <c:v>1232.73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3-BD43-9DED-C110313DD7A5}"/>
            </c:ext>
          </c:extLst>
        </c:ser>
        <c:ser>
          <c:idx val="6"/>
          <c:order val="3"/>
          <c:tx>
            <c:strRef>
              <c:f>'Point Data'!$B$44</c:f>
              <c:strCache>
                <c:ptCount val="1"/>
                <c:pt idx="0">
                  <c:v>Team 4</c:v>
                </c:pt>
              </c:strCache>
            </c:strRef>
          </c:tx>
          <c:spPr>
            <a:ln w="952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'Point Data'!$D$44:$D$57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Data'!$AC$44:$AC$57</c:f>
              <c:numCache>
                <c:formatCode>0.0</c:formatCode>
                <c:ptCount val="14"/>
                <c:pt idx="0">
                  <c:v>88.33</c:v>
                </c:pt>
                <c:pt idx="1">
                  <c:v>177.35</c:v>
                </c:pt>
                <c:pt idx="2">
                  <c:v>298.85000000000002</c:v>
                </c:pt>
                <c:pt idx="3">
                  <c:v>383.61</c:v>
                </c:pt>
                <c:pt idx="4">
                  <c:v>477.49</c:v>
                </c:pt>
                <c:pt idx="5">
                  <c:v>611.44000000000005</c:v>
                </c:pt>
                <c:pt idx="6">
                  <c:v>735.28000000000009</c:v>
                </c:pt>
                <c:pt idx="7">
                  <c:v>827.69</c:v>
                </c:pt>
                <c:pt idx="8">
                  <c:v>884.0100000000001</c:v>
                </c:pt>
                <c:pt idx="9">
                  <c:v>984.88000000000011</c:v>
                </c:pt>
                <c:pt idx="10">
                  <c:v>1076.6100000000001</c:v>
                </c:pt>
                <c:pt idx="11">
                  <c:v>1194.0900000000001</c:v>
                </c:pt>
                <c:pt idx="12">
                  <c:v>1298.93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3-BD43-9DED-C110313DD7A5}"/>
            </c:ext>
          </c:extLst>
        </c:ser>
        <c:ser>
          <c:idx val="7"/>
          <c:order val="4"/>
          <c:tx>
            <c:strRef>
              <c:f>'Point Data'!$B$58</c:f>
              <c:strCache>
                <c:ptCount val="1"/>
                <c:pt idx="0">
                  <c:v>Team 5</c:v>
                </c:pt>
              </c:strCache>
            </c:strRef>
          </c:tx>
          <c:spPr>
            <a:ln w="9525" cap="rnd">
              <a:solidFill>
                <a:srgbClr val="FFC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Data'!$D$58:$D$71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Data'!$AC$58:$AC$71</c:f>
              <c:numCache>
                <c:formatCode>0.0</c:formatCode>
                <c:ptCount val="14"/>
                <c:pt idx="0">
                  <c:v>96.78</c:v>
                </c:pt>
                <c:pt idx="1">
                  <c:v>195.43</c:v>
                </c:pt>
                <c:pt idx="2">
                  <c:v>351.28</c:v>
                </c:pt>
                <c:pt idx="3">
                  <c:v>466.09999999999997</c:v>
                </c:pt>
                <c:pt idx="4">
                  <c:v>571.89</c:v>
                </c:pt>
                <c:pt idx="5">
                  <c:v>666.57999999999993</c:v>
                </c:pt>
                <c:pt idx="6">
                  <c:v>820.93</c:v>
                </c:pt>
                <c:pt idx="7">
                  <c:v>942.74</c:v>
                </c:pt>
                <c:pt idx="8">
                  <c:v>1100.3900000000001</c:v>
                </c:pt>
                <c:pt idx="9">
                  <c:v>1212.8500000000001</c:v>
                </c:pt>
                <c:pt idx="10">
                  <c:v>1340.0500000000002</c:v>
                </c:pt>
                <c:pt idx="11">
                  <c:v>1428.3000000000002</c:v>
                </c:pt>
                <c:pt idx="12">
                  <c:v>1518.9800000000002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73-BD43-9DED-C110313DD7A5}"/>
            </c:ext>
          </c:extLst>
        </c:ser>
        <c:ser>
          <c:idx val="8"/>
          <c:order val="5"/>
          <c:tx>
            <c:strRef>
              <c:f>'Point Data'!$B$72</c:f>
              <c:strCache>
                <c:ptCount val="1"/>
                <c:pt idx="0">
                  <c:v>Team 6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Data'!$D$72:$D$85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Data'!$AC$72:$AC$85</c:f>
              <c:numCache>
                <c:formatCode>0.0</c:formatCode>
                <c:ptCount val="14"/>
                <c:pt idx="0">
                  <c:v>111.33</c:v>
                </c:pt>
                <c:pt idx="1">
                  <c:v>222.56</c:v>
                </c:pt>
                <c:pt idx="2">
                  <c:v>324.49</c:v>
                </c:pt>
                <c:pt idx="3">
                  <c:v>418.26</c:v>
                </c:pt>
                <c:pt idx="4">
                  <c:v>510.6</c:v>
                </c:pt>
                <c:pt idx="5">
                  <c:v>602.19000000000005</c:v>
                </c:pt>
                <c:pt idx="6">
                  <c:v>715.87000000000012</c:v>
                </c:pt>
                <c:pt idx="7">
                  <c:v>811.94</c:v>
                </c:pt>
                <c:pt idx="8">
                  <c:v>885.48</c:v>
                </c:pt>
                <c:pt idx="9">
                  <c:v>1014.03</c:v>
                </c:pt>
                <c:pt idx="10">
                  <c:v>1097.4000000000001</c:v>
                </c:pt>
                <c:pt idx="11">
                  <c:v>1209.8500000000001</c:v>
                </c:pt>
                <c:pt idx="12">
                  <c:v>1311.5300000000002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73-BD43-9DED-C110313DD7A5}"/>
            </c:ext>
          </c:extLst>
        </c:ser>
        <c:ser>
          <c:idx val="9"/>
          <c:order val="6"/>
          <c:tx>
            <c:strRef>
              <c:f>'Point Data'!$B$86</c:f>
              <c:strCache>
                <c:ptCount val="1"/>
                <c:pt idx="0">
                  <c:v>Team 7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Data'!$D$86:$D$99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Data'!$AC$86:$AC$99</c:f>
              <c:numCache>
                <c:formatCode>0.0</c:formatCode>
                <c:ptCount val="14"/>
                <c:pt idx="0">
                  <c:v>103.56</c:v>
                </c:pt>
                <c:pt idx="1">
                  <c:v>221.23000000000002</c:v>
                </c:pt>
                <c:pt idx="2">
                  <c:v>360.42</c:v>
                </c:pt>
                <c:pt idx="3">
                  <c:v>447.77</c:v>
                </c:pt>
                <c:pt idx="4">
                  <c:v>561.68999999999994</c:v>
                </c:pt>
                <c:pt idx="5">
                  <c:v>675.15</c:v>
                </c:pt>
                <c:pt idx="6">
                  <c:v>818.21</c:v>
                </c:pt>
                <c:pt idx="7">
                  <c:v>908.24</c:v>
                </c:pt>
                <c:pt idx="8">
                  <c:v>998.49</c:v>
                </c:pt>
                <c:pt idx="9">
                  <c:v>1102.5</c:v>
                </c:pt>
                <c:pt idx="10">
                  <c:v>1223.71</c:v>
                </c:pt>
                <c:pt idx="11">
                  <c:v>1322.49</c:v>
                </c:pt>
                <c:pt idx="12">
                  <c:v>1406.67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73-BD43-9DED-C110313DD7A5}"/>
            </c:ext>
          </c:extLst>
        </c:ser>
        <c:ser>
          <c:idx val="10"/>
          <c:order val="7"/>
          <c:tx>
            <c:strRef>
              <c:f>'Point Data'!$B$100</c:f>
              <c:strCache>
                <c:ptCount val="1"/>
                <c:pt idx="0">
                  <c:v>Team 8</c:v>
                </c:pt>
              </c:strCache>
            </c:strRef>
          </c:tx>
          <c:spPr>
            <a:ln w="9525" cap="rnd">
              <a:solidFill>
                <a:srgbClr val="7030A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Data'!$D$100:$D$113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Data'!$AC$100:$AC$113</c:f>
              <c:numCache>
                <c:formatCode>0.0</c:formatCode>
                <c:ptCount val="14"/>
                <c:pt idx="0">
                  <c:v>115.37</c:v>
                </c:pt>
                <c:pt idx="1">
                  <c:v>227.04000000000002</c:v>
                </c:pt>
                <c:pt idx="2">
                  <c:v>360.70000000000005</c:v>
                </c:pt>
                <c:pt idx="3">
                  <c:v>475.75000000000006</c:v>
                </c:pt>
                <c:pt idx="4">
                  <c:v>557.72</c:v>
                </c:pt>
                <c:pt idx="5">
                  <c:v>666.62</c:v>
                </c:pt>
                <c:pt idx="6">
                  <c:v>761.74</c:v>
                </c:pt>
                <c:pt idx="7">
                  <c:v>850.67000000000007</c:v>
                </c:pt>
                <c:pt idx="8">
                  <c:v>983.0200000000001</c:v>
                </c:pt>
                <c:pt idx="9">
                  <c:v>1072.6500000000001</c:v>
                </c:pt>
                <c:pt idx="10">
                  <c:v>1177.3700000000001</c:v>
                </c:pt>
                <c:pt idx="11">
                  <c:v>1317.8500000000001</c:v>
                </c:pt>
                <c:pt idx="12">
                  <c:v>1419.95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073-BD43-9DED-C110313DD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7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 val="autoZero"/>
        <c:crossBetween val="midCat"/>
        <c:majorUnit val="1"/>
        <c:minorUnit val="1"/>
      </c:valAx>
      <c:valAx>
        <c:axId val="210719304"/>
        <c:scaling>
          <c:orientation val="minMax"/>
          <c:max val="9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50"/>
        <c:minorUnit val="10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72670493455955187"/>
          <c:y val="0.5165856732254106"/>
          <c:w val="0.24195979911805537"/>
          <c:h val="0.37975831880075395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 w="3175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'Points Charts'!$AG$9</c:f>
          <c:strCache>
            <c:ptCount val="1"/>
            <c:pt idx="0">
              <c:v>Wardo Season Ranks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773150110566193"/>
          <c:h val="0.84703102338717728"/>
        </c:manualLayout>
      </c:layout>
      <c:scatterChart>
        <c:scatterStyle val="lineMarker"/>
        <c:varyColors val="0"/>
        <c:ser>
          <c:idx val="3"/>
          <c:order val="0"/>
          <c:tx>
            <c:strRef>
              <c:f>'Point Data'!$B$114</c:f>
              <c:strCache>
                <c:ptCount val="1"/>
                <c:pt idx="0">
                  <c:v>Team 9</c:v>
                </c:pt>
              </c:strCache>
            </c:strRef>
          </c:tx>
          <c:spPr>
            <a:ln w="9525">
              <a:solidFill>
                <a:srgbClr val="00B0F0"/>
              </a:solidFill>
              <a:prstDash val="lgDash"/>
            </a:ln>
          </c:spPr>
          <c:marker>
            <c:symbol val="none"/>
          </c:marker>
          <c:xVal>
            <c:numRef>
              <c:f>'Point Data'!$D$114:$D$127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Data'!$AC$114:$AC$127</c:f>
              <c:numCache>
                <c:formatCode>0.0</c:formatCode>
                <c:ptCount val="14"/>
                <c:pt idx="0">
                  <c:v>150.91999999999999</c:v>
                </c:pt>
                <c:pt idx="1">
                  <c:v>295.33999999999997</c:v>
                </c:pt>
                <c:pt idx="2">
                  <c:v>391.41999999999996</c:v>
                </c:pt>
                <c:pt idx="3">
                  <c:v>499.89</c:v>
                </c:pt>
                <c:pt idx="4">
                  <c:v>637.76</c:v>
                </c:pt>
                <c:pt idx="5">
                  <c:v>736.01</c:v>
                </c:pt>
                <c:pt idx="6">
                  <c:v>855.97</c:v>
                </c:pt>
                <c:pt idx="7">
                  <c:v>938.69</c:v>
                </c:pt>
                <c:pt idx="8">
                  <c:v>1055.72</c:v>
                </c:pt>
                <c:pt idx="9">
                  <c:v>1180.3400000000001</c:v>
                </c:pt>
                <c:pt idx="10">
                  <c:v>1310.2200000000003</c:v>
                </c:pt>
                <c:pt idx="11">
                  <c:v>1447.8800000000003</c:v>
                </c:pt>
                <c:pt idx="12">
                  <c:v>1592.5700000000004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5-EE46-88BD-D5ACB0D8C705}"/>
            </c:ext>
          </c:extLst>
        </c:ser>
        <c:ser>
          <c:idx val="4"/>
          <c:order val="1"/>
          <c:tx>
            <c:strRef>
              <c:f>'Point Data'!$B$128</c:f>
              <c:strCache>
                <c:ptCount val="1"/>
                <c:pt idx="0">
                  <c:v>Team 10</c:v>
                </c:pt>
              </c:strCache>
            </c:strRef>
          </c:tx>
          <c:spPr>
            <a:ln w="9525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'Point Data'!$D$128:$D$141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Data'!$AC$128:$AC$141</c:f>
              <c:numCache>
                <c:formatCode>0.0</c:formatCode>
                <c:ptCount val="14"/>
                <c:pt idx="0">
                  <c:v>95.97</c:v>
                </c:pt>
                <c:pt idx="1">
                  <c:v>196.48000000000002</c:v>
                </c:pt>
                <c:pt idx="2">
                  <c:v>319.14</c:v>
                </c:pt>
                <c:pt idx="3">
                  <c:v>440.69</c:v>
                </c:pt>
                <c:pt idx="4">
                  <c:v>543.94000000000005</c:v>
                </c:pt>
                <c:pt idx="5">
                  <c:v>657.04000000000008</c:v>
                </c:pt>
                <c:pt idx="6">
                  <c:v>725.10000000000014</c:v>
                </c:pt>
                <c:pt idx="7">
                  <c:v>806.75000000000011</c:v>
                </c:pt>
                <c:pt idx="8">
                  <c:v>924.07000000000016</c:v>
                </c:pt>
                <c:pt idx="9">
                  <c:v>983.11000000000013</c:v>
                </c:pt>
                <c:pt idx="10">
                  <c:v>1074.42</c:v>
                </c:pt>
                <c:pt idx="11">
                  <c:v>1125.72</c:v>
                </c:pt>
                <c:pt idx="12">
                  <c:v>1210.07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25-EE46-88BD-D5ACB0D8C705}"/>
            </c:ext>
          </c:extLst>
        </c:ser>
        <c:ser>
          <c:idx val="5"/>
          <c:order val="2"/>
          <c:tx>
            <c:strRef>
              <c:f>'Point Data'!$B$142</c:f>
              <c:strCache>
                <c:ptCount val="1"/>
                <c:pt idx="0">
                  <c:v>Team 11</c:v>
                </c:pt>
              </c:strCache>
            </c:strRef>
          </c:tx>
          <c:spPr>
            <a:ln w="9525">
              <a:solidFill>
                <a:srgbClr val="002060"/>
              </a:solidFill>
              <a:prstDash val="lgDash"/>
            </a:ln>
          </c:spPr>
          <c:marker>
            <c:symbol val="none"/>
          </c:marker>
          <c:xVal>
            <c:numRef>
              <c:f>'Point Data'!$D$142:$D$155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Data'!$AC$142:$AC$155</c:f>
              <c:numCache>
                <c:formatCode>0.0</c:formatCode>
                <c:ptCount val="14"/>
                <c:pt idx="0">
                  <c:v>123.72</c:v>
                </c:pt>
                <c:pt idx="1">
                  <c:v>225.04</c:v>
                </c:pt>
                <c:pt idx="2">
                  <c:v>332.96</c:v>
                </c:pt>
                <c:pt idx="3">
                  <c:v>386.01</c:v>
                </c:pt>
                <c:pt idx="4">
                  <c:v>523.6</c:v>
                </c:pt>
                <c:pt idx="5">
                  <c:v>637.14</c:v>
                </c:pt>
                <c:pt idx="6">
                  <c:v>734.06</c:v>
                </c:pt>
                <c:pt idx="7">
                  <c:v>804.81</c:v>
                </c:pt>
                <c:pt idx="8">
                  <c:v>900.09999999999991</c:v>
                </c:pt>
                <c:pt idx="9">
                  <c:v>975.7399999999999</c:v>
                </c:pt>
                <c:pt idx="10">
                  <c:v>1055.27</c:v>
                </c:pt>
                <c:pt idx="11">
                  <c:v>1171.42</c:v>
                </c:pt>
                <c:pt idx="12">
                  <c:v>1281.8300000000002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25-EE46-88BD-D5ACB0D8C705}"/>
            </c:ext>
          </c:extLst>
        </c:ser>
        <c:ser>
          <c:idx val="6"/>
          <c:order val="3"/>
          <c:tx>
            <c:strRef>
              <c:f>'Point Data'!$B$156</c:f>
              <c:strCache>
                <c:ptCount val="1"/>
                <c:pt idx="0">
                  <c:v>Team 12</c:v>
                </c:pt>
              </c:strCache>
            </c:strRef>
          </c:tx>
          <c:spPr>
            <a:ln w="952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'Point Data'!$D$156:$D$169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Data'!$AC$156:$AC$169</c:f>
              <c:numCache>
                <c:formatCode>0.0</c:formatCode>
                <c:ptCount val="14"/>
                <c:pt idx="0">
                  <c:v>97.6</c:v>
                </c:pt>
                <c:pt idx="1">
                  <c:v>221.32</c:v>
                </c:pt>
                <c:pt idx="2">
                  <c:v>306.26</c:v>
                </c:pt>
                <c:pt idx="3">
                  <c:v>414.52</c:v>
                </c:pt>
                <c:pt idx="4">
                  <c:v>499.06</c:v>
                </c:pt>
                <c:pt idx="5">
                  <c:v>583.39</c:v>
                </c:pt>
                <c:pt idx="6">
                  <c:v>658.81999999999994</c:v>
                </c:pt>
                <c:pt idx="7">
                  <c:v>788.75</c:v>
                </c:pt>
                <c:pt idx="8">
                  <c:v>876</c:v>
                </c:pt>
                <c:pt idx="9">
                  <c:v>953.27</c:v>
                </c:pt>
                <c:pt idx="10">
                  <c:v>1022.5899999999999</c:v>
                </c:pt>
                <c:pt idx="11">
                  <c:v>1108.1099999999999</c:v>
                </c:pt>
                <c:pt idx="12">
                  <c:v>1199.06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25-EE46-88BD-D5ACB0D8C705}"/>
            </c:ext>
          </c:extLst>
        </c:ser>
        <c:ser>
          <c:idx val="7"/>
          <c:order val="4"/>
          <c:tx>
            <c:strRef>
              <c:f>'Point Data'!$B$170</c:f>
              <c:strCache>
                <c:ptCount val="1"/>
                <c:pt idx="0">
                  <c:v>Team 13</c:v>
                </c:pt>
              </c:strCache>
            </c:strRef>
          </c:tx>
          <c:spPr>
            <a:ln w="9525" cap="rnd">
              <a:solidFill>
                <a:srgbClr val="FFC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Data'!$D$170:$D$183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Data'!$AC$170:$AC$183</c:f>
              <c:numCache>
                <c:formatCode>0.0</c:formatCode>
                <c:ptCount val="14"/>
                <c:pt idx="0">
                  <c:v>90.29</c:v>
                </c:pt>
                <c:pt idx="1">
                  <c:v>169.4</c:v>
                </c:pt>
                <c:pt idx="2">
                  <c:v>258.12</c:v>
                </c:pt>
                <c:pt idx="3">
                  <c:v>379.66</c:v>
                </c:pt>
                <c:pt idx="4">
                  <c:v>433.90000000000003</c:v>
                </c:pt>
                <c:pt idx="5">
                  <c:v>552.40000000000009</c:v>
                </c:pt>
                <c:pt idx="6">
                  <c:v>656.78000000000009</c:v>
                </c:pt>
                <c:pt idx="7">
                  <c:v>730.00000000000011</c:v>
                </c:pt>
                <c:pt idx="8">
                  <c:v>820.79000000000008</c:v>
                </c:pt>
                <c:pt idx="9">
                  <c:v>906.38000000000011</c:v>
                </c:pt>
                <c:pt idx="10">
                  <c:v>992.18000000000006</c:v>
                </c:pt>
                <c:pt idx="11">
                  <c:v>1064.43</c:v>
                </c:pt>
                <c:pt idx="12">
                  <c:v>1137.4100000000001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25-EE46-88BD-D5ACB0D8C705}"/>
            </c:ext>
          </c:extLst>
        </c:ser>
        <c:ser>
          <c:idx val="8"/>
          <c:order val="5"/>
          <c:tx>
            <c:strRef>
              <c:f>'Point Data'!$B$184</c:f>
              <c:strCache>
                <c:ptCount val="1"/>
                <c:pt idx="0">
                  <c:v>Team 14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Data'!$D$184:$D$197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Data'!$AC$184:$AC$197</c:f>
              <c:numCache>
                <c:formatCode>0.0</c:formatCode>
                <c:ptCount val="14"/>
                <c:pt idx="0">
                  <c:v>114.11</c:v>
                </c:pt>
                <c:pt idx="1">
                  <c:v>245.23000000000002</c:v>
                </c:pt>
                <c:pt idx="2">
                  <c:v>365.37</c:v>
                </c:pt>
                <c:pt idx="3">
                  <c:v>471.69</c:v>
                </c:pt>
                <c:pt idx="4">
                  <c:v>570.96</c:v>
                </c:pt>
                <c:pt idx="5">
                  <c:v>639.90000000000009</c:v>
                </c:pt>
                <c:pt idx="6">
                  <c:v>730.07</c:v>
                </c:pt>
                <c:pt idx="7">
                  <c:v>861.5</c:v>
                </c:pt>
                <c:pt idx="8">
                  <c:v>996.79</c:v>
                </c:pt>
                <c:pt idx="9">
                  <c:v>1125.01</c:v>
                </c:pt>
                <c:pt idx="10">
                  <c:v>1245.57</c:v>
                </c:pt>
                <c:pt idx="11">
                  <c:v>1351.6799999999998</c:v>
                </c:pt>
                <c:pt idx="12">
                  <c:v>1465.81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25-EE46-88BD-D5ACB0D8C705}"/>
            </c:ext>
          </c:extLst>
        </c:ser>
        <c:ser>
          <c:idx val="9"/>
          <c:order val="6"/>
          <c:tx>
            <c:strRef>
              <c:f>'Point Data'!$B$198</c:f>
              <c:strCache>
                <c:ptCount val="1"/>
                <c:pt idx="0">
                  <c:v>Team 15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Data'!$D$198:$D$211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Data'!$AC$198:$AC$211</c:f>
              <c:numCache>
                <c:formatCode>0.0</c:formatCode>
                <c:ptCount val="14"/>
                <c:pt idx="0">
                  <c:v>114.82</c:v>
                </c:pt>
                <c:pt idx="1">
                  <c:v>263.01</c:v>
                </c:pt>
                <c:pt idx="2">
                  <c:v>371.71</c:v>
                </c:pt>
                <c:pt idx="3">
                  <c:v>480.87</c:v>
                </c:pt>
                <c:pt idx="4">
                  <c:v>586</c:v>
                </c:pt>
                <c:pt idx="5">
                  <c:v>659.25</c:v>
                </c:pt>
                <c:pt idx="6">
                  <c:v>752.96</c:v>
                </c:pt>
                <c:pt idx="7">
                  <c:v>871.48</c:v>
                </c:pt>
                <c:pt idx="8">
                  <c:v>953.84</c:v>
                </c:pt>
                <c:pt idx="9">
                  <c:v>1057.3500000000001</c:v>
                </c:pt>
                <c:pt idx="10">
                  <c:v>1171.5700000000002</c:v>
                </c:pt>
                <c:pt idx="11">
                  <c:v>1235.6100000000001</c:v>
                </c:pt>
                <c:pt idx="12">
                  <c:v>1420.0400000000002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25-EE46-88BD-D5ACB0D8C705}"/>
            </c:ext>
          </c:extLst>
        </c:ser>
        <c:ser>
          <c:idx val="10"/>
          <c:order val="7"/>
          <c:tx>
            <c:strRef>
              <c:f>'Point Data'!$B$212</c:f>
              <c:strCache>
                <c:ptCount val="1"/>
                <c:pt idx="0">
                  <c:v>Team 16</c:v>
                </c:pt>
              </c:strCache>
            </c:strRef>
          </c:tx>
          <c:spPr>
            <a:ln w="9525" cap="rnd">
              <a:solidFill>
                <a:srgbClr val="7030A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'Point Data'!$D$212:$D$225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Data'!$AC$212:$AC$225</c:f>
              <c:numCache>
                <c:formatCode>0.0</c:formatCode>
                <c:ptCount val="14"/>
                <c:pt idx="0">
                  <c:v>84.93</c:v>
                </c:pt>
                <c:pt idx="1">
                  <c:v>193.82</c:v>
                </c:pt>
                <c:pt idx="2">
                  <c:v>296.7</c:v>
                </c:pt>
                <c:pt idx="3">
                  <c:v>396.19</c:v>
                </c:pt>
                <c:pt idx="4">
                  <c:v>529.49</c:v>
                </c:pt>
                <c:pt idx="5">
                  <c:v>628.26</c:v>
                </c:pt>
                <c:pt idx="6">
                  <c:v>694.57999999999993</c:v>
                </c:pt>
                <c:pt idx="7">
                  <c:v>762.19999999999993</c:v>
                </c:pt>
                <c:pt idx="8">
                  <c:v>850.1099999999999</c:v>
                </c:pt>
                <c:pt idx="9">
                  <c:v>933.55</c:v>
                </c:pt>
                <c:pt idx="10">
                  <c:v>1033.0899999999999</c:v>
                </c:pt>
                <c:pt idx="11">
                  <c:v>1146.5</c:v>
                </c:pt>
                <c:pt idx="12">
                  <c:v>1230.1400000000001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25-EE46-88BD-D5ACB0D8C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7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 val="autoZero"/>
        <c:crossBetween val="midCat"/>
        <c:majorUnit val="1"/>
        <c:minorUnit val="1"/>
      </c:valAx>
      <c:valAx>
        <c:axId val="210719304"/>
        <c:scaling>
          <c:orientation val="minMax"/>
          <c:max val="9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50"/>
        <c:minorUnit val="10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73448146809196446"/>
          <c:y val="0.51192497225598477"/>
          <c:w val="0.23943065288584078"/>
          <c:h val="0.3808371777184779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Conference  1 </a:t>
            </a:r>
            <a:r>
              <a:rPr lang="en-US" baseline="0"/>
              <a:t>FAAB Totals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773150110566193"/>
          <c:h val="0.83082348070032164"/>
        </c:manualLayout>
      </c:layout>
      <c:scatterChart>
        <c:scatterStyle val="lineMarker"/>
        <c:varyColors val="0"/>
        <c:ser>
          <c:idx val="3"/>
          <c:order val="0"/>
          <c:tx>
            <c:strRef>
              <c:f>'Point Data'!$B$2</c:f>
              <c:strCache>
                <c:ptCount val="1"/>
                <c:pt idx="0">
                  <c:v>Team 1</c:v>
                </c:pt>
              </c:strCache>
            </c:strRef>
          </c:tx>
          <c:spPr>
            <a:ln w="9525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'Point Data'!$D$2:$D$15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Data'!$L$2:$L$15</c:f>
              <c:numCache>
                <c:formatCode>0</c:formatCode>
                <c:ptCount val="14"/>
                <c:pt idx="0" formatCode="General">
                  <c:v>97</c:v>
                </c:pt>
                <c:pt idx="1">
                  <c:v>91</c:v>
                </c:pt>
                <c:pt idx="2">
                  <c:v>91</c:v>
                </c:pt>
                <c:pt idx="3">
                  <c:v>34</c:v>
                </c:pt>
                <c:pt idx="4">
                  <c:v>31</c:v>
                </c:pt>
                <c:pt idx="5">
                  <c:v>31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000-2343-AFD2-FB327BA17389}"/>
            </c:ext>
          </c:extLst>
        </c:ser>
        <c:ser>
          <c:idx val="4"/>
          <c:order val="1"/>
          <c:tx>
            <c:strRef>
              <c:f>'Point Data'!$B$16</c:f>
              <c:strCache>
                <c:ptCount val="1"/>
                <c:pt idx="0">
                  <c:v>Team 2</c:v>
                </c:pt>
              </c:strCache>
            </c:strRef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'Point Data'!$D$16:$D$29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Data'!$L$16:$L$29</c:f>
              <c:numCache>
                <c:formatCode>0</c:formatCode>
                <c:ptCount val="14"/>
                <c:pt idx="0" formatCode="General">
                  <c:v>100</c:v>
                </c:pt>
                <c:pt idx="1">
                  <c:v>91</c:v>
                </c:pt>
                <c:pt idx="2">
                  <c:v>91</c:v>
                </c:pt>
                <c:pt idx="3">
                  <c:v>40</c:v>
                </c:pt>
                <c:pt idx="4">
                  <c:v>29</c:v>
                </c:pt>
                <c:pt idx="5">
                  <c:v>29</c:v>
                </c:pt>
                <c:pt idx="6">
                  <c:v>29</c:v>
                </c:pt>
                <c:pt idx="7">
                  <c:v>29</c:v>
                </c:pt>
                <c:pt idx="8">
                  <c:v>18</c:v>
                </c:pt>
                <c:pt idx="9">
                  <c:v>12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000-2343-AFD2-FB327BA17389}"/>
            </c:ext>
          </c:extLst>
        </c:ser>
        <c:ser>
          <c:idx val="5"/>
          <c:order val="2"/>
          <c:tx>
            <c:strRef>
              <c:f>'Point Data'!$B$30</c:f>
              <c:strCache>
                <c:ptCount val="1"/>
                <c:pt idx="0">
                  <c:v>Team 3</c:v>
                </c:pt>
              </c:strCache>
            </c:strRef>
          </c:tx>
          <c:spPr>
            <a:ln w="9525">
              <a:solidFill>
                <a:srgbClr val="002060"/>
              </a:solidFill>
              <a:prstDash val="sysDash"/>
            </a:ln>
          </c:spPr>
          <c:marker>
            <c:symbol val="none"/>
          </c:marker>
          <c:xVal>
            <c:numRef>
              <c:f>'Point Data'!$D$30:$D$43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Data'!$L$30:$L$43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35</c:v>
                </c:pt>
                <c:pt idx="6">
                  <c:v>35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000-2343-AFD2-FB327BA17389}"/>
            </c:ext>
          </c:extLst>
        </c:ser>
        <c:ser>
          <c:idx val="6"/>
          <c:order val="3"/>
          <c:tx>
            <c:strRef>
              <c:f>'Point Data'!$B$44</c:f>
              <c:strCache>
                <c:ptCount val="1"/>
                <c:pt idx="0">
                  <c:v>Team 4</c:v>
                </c:pt>
              </c:strCache>
            </c:strRef>
          </c:tx>
          <c:spPr>
            <a:ln w="952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'Point Data'!$D$44:$D$57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Data'!$L$44:$L$57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91</c:v>
                </c:pt>
                <c:pt idx="3">
                  <c:v>81</c:v>
                </c:pt>
                <c:pt idx="4">
                  <c:v>81</c:v>
                </c:pt>
                <c:pt idx="5">
                  <c:v>69</c:v>
                </c:pt>
                <c:pt idx="6">
                  <c:v>67</c:v>
                </c:pt>
                <c:pt idx="7">
                  <c:v>52</c:v>
                </c:pt>
                <c:pt idx="8">
                  <c:v>52</c:v>
                </c:pt>
                <c:pt idx="9">
                  <c:v>39</c:v>
                </c:pt>
                <c:pt idx="10">
                  <c:v>36</c:v>
                </c:pt>
                <c:pt idx="11">
                  <c:v>30</c:v>
                </c:pt>
                <c:pt idx="12">
                  <c:v>28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000-2343-AFD2-FB327BA17389}"/>
            </c:ext>
          </c:extLst>
        </c:ser>
        <c:ser>
          <c:idx val="7"/>
          <c:order val="4"/>
          <c:tx>
            <c:strRef>
              <c:f>'Point Data'!$B$58</c:f>
              <c:strCache>
                <c:ptCount val="1"/>
                <c:pt idx="0">
                  <c:v>Team 5</c:v>
                </c:pt>
              </c:strCache>
            </c:strRef>
          </c:tx>
          <c:spPr>
            <a:ln w="95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Data'!$D$58:$D$71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Data'!$L$58:$L$71</c:f>
              <c:numCache>
                <c:formatCode>0</c:formatCode>
                <c:ptCount val="14"/>
                <c:pt idx="0">
                  <c:v>100</c:v>
                </c:pt>
                <c:pt idx="1">
                  <c:v>75</c:v>
                </c:pt>
                <c:pt idx="2">
                  <c:v>64</c:v>
                </c:pt>
                <c:pt idx="3">
                  <c:v>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000-2343-AFD2-FB327BA17389}"/>
            </c:ext>
          </c:extLst>
        </c:ser>
        <c:ser>
          <c:idx val="8"/>
          <c:order val="5"/>
          <c:tx>
            <c:strRef>
              <c:f>'Point Data'!$B$72</c:f>
              <c:strCache>
                <c:ptCount val="1"/>
                <c:pt idx="0">
                  <c:v>Team 6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Data'!$D$72:$D$85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Data'!$L$72:$L$85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95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60</c:v>
                </c:pt>
                <c:pt idx="7">
                  <c:v>60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000-2343-AFD2-FB327BA17389}"/>
            </c:ext>
          </c:extLst>
        </c:ser>
        <c:ser>
          <c:idx val="9"/>
          <c:order val="6"/>
          <c:tx>
            <c:strRef>
              <c:f>'Point Data'!$B$86</c:f>
              <c:strCache>
                <c:ptCount val="1"/>
                <c:pt idx="0">
                  <c:v>Team 7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Data'!$D$86:$D$99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Data'!$L$86:$L$99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000-2343-AFD2-FB327BA17389}"/>
            </c:ext>
          </c:extLst>
        </c:ser>
        <c:ser>
          <c:idx val="10"/>
          <c:order val="7"/>
          <c:tx>
            <c:strRef>
              <c:f>'Point Data'!$B$100</c:f>
              <c:strCache>
                <c:ptCount val="1"/>
                <c:pt idx="0">
                  <c:v>Team 8</c:v>
                </c:pt>
              </c:strCache>
            </c:strRef>
          </c:tx>
          <c:spPr>
            <a:ln w="9525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Data'!$D$100:$D$113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Data'!$L$100:$L$113</c:f>
              <c:numCache>
                <c:formatCode>0</c:formatCode>
                <c:ptCount val="14"/>
                <c:pt idx="0">
                  <c:v>100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000-2343-AFD2-FB327BA17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 val="autoZero"/>
        <c:crossBetween val="midCat"/>
        <c:majorUnit val="1"/>
        <c:minorUnit val="1"/>
      </c:valAx>
      <c:valAx>
        <c:axId val="2107193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FAAB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10"/>
        <c:minorUnit val="5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6.3596425045873359E-2"/>
          <c:y val="0.50810386312943312"/>
          <c:w val="0.24806110918492291"/>
          <c:h val="0.37895704573283234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 Season FAAB Totals </a:t>
            </a:r>
            <a:endParaRPr lang="en-US"/>
          </a:p>
        </c:rich>
      </c:tx>
      <c:layout>
        <c:manualLayout>
          <c:xMode val="edge"/>
          <c:yMode val="edge"/>
          <c:x val="0.37489212823815815"/>
          <c:y val="2.2060122279566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987604889671006E-2"/>
          <c:y val="7.8659941644872333E-2"/>
          <c:w val="0.85917721646822798"/>
          <c:h val="0.667421613710502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Ranks!$B$2:$B$17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A9-A748-8713-CECD2ECB77B5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A9-A748-8713-CECD2ECB77B5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7A9-A748-8713-CECD2ECB77B5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7A9-A748-8713-CECD2ECB77B5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7A9-A748-8713-CECD2ECB77B5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7A9-A748-8713-CECD2ECB77B5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7A9-A748-8713-CECD2ECB77B5}"/>
              </c:ext>
            </c:extLst>
          </c:dPt>
          <c:dPt>
            <c:idx val="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7A9-A748-8713-CECD2ECB77B5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7A9-A748-8713-CECD2ECB77B5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7A9-A748-8713-CECD2ECB77B5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7A9-A748-8713-CECD2ECB77B5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7A9-A748-8713-CECD2ECB77B5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7A9-A748-8713-CECD2ECB77B5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7A9-A748-8713-CECD2ECB77B5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7A9-A748-8713-CECD2ECB77B5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7A9-A748-8713-CECD2ECB77B5}"/>
              </c:ext>
            </c:extLst>
          </c:dPt>
          <c:dLbls>
            <c:dLbl>
              <c:idx val="0"/>
              <c:layout>
                <c:manualLayout>
                  <c:x val="1.4295844487937788E-17"/>
                  <c:y val="4.74189085324726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A9-A748-8713-CECD2ECB77B5}"/>
                </c:ext>
              </c:extLst>
            </c:dLbl>
            <c:dLbl>
              <c:idx val="4"/>
              <c:layout>
                <c:manualLayout>
                  <c:x val="0"/>
                  <c:y val="7.112836279870879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A9-A748-8713-CECD2ECB77B5}"/>
                </c:ext>
              </c:extLst>
            </c:dLbl>
            <c:dLbl>
              <c:idx val="7"/>
              <c:layout>
                <c:manualLayout>
                  <c:x val="0"/>
                  <c:y val="-5.4333538361119822E-1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7A9-A748-8713-CECD2ECB77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Ranks!$B$2:$B$17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cat>
          <c:val>
            <c:numRef>
              <c:f>Ranks!$AV$2:$AV$17</c:f>
              <c:numCache>
                <c:formatCode>General</c:formatCode>
                <c:ptCount val="16"/>
                <c:pt idx="0">
                  <c:v>4</c:v>
                </c:pt>
                <c:pt idx="1">
                  <c:v>2</c:v>
                </c:pt>
                <c:pt idx="2">
                  <c:v>32</c:v>
                </c:pt>
                <c:pt idx="3">
                  <c:v>28</c:v>
                </c:pt>
                <c:pt idx="4">
                  <c:v>0</c:v>
                </c:pt>
                <c:pt idx="5">
                  <c:v>36</c:v>
                </c:pt>
                <c:pt idx="6">
                  <c:v>70</c:v>
                </c:pt>
                <c:pt idx="7">
                  <c:v>52</c:v>
                </c:pt>
                <c:pt idx="8">
                  <c:v>48</c:v>
                </c:pt>
                <c:pt idx="9">
                  <c:v>0</c:v>
                </c:pt>
                <c:pt idx="10">
                  <c:v>0</c:v>
                </c:pt>
                <c:pt idx="11">
                  <c:v>38</c:v>
                </c:pt>
                <c:pt idx="12">
                  <c:v>0</c:v>
                </c:pt>
                <c:pt idx="13">
                  <c:v>60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7A9-A748-8713-CECD2ECB77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2064608"/>
        <c:axId val="422065000"/>
      </c:barChart>
      <c:catAx>
        <c:axId val="4220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>
                    <a:solidFill>
                      <a:schemeClr val="tx1"/>
                    </a:solidFill>
                  </a:rPr>
                  <a:t> </a:t>
                </a:r>
                <a:r>
                  <a:rPr lang="en-US">
                    <a:solidFill>
                      <a:schemeClr val="tx1"/>
                    </a:solidFill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48419838852614316"/>
              <c:y val="0.886187688077451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5000"/>
        <c:crosses val="autoZero"/>
        <c:auto val="1"/>
        <c:lblAlgn val="ctr"/>
        <c:lblOffset val="10"/>
        <c:noMultiLvlLbl val="0"/>
      </c:catAx>
      <c:valAx>
        <c:axId val="422065000"/>
        <c:scaling>
          <c:orientation val="minMax"/>
          <c:max val="1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4608"/>
        <c:crosses val="autoZero"/>
        <c:crossBetween val="between"/>
        <c:majorUnit val="10"/>
        <c:minorUnit val="5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Conference 2 </a:t>
            </a:r>
            <a:r>
              <a:rPr lang="en-US" baseline="0"/>
              <a:t>FAAB Totals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773150110566193"/>
          <c:h val="0.82358050510344627"/>
        </c:manualLayout>
      </c:layout>
      <c:scatterChart>
        <c:scatterStyle val="lineMarker"/>
        <c:varyColors val="0"/>
        <c:ser>
          <c:idx val="3"/>
          <c:order val="0"/>
          <c:tx>
            <c:strRef>
              <c:f>'Point Data'!$B$114</c:f>
              <c:strCache>
                <c:ptCount val="1"/>
                <c:pt idx="0">
                  <c:v>Team 9</c:v>
                </c:pt>
              </c:strCache>
            </c:strRef>
          </c:tx>
          <c:spPr>
            <a:ln w="9525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'Point Data'!$D$114:$D$127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Data'!$L$114:$L$127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48</c:v>
                </c:pt>
                <c:pt idx="11">
                  <c:v>48</c:v>
                </c:pt>
                <c:pt idx="12">
                  <c:v>48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BB-A346-ACAD-46F37CBACF9C}"/>
            </c:ext>
          </c:extLst>
        </c:ser>
        <c:ser>
          <c:idx val="4"/>
          <c:order val="1"/>
          <c:tx>
            <c:strRef>
              <c:f>'Point Data'!$B$128</c:f>
              <c:strCache>
                <c:ptCount val="1"/>
                <c:pt idx="0">
                  <c:v>Team 10</c:v>
                </c:pt>
              </c:strCache>
            </c:strRef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'Point Data'!$D$128:$D$141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Data'!$L$128:$L$141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81</c:v>
                </c:pt>
                <c:pt idx="5">
                  <c:v>64</c:v>
                </c:pt>
                <c:pt idx="6">
                  <c:v>64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BB-A346-ACAD-46F37CBACF9C}"/>
            </c:ext>
          </c:extLst>
        </c:ser>
        <c:ser>
          <c:idx val="5"/>
          <c:order val="2"/>
          <c:tx>
            <c:strRef>
              <c:f>'Point Data'!$B$142</c:f>
              <c:strCache>
                <c:ptCount val="1"/>
                <c:pt idx="0">
                  <c:v>Team 11</c:v>
                </c:pt>
              </c:strCache>
            </c:strRef>
          </c:tx>
          <c:spPr>
            <a:ln w="9525">
              <a:solidFill>
                <a:srgbClr val="002060"/>
              </a:solidFill>
              <a:prstDash val="sysDash"/>
            </a:ln>
          </c:spPr>
          <c:marker>
            <c:symbol val="none"/>
          </c:marker>
          <c:xVal>
            <c:numRef>
              <c:f>'Point Data'!$D$142:$D$155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Data'!$L$142:$L$155</c:f>
              <c:numCache>
                <c:formatCode>0</c:formatCode>
                <c:ptCount val="14"/>
                <c:pt idx="0">
                  <c:v>100</c:v>
                </c:pt>
                <c:pt idx="1">
                  <c:v>80</c:v>
                </c:pt>
                <c:pt idx="2">
                  <c:v>74</c:v>
                </c:pt>
                <c:pt idx="3">
                  <c:v>74</c:v>
                </c:pt>
                <c:pt idx="4">
                  <c:v>59</c:v>
                </c:pt>
                <c:pt idx="5">
                  <c:v>24</c:v>
                </c:pt>
                <c:pt idx="6">
                  <c:v>16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BB-A346-ACAD-46F37CBACF9C}"/>
            </c:ext>
          </c:extLst>
        </c:ser>
        <c:ser>
          <c:idx val="6"/>
          <c:order val="3"/>
          <c:tx>
            <c:strRef>
              <c:f>'Point Data'!$B$156</c:f>
              <c:strCache>
                <c:ptCount val="1"/>
                <c:pt idx="0">
                  <c:v>Team 12</c:v>
                </c:pt>
              </c:strCache>
            </c:strRef>
          </c:tx>
          <c:spPr>
            <a:ln w="952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'Point Data'!$D$156:$D$169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Data'!$L$156:$L$169</c:f>
              <c:numCache>
                <c:formatCode>0</c:formatCode>
                <c:ptCount val="14"/>
                <c:pt idx="0">
                  <c:v>100</c:v>
                </c:pt>
                <c:pt idx="1">
                  <c:v>91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50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BB-A346-ACAD-46F37CBACF9C}"/>
            </c:ext>
          </c:extLst>
        </c:ser>
        <c:ser>
          <c:idx val="7"/>
          <c:order val="4"/>
          <c:tx>
            <c:strRef>
              <c:f>'Point Data'!$B$170</c:f>
              <c:strCache>
                <c:ptCount val="1"/>
                <c:pt idx="0">
                  <c:v>Team 13</c:v>
                </c:pt>
              </c:strCache>
            </c:strRef>
          </c:tx>
          <c:spPr>
            <a:ln w="95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Data'!$D$170:$D$183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Data'!$L$170:$L$183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90</c:v>
                </c:pt>
                <c:pt idx="6">
                  <c:v>12</c:v>
                </c:pt>
                <c:pt idx="7">
                  <c:v>6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BB-A346-ACAD-46F37CBACF9C}"/>
            </c:ext>
          </c:extLst>
        </c:ser>
        <c:ser>
          <c:idx val="8"/>
          <c:order val="5"/>
          <c:tx>
            <c:strRef>
              <c:f>'Point Data'!$B$184</c:f>
              <c:strCache>
                <c:ptCount val="1"/>
                <c:pt idx="0">
                  <c:v>Team 14</c:v>
                </c:pt>
              </c:strCache>
            </c:strRef>
          </c:tx>
          <c:spPr>
            <a:ln w="952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Data'!$D$184:$D$197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Data'!$L$184:$L$197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60</c:v>
                </c:pt>
                <c:pt idx="12">
                  <c:v>60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BB-A346-ACAD-46F37CBACF9C}"/>
            </c:ext>
          </c:extLst>
        </c:ser>
        <c:ser>
          <c:idx val="9"/>
          <c:order val="6"/>
          <c:tx>
            <c:strRef>
              <c:f>'Point Data'!$B$198</c:f>
              <c:strCache>
                <c:ptCount val="1"/>
                <c:pt idx="0">
                  <c:v>Team 15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Data'!$D$198:$D$211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Data'!$L$198:$L$211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46</c:v>
                </c:pt>
                <c:pt idx="6">
                  <c:v>40</c:v>
                </c:pt>
                <c:pt idx="7">
                  <c:v>40</c:v>
                </c:pt>
                <c:pt idx="8">
                  <c:v>21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BB-A346-ACAD-46F37CBACF9C}"/>
            </c:ext>
          </c:extLst>
        </c:ser>
        <c:ser>
          <c:idx val="10"/>
          <c:order val="7"/>
          <c:tx>
            <c:strRef>
              <c:f>'Point Data'!$B$212</c:f>
              <c:strCache>
                <c:ptCount val="1"/>
                <c:pt idx="0">
                  <c:v>Team 16</c:v>
                </c:pt>
              </c:strCache>
            </c:strRef>
          </c:tx>
          <c:spPr>
            <a:ln w="9525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'Point Data'!$D$212:$D$225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Data'!$L$212:$L$225</c:f>
              <c:numCache>
                <c:formatCode>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8BB-A346-ACAD-46F37CBAC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 val="autoZero"/>
        <c:crossBetween val="midCat"/>
        <c:majorUnit val="1"/>
        <c:minorUnit val="1"/>
      </c:valAx>
      <c:valAx>
        <c:axId val="2107193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FAAB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10"/>
        <c:minorUnit val="5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74090947312161137"/>
          <c:y val="5.903937612316023E-2"/>
          <c:w val="0.23943065288584078"/>
          <c:h val="0.3808371777184779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Overall FAAB Totals and Spending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773150110566193"/>
          <c:h val="0.83082348070032164"/>
        </c:manualLayout>
      </c:layout>
      <c:scatterChart>
        <c:scatterStyle val="lineMarker"/>
        <c:varyColors val="0"/>
        <c:ser>
          <c:idx val="3"/>
          <c:order val="0"/>
          <c:tx>
            <c:v>FAAB Total</c:v>
          </c:tx>
          <c:spPr>
            <a:ln w="28575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circle"/>
            <c:size val="7"/>
            <c:spPr>
              <a:solidFill>
                <a:srgbClr val="00B0F0"/>
              </a:solidFill>
              <a:ln w="9525" cap="flat" cmpd="sng" algn="ctr">
                <a:solidFill>
                  <a:srgbClr val="00B0F0"/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9.7135175793151059E-3"/>
                  <c:y val="3.64623938433566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B1-774C-8B30-11B5FF4FEAE9}"/>
                </c:ext>
              </c:extLst>
            </c:dLbl>
            <c:dLbl>
              <c:idx val="1"/>
              <c:layout>
                <c:manualLayout>
                  <c:x val="-5.6525650491677168E-2"/>
                  <c:y val="2.439076784856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BB1-774C-8B30-11B5FF4FEAE9}"/>
                </c:ext>
              </c:extLst>
            </c:dLbl>
            <c:dLbl>
              <c:idx val="2"/>
              <c:layout>
                <c:manualLayout>
                  <c:x val="-5.0674133877631942E-2"/>
                  <c:y val="2.439076784856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BB1-774C-8B30-11B5FF4FEAE9}"/>
                </c:ext>
              </c:extLst>
            </c:dLbl>
            <c:dLbl>
              <c:idx val="3"/>
              <c:layout>
                <c:manualLayout>
                  <c:x val="-5.359989218465451E-2"/>
                  <c:y val="2.4390767848564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BB1-774C-8B30-11B5FF4FEAE9}"/>
                </c:ext>
              </c:extLst>
            </c:dLbl>
            <c:dLbl>
              <c:idx val="4"/>
              <c:layout>
                <c:manualLayout>
                  <c:x val="-5.2663649526407272E-2"/>
                  <c:y val="2.439076784856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BB1-774C-8B30-11B5FF4FEAE9}"/>
                </c:ext>
              </c:extLst>
            </c:dLbl>
            <c:dLbl>
              <c:idx val="5"/>
              <c:layout>
                <c:manualLayout>
                  <c:x val="-2.0828865024632919E-2"/>
                  <c:y val="2.68050930475227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B1-774C-8B30-11B5FF4FEAE9}"/>
                </c:ext>
              </c:extLst>
            </c:dLbl>
            <c:dLbl>
              <c:idx val="6"/>
              <c:layout>
                <c:manualLayout>
                  <c:x val="-2.8143260792189484E-2"/>
                  <c:y val="3.20570096495712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F8-F149-A58B-98BBEA70399B}"/>
                </c:ext>
              </c:extLst>
            </c:dLbl>
            <c:dLbl>
              <c:idx val="7"/>
              <c:layout>
                <c:manualLayout>
                  <c:x val="-3.1069019099212218E-2"/>
                  <c:y val="2.29644473655195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29-6946-B216-73C8212D56D5}"/>
                </c:ext>
              </c:extLst>
            </c:dLbl>
            <c:dLbl>
              <c:idx val="8"/>
              <c:layout>
                <c:manualLayout>
                  <c:x val="-2.521750248516675E-2"/>
                  <c:y val="3.66032907915969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8B-E34E-B054-05EA23641E5C}"/>
                </c:ext>
              </c:extLst>
            </c:dLbl>
            <c:dLbl>
              <c:idx val="9"/>
              <c:layout>
                <c:manualLayout>
                  <c:x val="-2.0828865024632919E-2"/>
                  <c:y val="3.43301502205841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C3-B84A-B63E-A3AD2516C238}"/>
                </c:ext>
              </c:extLst>
            </c:dLbl>
            <c:dLbl>
              <c:idx val="10"/>
              <c:layout>
                <c:manualLayout>
                  <c:x val="-2.521750248516675E-2"/>
                  <c:y val="2.97838690785582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1B-A242-8B62-DA1C9FCEE980}"/>
                </c:ext>
              </c:extLst>
            </c:dLbl>
            <c:dLbl>
              <c:idx val="11"/>
              <c:layout>
                <c:manualLayout>
                  <c:x val="-2.2291744178144231E-2"/>
                  <c:y val="3.20570096495713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55-FF4D-B673-0E37FFC7F1C5}"/>
                </c:ext>
              </c:extLst>
            </c:dLbl>
            <c:dLbl>
              <c:idx val="12"/>
              <c:layout>
                <c:manualLayout>
                  <c:x val="-2.0828865024632919E-2"/>
                  <c:y val="2.75107285075453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1F-DE43-BBD3-E82CAF4845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Data'!$D$2:$D$15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Data'!$Q$2:$Q$15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9BB1-774C-8B30-11B5FF4FEAE9}"/>
            </c:ext>
          </c:extLst>
        </c:ser>
        <c:ser>
          <c:idx val="0"/>
          <c:order val="1"/>
          <c:tx>
            <c:v>Weekly Spent FAAB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 cap="flat" cmpd="sng" algn="ctr">
                <a:solidFill>
                  <a:srgbClr val="00B050"/>
                </a:solidFill>
                <a:prstDash val="solid"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4398958245742961E-3"/>
                  <c:y val="-3.40480686443982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B1-774C-8B30-11B5FF4FEAE9}"/>
                </c:ext>
              </c:extLst>
            </c:dLbl>
            <c:dLbl>
              <c:idx val="1"/>
              <c:layout>
                <c:manualLayout>
                  <c:x val="-3.8868699108795618E-2"/>
                  <c:y val="-2.92194182464814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BB1-774C-8B30-11B5FF4FEAE9}"/>
                </c:ext>
              </c:extLst>
            </c:dLbl>
            <c:dLbl>
              <c:idx val="2"/>
              <c:layout>
                <c:manualLayout>
                  <c:x val="-4.2577155356614285E-2"/>
                  <c:y val="-2.6805093047522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BB1-774C-8B30-11B5FF4FEAE9}"/>
                </c:ext>
              </c:extLst>
            </c:dLbl>
            <c:dLbl>
              <c:idx val="3"/>
              <c:layout>
                <c:manualLayout>
                  <c:x val="-4.4040034510125545E-2"/>
                  <c:y val="-2.92194182464813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BB1-774C-8B30-11B5FF4FEAE9}"/>
                </c:ext>
              </c:extLst>
            </c:dLbl>
            <c:dLbl>
              <c:idx val="4"/>
              <c:layout>
                <c:manualLayout>
                  <c:x val="-4.4234931480813929E-2"/>
                  <c:y val="-3.40480686443982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B1-774C-8B30-11B5FF4FEAE9}"/>
                </c:ext>
              </c:extLst>
            </c:dLbl>
            <c:dLbl>
              <c:idx val="5"/>
              <c:layout>
                <c:manualLayout>
                  <c:x val="-2.2291744178144231E-2"/>
                  <c:y val="-3.40480686443982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B1-774C-8B30-11B5FF4FEAE9}"/>
                </c:ext>
              </c:extLst>
            </c:dLbl>
            <c:dLbl>
              <c:idx val="6"/>
              <c:layout>
                <c:manualLayout>
                  <c:x val="-2.2291744178144231E-2"/>
                  <c:y val="-2.9783869078558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F8-F149-A58B-98BBEA70399B}"/>
                </c:ext>
              </c:extLst>
            </c:dLbl>
            <c:dLbl>
              <c:idx val="7"/>
              <c:layout>
                <c:manualLayout>
                  <c:x val="-2.4537206085116742E-2"/>
                  <c:y val="-4.11495719336230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29-6946-B216-73C8212D56D5}"/>
                </c:ext>
              </c:extLst>
            </c:dLbl>
            <c:dLbl>
              <c:idx val="8"/>
              <c:layout>
                <c:manualLayout>
                  <c:x val="-2.1611447778094012E-2"/>
                  <c:y val="-3.20570096495713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8B-E34E-B054-05EA23641E5C}"/>
                </c:ext>
              </c:extLst>
            </c:dLbl>
            <c:dLbl>
              <c:idx val="9"/>
              <c:layout>
                <c:manualLayout>
                  <c:x val="-2.600008523862795E-2"/>
                  <c:y val="-3.8876431362609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C3-B84A-B63E-A3AD2516C238}"/>
                </c:ext>
              </c:extLst>
            </c:dLbl>
            <c:dLbl>
              <c:idx val="10"/>
              <c:layout>
                <c:manualLayout>
                  <c:x val="-2.7462964392139261E-2"/>
                  <c:y val="-2.97838690785583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41B-A242-8B62-DA1C9FCEE980}"/>
                </c:ext>
              </c:extLst>
            </c:dLbl>
            <c:dLbl>
              <c:idx val="11"/>
              <c:layout>
                <c:manualLayout>
                  <c:x val="-2.1611447778094012E-2"/>
                  <c:y val="-2.9783869078558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55-FF4D-B673-0E37FFC7F1C5}"/>
                </c:ext>
              </c:extLst>
            </c:dLbl>
            <c:dLbl>
              <c:idx val="12"/>
              <c:layout>
                <c:manualLayout>
                  <c:x val="-2.3074326931605323E-2"/>
                  <c:y val="-2.7510728507545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1F-DE43-BBD3-E82CAF4845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Data'!$D$2:$D$15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'Point Data'!$P$2:$P$15</c:f>
            </c:numRef>
          </c:yVal>
          <c:smooth val="0"/>
          <c:extLst>
            <c:ext xmlns:c16="http://schemas.microsoft.com/office/drawing/2014/chart" uri="{C3380CC4-5D6E-409C-BE32-E72D297353CC}">
              <c16:uniqueId val="{00000008-9BB1-774C-8B30-11B5FF4FE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 val="autoZero"/>
        <c:crossBetween val="midCat"/>
        <c:majorUnit val="1"/>
        <c:minorUnit val="1"/>
      </c:valAx>
      <c:valAx>
        <c:axId val="210719304"/>
        <c:scaling>
          <c:orientation val="minMax"/>
          <c:max val="16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FAAB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100"/>
        <c:minorUnit val="50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0088751841557515"/>
          <c:y val="0.10008290450545397"/>
          <c:w val="0.14892893056622639"/>
          <c:h val="7.6696836790654851E-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FAAB Totals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FAAB!$AK$63</c:f>
              <c:strCache>
                <c:ptCount val="1"/>
                <c:pt idx="0">
                  <c:v>Team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FAAB!$AL$63:$AX$63</c:f>
              <c:numCache>
                <c:formatCode>General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0</c:v>
                </c:pt>
                <c:pt idx="3">
                  <c:v>57</c:v>
                </c:pt>
                <c:pt idx="4">
                  <c:v>3</c:v>
                </c:pt>
                <c:pt idx="5">
                  <c:v>0</c:v>
                </c:pt>
                <c:pt idx="6">
                  <c:v>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0-DD48-9C41-F26837B9F9CA}"/>
            </c:ext>
          </c:extLst>
        </c:ser>
        <c:ser>
          <c:idx val="1"/>
          <c:order val="1"/>
          <c:tx>
            <c:strRef>
              <c:f>FAAB!$AK$64</c:f>
              <c:strCache>
                <c:ptCount val="1"/>
                <c:pt idx="0">
                  <c:v>Team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FAAB!$AL$64:$AX$64</c:f>
              <c:numCache>
                <c:formatCode>General</c:formatCode>
                <c:ptCount val="13"/>
                <c:pt idx="0">
                  <c:v>0</c:v>
                </c:pt>
                <c:pt idx="1">
                  <c:v>9</c:v>
                </c:pt>
                <c:pt idx="2">
                  <c:v>0</c:v>
                </c:pt>
                <c:pt idx="3">
                  <c:v>51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6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C0-DD48-9C41-F26837B9F9CA}"/>
            </c:ext>
          </c:extLst>
        </c:ser>
        <c:ser>
          <c:idx val="2"/>
          <c:order val="2"/>
          <c:tx>
            <c:strRef>
              <c:f>FAAB!$AK$65</c:f>
              <c:strCache>
                <c:ptCount val="1"/>
                <c:pt idx="0">
                  <c:v>Team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FAAB!$AL$65:$AX$65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60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C0-DD48-9C41-F26837B9F9CA}"/>
            </c:ext>
          </c:extLst>
        </c:ser>
        <c:ser>
          <c:idx val="3"/>
          <c:order val="3"/>
          <c:tx>
            <c:strRef>
              <c:f>FAAB!$AK$66</c:f>
              <c:strCache>
                <c:ptCount val="1"/>
                <c:pt idx="0">
                  <c:v>Team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FAAB!$AL$66:$AX$66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10</c:v>
                </c:pt>
                <c:pt idx="4">
                  <c:v>0</c:v>
                </c:pt>
                <c:pt idx="5">
                  <c:v>12</c:v>
                </c:pt>
                <c:pt idx="6">
                  <c:v>2</c:v>
                </c:pt>
                <c:pt idx="7">
                  <c:v>15</c:v>
                </c:pt>
                <c:pt idx="8">
                  <c:v>0</c:v>
                </c:pt>
                <c:pt idx="9">
                  <c:v>13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C0-DD48-9C41-F26837B9F9CA}"/>
            </c:ext>
          </c:extLst>
        </c:ser>
        <c:ser>
          <c:idx val="4"/>
          <c:order val="4"/>
          <c:tx>
            <c:strRef>
              <c:f>FAAB!$AK$67</c:f>
              <c:strCache>
                <c:ptCount val="1"/>
                <c:pt idx="0">
                  <c:v>Team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FAAB!$AL$67:$AX$67</c:f>
              <c:numCache>
                <c:formatCode>General</c:formatCode>
                <c:ptCount val="13"/>
                <c:pt idx="0">
                  <c:v>0</c:v>
                </c:pt>
                <c:pt idx="1">
                  <c:v>25</c:v>
                </c:pt>
                <c:pt idx="2">
                  <c:v>11</c:v>
                </c:pt>
                <c:pt idx="3">
                  <c:v>18</c:v>
                </c:pt>
                <c:pt idx="4">
                  <c:v>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C0-DD48-9C41-F26837B9F9CA}"/>
            </c:ext>
          </c:extLst>
        </c:ser>
        <c:ser>
          <c:idx val="5"/>
          <c:order val="5"/>
          <c:tx>
            <c:strRef>
              <c:f>FAAB!$AK$68</c:f>
              <c:strCache>
                <c:ptCount val="1"/>
                <c:pt idx="0">
                  <c:v>Team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FAAB!$AL$68:$AX$68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25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C0-DD48-9C41-F26837B9F9CA}"/>
            </c:ext>
          </c:extLst>
        </c:ser>
        <c:ser>
          <c:idx val="6"/>
          <c:order val="6"/>
          <c:tx>
            <c:strRef>
              <c:f>FAAB!$AK$69</c:f>
              <c:strCache>
                <c:ptCount val="1"/>
                <c:pt idx="0">
                  <c:v>Team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FAAB!$AL$69:$AX$69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C0-DD48-9C41-F26837B9F9CA}"/>
            </c:ext>
          </c:extLst>
        </c:ser>
        <c:ser>
          <c:idx val="7"/>
          <c:order val="7"/>
          <c:tx>
            <c:strRef>
              <c:f>FAAB!$AK$70</c:f>
              <c:strCache>
                <c:ptCount val="1"/>
                <c:pt idx="0">
                  <c:v>Team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FAAB!$AL$70:$AX$70</c:f>
              <c:numCache>
                <c:formatCode>General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C0-DD48-9C41-F26837B9F9CA}"/>
            </c:ext>
          </c:extLst>
        </c:ser>
        <c:ser>
          <c:idx val="8"/>
          <c:order val="8"/>
          <c:tx>
            <c:strRef>
              <c:f>FAAB!$AK$71</c:f>
              <c:strCache>
                <c:ptCount val="1"/>
                <c:pt idx="0">
                  <c:v>Team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FAAB!$AL$71:$AX$71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C0-DD48-9C41-F26837B9F9CA}"/>
            </c:ext>
          </c:extLst>
        </c:ser>
        <c:ser>
          <c:idx val="9"/>
          <c:order val="9"/>
          <c:tx>
            <c:strRef>
              <c:f>FAAB!$AK$72</c:f>
              <c:strCache>
                <c:ptCount val="1"/>
                <c:pt idx="0">
                  <c:v>Team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FAAB!$AL$72:$AX$72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</c:v>
                </c:pt>
                <c:pt idx="5">
                  <c:v>17</c:v>
                </c:pt>
                <c:pt idx="6">
                  <c:v>0</c:v>
                </c:pt>
                <c:pt idx="7">
                  <c:v>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C0-DD48-9C41-F26837B9F9CA}"/>
            </c:ext>
          </c:extLst>
        </c:ser>
        <c:ser>
          <c:idx val="10"/>
          <c:order val="10"/>
          <c:tx>
            <c:strRef>
              <c:f>FAAB!$AK$73</c:f>
              <c:strCache>
                <c:ptCount val="1"/>
                <c:pt idx="0">
                  <c:v>Team 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FAAB!$AL$73:$AX$73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6</c:v>
                </c:pt>
                <c:pt idx="3">
                  <c:v>0</c:v>
                </c:pt>
                <c:pt idx="4">
                  <c:v>15</c:v>
                </c:pt>
                <c:pt idx="5">
                  <c:v>35</c:v>
                </c:pt>
                <c:pt idx="6">
                  <c:v>8</c:v>
                </c:pt>
                <c:pt idx="7">
                  <c:v>7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C0-DD48-9C41-F26837B9F9CA}"/>
            </c:ext>
          </c:extLst>
        </c:ser>
        <c:ser>
          <c:idx val="11"/>
          <c:order val="11"/>
          <c:tx>
            <c:strRef>
              <c:f>FAAB!$AK$74</c:f>
              <c:strCache>
                <c:ptCount val="1"/>
                <c:pt idx="0">
                  <c:v>Team 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FAAB!$AL$74:$AX$74</c:f>
              <c:numCache>
                <c:formatCode>General</c:formatCode>
                <c:ptCount val="13"/>
                <c:pt idx="0">
                  <c:v>0</c:v>
                </c:pt>
                <c:pt idx="1">
                  <c:v>9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C0-DD48-9C41-F26837B9F9CA}"/>
            </c:ext>
          </c:extLst>
        </c:ser>
        <c:ser>
          <c:idx val="12"/>
          <c:order val="12"/>
          <c:tx>
            <c:strRef>
              <c:f>FAAB!$AK$75</c:f>
              <c:strCache>
                <c:ptCount val="1"/>
                <c:pt idx="0">
                  <c:v>Team 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FAAB!$AL$75:$AX$75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78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C0-DD48-9C41-F26837B9F9CA}"/>
            </c:ext>
          </c:extLst>
        </c:ser>
        <c:ser>
          <c:idx val="13"/>
          <c:order val="13"/>
          <c:tx>
            <c:strRef>
              <c:f>FAAB!$AK$76</c:f>
              <c:strCache>
                <c:ptCount val="1"/>
                <c:pt idx="0">
                  <c:v>Team 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FAAB!$AL$76:$AX$76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C0-DD48-9C41-F26837B9F9CA}"/>
            </c:ext>
          </c:extLst>
        </c:ser>
        <c:ser>
          <c:idx val="14"/>
          <c:order val="14"/>
          <c:tx>
            <c:strRef>
              <c:f>FAAB!$AK$77</c:f>
              <c:strCache>
                <c:ptCount val="1"/>
                <c:pt idx="0">
                  <c:v>Team 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FAAB!$AL$77:$AX$77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39</c:v>
                </c:pt>
                <c:pt idx="3">
                  <c:v>0</c:v>
                </c:pt>
                <c:pt idx="4">
                  <c:v>0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19</c:v>
                </c:pt>
                <c:pt idx="9">
                  <c:v>12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C0-DD48-9C41-F26837B9F9CA}"/>
            </c:ext>
          </c:extLst>
        </c:ser>
        <c:ser>
          <c:idx val="15"/>
          <c:order val="15"/>
          <c:tx>
            <c:strRef>
              <c:f>FAAB!$AK$78</c:f>
              <c:strCache>
                <c:ptCount val="1"/>
                <c:pt idx="0">
                  <c:v>Team 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FAAB!$AL$62:$AX$62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FAAB!$AL$78:$AX$78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3C0-DD48-9C41-F26837B9F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03312"/>
        <c:axId val="236753456"/>
      </c:areaChart>
      <c:catAx>
        <c:axId val="23620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753456"/>
        <c:crosses val="autoZero"/>
        <c:auto val="1"/>
        <c:lblAlgn val="ctr"/>
        <c:lblOffset val="100"/>
        <c:noMultiLvlLbl val="0"/>
      </c:catAx>
      <c:valAx>
        <c:axId val="236753456"/>
        <c:scaling>
          <c:orientation val="minMax"/>
          <c:max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0331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Playoff Seed Percentage </a:t>
            </a:r>
            <a:endParaRPr lang="en-US"/>
          </a:p>
        </c:rich>
      </c:tx>
      <c:layout>
        <c:manualLayout>
          <c:xMode val="edge"/>
          <c:yMode val="edge"/>
          <c:x val="0.44941350512640477"/>
          <c:y val="1.2166772718002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950106931078056E-2"/>
          <c:y val="5.5377781177783705E-2"/>
          <c:w val="0.89994790808343239"/>
          <c:h val="0.71742960392329858"/>
        </c:manualLayout>
      </c:layout>
      <c:barChart>
        <c:barDir val="col"/>
        <c:grouping val="clustered"/>
        <c:varyColors val="0"/>
        <c:ser>
          <c:idx val="0"/>
          <c:order val="0"/>
          <c:tx>
            <c:v>Playoff %</c:v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06-784F-AB76-C315925ADEB6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06-784F-AB76-C315925ADEB6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06-784F-AB76-C315925ADEB6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06-784F-AB76-C315925ADEB6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06-784F-AB76-C315925ADEB6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06-784F-AB76-C315925ADEB6}"/>
              </c:ext>
            </c:extLst>
          </c:dPt>
          <c:dPt>
            <c:idx val="6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06-784F-AB76-C315925ADEB6}"/>
              </c:ext>
            </c:extLst>
          </c:dPt>
          <c:dPt>
            <c:idx val="7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06-784F-AB76-C315925ADEB6}"/>
              </c:ext>
            </c:extLst>
          </c:dPt>
          <c:dPt>
            <c:idx val="8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506-784F-AB76-C315925ADEB6}"/>
              </c:ext>
            </c:extLst>
          </c:dPt>
          <c:dPt>
            <c:idx val="9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506-784F-AB76-C315925ADEB6}"/>
              </c:ext>
            </c:extLst>
          </c:dPt>
          <c:dPt>
            <c:idx val="10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506-784F-AB76-C315925ADEB6}"/>
              </c:ext>
            </c:extLst>
          </c:dPt>
          <c:dPt>
            <c:idx val="11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506-784F-AB76-C315925ADEB6}"/>
              </c:ext>
            </c:extLst>
          </c:dPt>
          <c:dPt>
            <c:idx val="12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506-784F-AB76-C315925ADEB6}"/>
              </c:ext>
            </c:extLst>
          </c:dPt>
          <c:dPt>
            <c:idx val="13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506-784F-AB76-C315925ADEB6}"/>
              </c:ext>
            </c:extLst>
          </c:dPt>
          <c:dPt>
            <c:idx val="14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506-784F-AB76-C315925ADEB6}"/>
              </c:ext>
            </c:extLst>
          </c:dPt>
          <c:dPt>
            <c:idx val="15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506-784F-AB76-C315925ADEB6}"/>
              </c:ext>
            </c:extLst>
          </c:dPt>
          <c:dLbls>
            <c:delete val="1"/>
          </c:dLbls>
          <c:cat>
            <c:strRef>
              <c:f>Ranks!$B$36:$B$51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cat>
          <c:val>
            <c:numRef>
              <c:f>Ranks!$T$36:$T$51</c:f>
              <c:numCache>
                <c:formatCode>0</c:formatCode>
                <c:ptCount val="16"/>
                <c:pt idx="0">
                  <c:v>7.6923076923076925</c:v>
                </c:pt>
                <c:pt idx="1">
                  <c:v>92.307692307692307</c:v>
                </c:pt>
                <c:pt idx="2">
                  <c:v>0</c:v>
                </c:pt>
                <c:pt idx="3">
                  <c:v>15.384615384615385</c:v>
                </c:pt>
                <c:pt idx="4">
                  <c:v>84.615384615384613</c:v>
                </c:pt>
                <c:pt idx="5">
                  <c:v>23.076923076923077</c:v>
                </c:pt>
                <c:pt idx="6">
                  <c:v>84.615384615384613</c:v>
                </c:pt>
                <c:pt idx="7">
                  <c:v>76.923076923076934</c:v>
                </c:pt>
                <c:pt idx="8">
                  <c:v>100</c:v>
                </c:pt>
                <c:pt idx="9">
                  <c:v>0</c:v>
                </c:pt>
                <c:pt idx="10">
                  <c:v>69.230769230769226</c:v>
                </c:pt>
                <c:pt idx="11">
                  <c:v>0</c:v>
                </c:pt>
                <c:pt idx="12">
                  <c:v>0</c:v>
                </c:pt>
                <c:pt idx="13">
                  <c:v>76.923076923076934</c:v>
                </c:pt>
                <c:pt idx="14">
                  <c:v>69.230769230769226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506-784F-AB76-C315925ADEB6}"/>
            </c:ext>
          </c:extLst>
        </c:ser>
        <c:ser>
          <c:idx val="1"/>
          <c:order val="1"/>
          <c:tx>
            <c:v>Conf Leader % </c:v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dLbls>
            <c:delete val="1"/>
          </c:dLbls>
          <c:cat>
            <c:strRef>
              <c:f>Ranks!$B$36:$B$51</c:f>
              <c:strCache>
                <c:ptCount val="16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  <c:pt idx="5">
                  <c:v>Team 6</c:v>
                </c:pt>
                <c:pt idx="6">
                  <c:v>Team 7</c:v>
                </c:pt>
                <c:pt idx="7">
                  <c:v>Team 8</c:v>
                </c:pt>
                <c:pt idx="8">
                  <c:v>Team 9</c:v>
                </c:pt>
                <c:pt idx="9">
                  <c:v>Team 10</c:v>
                </c:pt>
                <c:pt idx="10">
                  <c:v>Team 11</c:v>
                </c:pt>
                <c:pt idx="11">
                  <c:v>Team 12</c:v>
                </c:pt>
                <c:pt idx="12">
                  <c:v>Team 13</c:v>
                </c:pt>
                <c:pt idx="13">
                  <c:v>Team 14</c:v>
                </c:pt>
                <c:pt idx="14">
                  <c:v>Team 15</c:v>
                </c:pt>
                <c:pt idx="15">
                  <c:v>Team 16</c:v>
                </c:pt>
              </c:strCache>
            </c:strRef>
          </c:cat>
          <c:val>
            <c:numRef>
              <c:f>Ranks!$U$36:$U$51</c:f>
              <c:numCache>
                <c:formatCode>0</c:formatCode>
                <c:ptCount val="16"/>
                <c:pt idx="0">
                  <c:v>0</c:v>
                </c:pt>
                <c:pt idx="1">
                  <c:v>53.846153846153847</c:v>
                </c:pt>
                <c:pt idx="2">
                  <c:v>0</c:v>
                </c:pt>
                <c:pt idx="3">
                  <c:v>0</c:v>
                </c:pt>
                <c:pt idx="4">
                  <c:v>76.923076923076934</c:v>
                </c:pt>
                <c:pt idx="5">
                  <c:v>23.076923076923077</c:v>
                </c:pt>
                <c:pt idx="6">
                  <c:v>38.461538461538467</c:v>
                </c:pt>
                <c:pt idx="7">
                  <c:v>7.6923076923076925</c:v>
                </c:pt>
                <c:pt idx="8">
                  <c:v>92.307692307692307</c:v>
                </c:pt>
                <c:pt idx="9">
                  <c:v>0</c:v>
                </c:pt>
                <c:pt idx="10">
                  <c:v>61.53846153846154</c:v>
                </c:pt>
                <c:pt idx="11">
                  <c:v>0</c:v>
                </c:pt>
                <c:pt idx="12">
                  <c:v>0</c:v>
                </c:pt>
                <c:pt idx="13">
                  <c:v>46.153846153846153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506-784F-AB76-C315925ADE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2064608"/>
        <c:axId val="422065000"/>
      </c:barChart>
      <c:catAx>
        <c:axId val="4220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>
                    <a:solidFill>
                      <a:schemeClr val="tx1"/>
                    </a:solidFill>
                  </a:rPr>
                  <a:t> </a:t>
                </a:r>
                <a:r>
                  <a:rPr lang="en-US">
                    <a:solidFill>
                      <a:schemeClr val="tx1"/>
                    </a:solidFill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48419838852614316"/>
              <c:y val="0.886187688077451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5000"/>
        <c:crosses val="autoZero"/>
        <c:auto val="1"/>
        <c:lblAlgn val="ctr"/>
        <c:lblOffset val="10"/>
        <c:noMultiLvlLbl val="0"/>
      </c:catAx>
      <c:valAx>
        <c:axId val="4220650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4608"/>
        <c:crosses val="autoZero"/>
        <c:crossBetween val="between"/>
        <c:majorUnit val="10"/>
        <c:minorUnit val="5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5.5707906411193537E-3"/>
          <c:y val="0.83240911510965532"/>
          <c:w val="9.2100018899028663E-2"/>
          <c:h val="0.14709122498332797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Ranks!$T$87</c:f>
          <c:strCache>
            <c:ptCount val="1"/>
            <c:pt idx="0">
              <c:v>Bone Season Ranks</c:v>
            </c:pt>
          </c:strCache>
        </c:strRef>
      </c:tx>
      <c:layout>
        <c:manualLayout>
          <c:xMode val="edge"/>
          <c:yMode val="edge"/>
          <c:x val="0.45529604639984572"/>
          <c:y val="1.11729917897318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773150110566193"/>
          <c:h val="0.83082348070032164"/>
        </c:manualLayout>
      </c:layout>
      <c:scatterChart>
        <c:scatterStyle val="lineMarker"/>
        <c:varyColors val="0"/>
        <c:ser>
          <c:idx val="3"/>
          <c:order val="0"/>
          <c:tx>
            <c:strRef>
              <c:f>Ranks!$B$87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Ranks!$C$87:$P$87</c:f>
              <c:numCache>
                <c:formatCode>0</c:formatCode>
                <c:ptCount val="14"/>
                <c:pt idx="0">
                  <c:v>3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61-BA43-956D-3C636CE0F1B5}"/>
            </c:ext>
          </c:extLst>
        </c:ser>
        <c:ser>
          <c:idx val="0"/>
          <c:order val="1"/>
          <c:tx>
            <c:strRef>
              <c:f>Ranks!$B$88</c:f>
              <c:strCache>
                <c:ptCount val="1"/>
                <c:pt idx="0">
                  <c:v>Team 2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Ranks!$C$88:$P$88</c:f>
              <c:numCache>
                <c:formatCode>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261-BA43-956D-3C636CE0F1B5}"/>
            </c:ext>
          </c:extLst>
        </c:ser>
        <c:ser>
          <c:idx val="1"/>
          <c:order val="2"/>
          <c:tx>
            <c:strRef>
              <c:f>Ranks!$B$89</c:f>
              <c:strCache>
                <c:ptCount val="1"/>
                <c:pt idx="0">
                  <c:v>Team 3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Ranks!$C$89:$P$89</c:f>
              <c:numCache>
                <c:formatCode>0</c:formatCode>
                <c:ptCount val="14"/>
                <c:pt idx="0">
                  <c:v>7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261-BA43-956D-3C636CE0F1B5}"/>
            </c:ext>
          </c:extLst>
        </c:ser>
        <c:ser>
          <c:idx val="2"/>
          <c:order val="3"/>
          <c:tx>
            <c:strRef>
              <c:f>Ranks!$B$90</c:f>
              <c:strCache>
                <c:ptCount val="1"/>
                <c:pt idx="0">
                  <c:v>Team 4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Ranks!$C$90:$P$90</c:f>
              <c:numCache>
                <c:formatCode>0</c:formatCode>
                <c:ptCount val="1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261-BA43-956D-3C636CE0F1B5}"/>
            </c:ext>
          </c:extLst>
        </c:ser>
        <c:ser>
          <c:idx val="4"/>
          <c:order val="4"/>
          <c:tx>
            <c:strRef>
              <c:f>Ranks!$B$91</c:f>
              <c:strCache>
                <c:ptCount val="1"/>
                <c:pt idx="0">
                  <c:v>Team 5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Ranks!$C$91:$P$91</c:f>
              <c:numCache>
                <c:formatCode>0</c:formatCode>
                <c:ptCount val="14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261-BA43-956D-3C636CE0F1B5}"/>
            </c:ext>
          </c:extLst>
        </c:ser>
        <c:ser>
          <c:idx val="5"/>
          <c:order val="5"/>
          <c:tx>
            <c:strRef>
              <c:f>Ranks!$B$92</c:f>
              <c:strCache>
                <c:ptCount val="1"/>
                <c:pt idx="0">
                  <c:v>Team 6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Ranks!$C$92:$P$92</c:f>
              <c:numCache>
                <c:formatCode>0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261-BA43-956D-3C636CE0F1B5}"/>
            </c:ext>
          </c:extLst>
        </c:ser>
        <c:ser>
          <c:idx val="6"/>
          <c:order val="6"/>
          <c:tx>
            <c:strRef>
              <c:f>Ranks!$B$93</c:f>
              <c:strCache>
                <c:ptCount val="1"/>
                <c:pt idx="0">
                  <c:v>Team 7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Ranks!$C$93:$P$93</c:f>
              <c:numCache>
                <c:formatCode>0</c:formatCode>
                <c:ptCount val="14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261-BA43-956D-3C636CE0F1B5}"/>
            </c:ext>
          </c:extLst>
        </c:ser>
        <c:ser>
          <c:idx val="7"/>
          <c:order val="7"/>
          <c:tx>
            <c:strRef>
              <c:f>Ranks!$B$94</c:f>
              <c:strCache>
                <c:ptCount val="1"/>
                <c:pt idx="0">
                  <c:v>Team 8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Ranks!$C$94:$P$94</c:f>
              <c:numCache>
                <c:formatCode>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261-BA43-956D-3C636CE0F1B5}"/>
            </c:ext>
          </c:extLst>
        </c:ser>
        <c:ser>
          <c:idx val="8"/>
          <c:order val="8"/>
          <c:spPr>
            <a:ln>
              <a:solidFill>
                <a:schemeClr val="tx1">
                  <a:alpha val="71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Ranks!$C$110:$P$110</c:f>
              <c:numCache>
                <c:formatCode>General</c:formatCode>
                <c:ptCount val="14"/>
                <c:pt idx="0">
                  <c:v>3.1</c:v>
                </c:pt>
                <c:pt idx="1">
                  <c:v>3.1</c:v>
                </c:pt>
                <c:pt idx="2">
                  <c:v>3.1</c:v>
                </c:pt>
                <c:pt idx="3">
                  <c:v>3.1</c:v>
                </c:pt>
                <c:pt idx="4">
                  <c:v>3.1</c:v>
                </c:pt>
                <c:pt idx="5">
                  <c:v>3.1</c:v>
                </c:pt>
                <c:pt idx="6">
                  <c:v>3.1</c:v>
                </c:pt>
                <c:pt idx="7">
                  <c:v>3.1</c:v>
                </c:pt>
                <c:pt idx="8">
                  <c:v>3.1</c:v>
                </c:pt>
                <c:pt idx="9">
                  <c:v>3.1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261-BA43-956D-3C636CE0F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7"/>
          <c:min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layout>
            <c:manualLayout>
              <c:xMode val="edge"/>
              <c:yMode val="edge"/>
              <c:x val="0.51204007230537729"/>
              <c:y val="0.909542511304625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At val="16"/>
        <c:crossBetween val="midCat"/>
        <c:majorUnit val="1"/>
        <c:minorUnit val="1"/>
      </c:valAx>
      <c:valAx>
        <c:axId val="210719304"/>
        <c:scaling>
          <c:orientation val="maxMin"/>
          <c:max val="8.0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1"/>
        <c:minorUnit val="1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6.4523099321799587E-2"/>
          <c:y val="0.94360317620229517"/>
          <c:w val="0.89015104040229509"/>
          <c:h val="3.9496543461301173E-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Ranks!$T$88</c:f>
          <c:strCache>
            <c:ptCount val="1"/>
            <c:pt idx="0">
              <c:v>Wardo Season Ranks</c:v>
            </c:pt>
          </c:strCache>
        </c:strRef>
      </c:tx>
      <c:layout>
        <c:manualLayout>
          <c:xMode val="edge"/>
          <c:yMode val="edge"/>
          <c:x val="0.45039877799639261"/>
          <c:y val="1.32877956666502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480386581579215E-2"/>
          <c:y val="5.9314722023383441E-2"/>
          <c:w val="0.91773150110566193"/>
          <c:h val="0.83082348070032164"/>
        </c:manualLayout>
      </c:layout>
      <c:scatterChart>
        <c:scatterStyle val="lineMarker"/>
        <c:varyColors val="0"/>
        <c:ser>
          <c:idx val="3"/>
          <c:order val="0"/>
          <c:tx>
            <c:strRef>
              <c:f>Ranks!$B$95</c:f>
              <c:strCache>
                <c:ptCount val="1"/>
                <c:pt idx="0">
                  <c:v>Team 9</c:v>
                </c:pt>
              </c:strCache>
            </c:strRef>
          </c:tx>
          <c:spPr>
            <a:ln w="2857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Ranks!$C$95:$P$95</c:f>
              <c:numCache>
                <c:formatCode>0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2-BD4E-8EC4-3AA15840237D}"/>
            </c:ext>
          </c:extLst>
        </c:ser>
        <c:ser>
          <c:idx val="0"/>
          <c:order val="1"/>
          <c:tx>
            <c:strRef>
              <c:f>Ranks!$B$96</c:f>
              <c:strCache>
                <c:ptCount val="1"/>
                <c:pt idx="0">
                  <c:v>Team 10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Ranks!$C$96:$P$96</c:f>
              <c:numCache>
                <c:formatCode>0</c:formatCode>
                <c:ptCount val="14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02-BD4E-8EC4-3AA15840237D}"/>
            </c:ext>
          </c:extLst>
        </c:ser>
        <c:ser>
          <c:idx val="1"/>
          <c:order val="2"/>
          <c:tx>
            <c:strRef>
              <c:f>Ranks!$B$97</c:f>
              <c:strCache>
                <c:ptCount val="1"/>
                <c:pt idx="0">
                  <c:v>Team 11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Ranks!$C$97:$P$97</c:f>
              <c:numCache>
                <c:formatCode>0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02-BD4E-8EC4-3AA15840237D}"/>
            </c:ext>
          </c:extLst>
        </c:ser>
        <c:ser>
          <c:idx val="2"/>
          <c:order val="3"/>
          <c:tx>
            <c:strRef>
              <c:f>Ranks!$B$98</c:f>
              <c:strCache>
                <c:ptCount val="1"/>
                <c:pt idx="0">
                  <c:v>Team 12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Ranks!$C$98:$P$98</c:f>
              <c:numCache>
                <c:formatCode>0</c:formatCode>
                <c:ptCount val="1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02-BD4E-8EC4-3AA15840237D}"/>
            </c:ext>
          </c:extLst>
        </c:ser>
        <c:ser>
          <c:idx val="4"/>
          <c:order val="4"/>
          <c:tx>
            <c:strRef>
              <c:f>Ranks!$B$99</c:f>
              <c:strCache>
                <c:ptCount val="1"/>
                <c:pt idx="0">
                  <c:v>Team 13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Ranks!$C$99:$P$99</c:f>
              <c:numCache>
                <c:formatCode>0</c:formatCode>
                <c:ptCount val="14"/>
                <c:pt idx="0">
                  <c:v>7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02-BD4E-8EC4-3AA15840237D}"/>
            </c:ext>
          </c:extLst>
        </c:ser>
        <c:ser>
          <c:idx val="5"/>
          <c:order val="5"/>
          <c:tx>
            <c:strRef>
              <c:f>Ranks!$B$100</c:f>
              <c:strCache>
                <c:ptCount val="1"/>
                <c:pt idx="0">
                  <c:v>Team 14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Ranks!$C$100:$P$100</c:f>
              <c:numCache>
                <c:formatCode>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02-BD4E-8EC4-3AA15840237D}"/>
            </c:ext>
          </c:extLst>
        </c:ser>
        <c:ser>
          <c:idx val="6"/>
          <c:order val="6"/>
          <c:tx>
            <c:strRef>
              <c:f>Ranks!$B$101</c:f>
              <c:strCache>
                <c:ptCount val="1"/>
                <c:pt idx="0">
                  <c:v>Team 15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Ranks!$C$101:$P$101</c:f>
              <c:numCache>
                <c:formatCode>0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302-BD4E-8EC4-3AA15840237D}"/>
            </c:ext>
          </c:extLst>
        </c:ser>
        <c:ser>
          <c:idx val="7"/>
          <c:order val="7"/>
          <c:tx>
            <c:strRef>
              <c:f>Ranks!$B$102</c:f>
              <c:strCache>
                <c:ptCount val="1"/>
                <c:pt idx="0">
                  <c:v>Team 16</c:v>
                </c:pt>
              </c:strCache>
            </c:strRef>
          </c:tx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Ranks!$C$102:$P$102</c:f>
              <c:numCache>
                <c:formatCode>0</c:formatCode>
                <c:ptCount val="14"/>
                <c:pt idx="0">
                  <c:v>8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302-BD4E-8EC4-3AA15840237D}"/>
            </c:ext>
          </c:extLst>
        </c:ser>
        <c:ser>
          <c:idx val="8"/>
          <c:order val="8"/>
          <c:spPr>
            <a:ln>
              <a:solidFill>
                <a:schemeClr val="tx1">
                  <a:alpha val="71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Ranks!$C$86:$P$86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 formatCode="General">
                  <c:v>8</c:v>
                </c:pt>
                <c:pt idx="8" formatCode="General">
                  <c:v>9</c:v>
                </c:pt>
                <c:pt idx="9" formatCode="General">
                  <c:v>10</c:v>
                </c:pt>
                <c:pt idx="10" formatCode="General">
                  <c:v>11</c:v>
                </c:pt>
                <c:pt idx="11" formatCode="General">
                  <c:v>12</c:v>
                </c:pt>
                <c:pt idx="12" formatCode="General">
                  <c:v>13</c:v>
                </c:pt>
                <c:pt idx="13" formatCode="General">
                  <c:v>14</c:v>
                </c:pt>
              </c:numCache>
            </c:numRef>
          </c:xVal>
          <c:yVal>
            <c:numRef>
              <c:f>Ranks!$C$110:$P$110</c:f>
              <c:numCache>
                <c:formatCode>General</c:formatCode>
                <c:ptCount val="14"/>
                <c:pt idx="0">
                  <c:v>3.1</c:v>
                </c:pt>
                <c:pt idx="1">
                  <c:v>3.1</c:v>
                </c:pt>
                <c:pt idx="2">
                  <c:v>3.1</c:v>
                </c:pt>
                <c:pt idx="3">
                  <c:v>3.1</c:v>
                </c:pt>
                <c:pt idx="4">
                  <c:v>3.1</c:v>
                </c:pt>
                <c:pt idx="5">
                  <c:v>3.1</c:v>
                </c:pt>
                <c:pt idx="6">
                  <c:v>3.1</c:v>
                </c:pt>
                <c:pt idx="7">
                  <c:v>3.1</c:v>
                </c:pt>
                <c:pt idx="8">
                  <c:v>3.1</c:v>
                </c:pt>
                <c:pt idx="9">
                  <c:v>3.1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302-BD4E-8EC4-3AA158402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6632"/>
        <c:axId val="210719304"/>
        <c:extLst/>
      </c:scatterChart>
      <c:valAx>
        <c:axId val="210706632"/>
        <c:scaling>
          <c:orientation val="minMax"/>
          <c:max val="7"/>
          <c:min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</a:t>
                </a:r>
              </a:p>
            </c:rich>
          </c:tx>
          <c:layout>
            <c:manualLayout>
              <c:xMode val="edge"/>
              <c:yMode val="edge"/>
              <c:x val="0.47348934634791773"/>
              <c:y val="0.907427707427707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19304"/>
        <c:crossesAt val="16"/>
        <c:crossBetween val="midCat"/>
        <c:majorUnit val="1"/>
        <c:minorUnit val="1"/>
      </c:valAx>
      <c:valAx>
        <c:axId val="210719304"/>
        <c:scaling>
          <c:orientation val="maxMin"/>
          <c:max val="8.0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6632"/>
        <c:crosses val="autoZero"/>
        <c:crossBetween val="midCat"/>
        <c:majorUnit val="1"/>
        <c:minorUnit val="1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6.4523099321799587E-2"/>
          <c:y val="0.94360317620229517"/>
          <c:w val="0.89015104040229509"/>
          <c:h val="3.9496543461301173E-2"/>
        </c:manualLayout>
      </c:layout>
      <c:overlay val="0"/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86DF53D-B691-E842-937B-7DF9A7633D8E}">
  <sheetPr codeName="Chart1"/>
  <sheetViews>
    <sheetView zoomScale="120" workbookViewId="0"/>
  </sheetViews>
  <pageMargins left="0.7" right="0.7" top="0.75" bottom="0.75" header="0.3" footer="0.3"/>
  <pageSetup orientation="landscape" horizontalDpi="0" verticalDpi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22</xdr:row>
      <xdr:rowOff>15875</xdr:rowOff>
    </xdr:from>
    <xdr:to>
      <xdr:col>3</xdr:col>
      <xdr:colOff>1682750</xdr:colOff>
      <xdr:row>24</xdr:row>
      <xdr:rowOff>0</xdr:rowOff>
    </xdr:to>
    <xdr:sp macro="[0]!GraphUpdate" textlink="">
      <xdr:nvSpPr>
        <xdr:cNvPr id="2" name="Rectangle 1">
          <a:extLst>
            <a:ext uri="{FF2B5EF4-FFF2-40B4-BE49-F238E27FC236}">
              <a16:creationId xmlns:a16="http://schemas.microsoft.com/office/drawing/2014/main" id="{5943E71D-E53A-F040-B668-48047DCC1FB0}"/>
            </a:ext>
          </a:extLst>
        </xdr:cNvPr>
        <xdr:cNvSpPr/>
      </xdr:nvSpPr>
      <xdr:spPr>
        <a:xfrm>
          <a:off x="1682750" y="4286250"/>
          <a:ext cx="2111375" cy="365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Graph </a:t>
          </a:r>
        </a:p>
      </xdr:txBody>
    </xdr:sp>
    <xdr:clientData/>
  </xdr:twoCellAnchor>
  <xdr:oneCellAnchor>
    <xdr:from>
      <xdr:col>11</xdr:col>
      <xdr:colOff>0</xdr:colOff>
      <xdr:row>45</xdr:row>
      <xdr:rowOff>0</xdr:rowOff>
    </xdr:from>
    <xdr:ext cx="304800" cy="304800"/>
    <xdr:sp macro="" textlink="">
      <xdr:nvSpPr>
        <xdr:cNvPr id="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671D42E-C3A1-404A-8729-EADD57931747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F2E92F8-31B0-B840-A110-C579D04C9B1A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43</xdr:row>
      <xdr:rowOff>0</xdr:rowOff>
    </xdr:from>
    <xdr:to>
      <xdr:col>11</xdr:col>
      <xdr:colOff>304800</xdr:colOff>
      <xdr:row>44</xdr:row>
      <xdr:rowOff>101600</xdr:rowOff>
    </xdr:to>
    <xdr:sp macro="" textlink="">
      <xdr:nvSpPr>
        <xdr:cNvPr id="6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BE97FE8-D863-0D4C-B338-D9A3FEC6F1C3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44</xdr:row>
      <xdr:rowOff>0</xdr:rowOff>
    </xdr:from>
    <xdr:to>
      <xdr:col>11</xdr:col>
      <xdr:colOff>304800</xdr:colOff>
      <xdr:row>45</xdr:row>
      <xdr:rowOff>98425</xdr:rowOff>
    </xdr:to>
    <xdr:sp macro="" textlink="">
      <xdr:nvSpPr>
        <xdr:cNvPr id="7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1A31917B-C0C1-8248-B8C0-DEA0F24C9482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FAC5085-5798-634C-8605-EDFD1C1DD204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66A137B-2844-794C-AA2D-2C056DF7134B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1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D5796CB-F0F2-9043-9D58-7B1CF65C3A6B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1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2E7763FF-B76E-674D-8E89-26909BB0E4B7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1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104EA16-A62C-1548-950B-CB61E9DF474E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1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14B876D-F8F3-1243-A929-55DA3492D2FF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48</xdr:row>
      <xdr:rowOff>0</xdr:rowOff>
    </xdr:from>
    <xdr:ext cx="304800" cy="304800"/>
    <xdr:sp macro="" textlink="">
      <xdr:nvSpPr>
        <xdr:cNvPr id="1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7950791-DE4E-6A48-8DEB-49C7F8021B03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41</xdr:row>
      <xdr:rowOff>190500</xdr:rowOff>
    </xdr:from>
    <xdr:to>
      <xdr:col>11</xdr:col>
      <xdr:colOff>304800</xdr:colOff>
      <xdr:row>43</xdr:row>
      <xdr:rowOff>85725</xdr:rowOff>
    </xdr:to>
    <xdr:sp macro="" textlink="">
      <xdr:nvSpPr>
        <xdr:cNvPr id="15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8A60680-7DDC-3946-BBF8-8F60CC5D9F7D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8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11</xdr:col>
      <xdr:colOff>0</xdr:colOff>
      <xdr:row>50</xdr:row>
      <xdr:rowOff>190500</xdr:rowOff>
    </xdr:from>
    <xdr:to>
      <xdr:col>11</xdr:col>
      <xdr:colOff>304800</xdr:colOff>
      <xdr:row>52</xdr:row>
      <xdr:rowOff>114300</xdr:rowOff>
    </xdr:to>
    <xdr:sp macro="" textlink="">
      <xdr:nvSpPr>
        <xdr:cNvPr id="16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D9652DBB-9F67-FA40-912A-53CC055B41CE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6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1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D193B8E-4A7E-9743-8FD8-6CBD69E587AA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1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BD72CED1-98E2-704F-B9C7-80FA160D85DA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1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F8A584D-556A-484D-A9C8-2FBFFDEF9F1D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2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4A71F39-6D48-1A40-8F0E-F8E4D3B71347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2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9C27F7B-F775-F042-BBC6-AD1F51183DB1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2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F42F1F9-B750-774F-BC3E-9A92CE464B0C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2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F7B59FE-192A-714F-8192-0DED5AF0C315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40</xdr:row>
      <xdr:rowOff>0</xdr:rowOff>
    </xdr:from>
    <xdr:ext cx="304800" cy="304800"/>
    <xdr:sp macro="" textlink="">
      <xdr:nvSpPr>
        <xdr:cNvPr id="2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E8637AB-CE54-7F4D-B4D1-5556BD3A7D2F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41</xdr:row>
      <xdr:rowOff>190500</xdr:rowOff>
    </xdr:from>
    <xdr:ext cx="304800" cy="304800"/>
    <xdr:sp macro="" textlink="">
      <xdr:nvSpPr>
        <xdr:cNvPr id="25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20BAEAFD-E5D6-8942-AE6C-543273C50A2E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8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304800" cy="304800"/>
    <xdr:sp macro="" textlink="">
      <xdr:nvSpPr>
        <xdr:cNvPr id="26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BE9839F-799F-B44D-81C7-0B57A1C50E0B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43</xdr:row>
      <xdr:rowOff>0</xdr:rowOff>
    </xdr:from>
    <xdr:ext cx="304800" cy="304800"/>
    <xdr:sp macro="" textlink="">
      <xdr:nvSpPr>
        <xdr:cNvPr id="27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C12CDEAA-0B3B-E34A-BFA0-3D8BC0A18601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396875</xdr:colOff>
      <xdr:row>43</xdr:row>
      <xdr:rowOff>190500</xdr:rowOff>
    </xdr:from>
    <xdr:ext cx="304800" cy="304800"/>
    <xdr:sp macro="" textlink="">
      <xdr:nvSpPr>
        <xdr:cNvPr id="28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CAF2CD9-6934-0240-A657-25664433674C}"/>
            </a:ext>
          </a:extLst>
        </xdr:cNvPr>
        <xdr:cNvSpPr>
          <a:spLocks noChangeAspect="1" noChangeArrowheads="1"/>
        </xdr:cNvSpPr>
      </xdr:nvSpPr>
      <xdr:spPr bwMode="auto">
        <a:xfrm>
          <a:off x="8096250" y="86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11</xdr:col>
      <xdr:colOff>0</xdr:colOff>
      <xdr:row>45</xdr:row>
      <xdr:rowOff>0</xdr:rowOff>
    </xdr:from>
    <xdr:ext cx="304800" cy="304800"/>
    <xdr:sp macro="" textlink="">
      <xdr:nvSpPr>
        <xdr:cNvPr id="2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BB27E9F-7972-BB49-B265-8CD05DA738AA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49</xdr:row>
      <xdr:rowOff>0</xdr:rowOff>
    </xdr:from>
    <xdr:ext cx="304800" cy="304800"/>
    <xdr:sp macro="" textlink="">
      <xdr:nvSpPr>
        <xdr:cNvPr id="30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03F08D4-3EC1-BA4A-A487-5CEA3223C814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53</xdr:row>
      <xdr:rowOff>0</xdr:rowOff>
    </xdr:from>
    <xdr:ext cx="304800" cy="304800"/>
    <xdr:sp macro="" textlink="">
      <xdr:nvSpPr>
        <xdr:cNvPr id="31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CF9AFE0-2CEB-0E4C-BB20-4DF01D7E66FD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52</xdr:row>
      <xdr:rowOff>0</xdr:rowOff>
    </xdr:from>
    <xdr:ext cx="304800" cy="304800"/>
    <xdr:sp macro="" textlink="">
      <xdr:nvSpPr>
        <xdr:cNvPr id="32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600670DF-89C1-304C-8546-D50FEAA0956B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3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959E0F1-32A3-E548-A86B-746865F368ED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914A35E-B288-9E44-AFC8-81D001AF5E4F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11724FA3-9B41-8C47-A0F6-EAB6A7D63F2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4761BA5-82F1-3A47-950F-153987A3D115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6531DD4-EDEF-7549-8BFA-18B4EC59E6B6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61510C4-A362-5143-88BF-67DCFEC99792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3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325021B-2CE3-AD4F-99F5-E6A25EAE346D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54</xdr:row>
      <xdr:rowOff>0</xdr:rowOff>
    </xdr:from>
    <xdr:ext cx="304800" cy="304800"/>
    <xdr:sp macro="" textlink="">
      <xdr:nvSpPr>
        <xdr:cNvPr id="4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523A615-9EA2-7248-A9F2-7DD2DC57BFD9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326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0.05977</cdr:x>
      <cdr:y>0.3623</cdr:y>
    </cdr:from>
    <cdr:to>
      <cdr:x>0.96051</cdr:x>
      <cdr:y>0.36377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CB95091-DC68-2241-8E01-4F386E8DE29C}"/>
            </a:ext>
          </a:extLst>
        </cdr:cNvPr>
        <cdr:cNvCxnSpPr/>
      </cdr:nvCxnSpPr>
      <cdr:spPr>
        <a:xfrm xmlns:a="http://schemas.openxmlformats.org/drawingml/2006/main" flipV="1">
          <a:off x="519124" y="2280438"/>
          <a:ext cx="7823942" cy="927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2">
              <a:lumMod val="60000"/>
              <a:lumOff val="40000"/>
            </a:schemeClr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0.01067</cdr:x>
      <cdr:y>0.1296</cdr:y>
    </cdr:from>
    <cdr:to>
      <cdr:x>0.04482</cdr:x>
      <cdr:y>0.27099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2B499DDD-AECA-504C-A021-7674B4A115AB}"/>
            </a:ext>
          </a:extLst>
        </cdr:cNvPr>
        <cdr:cNvSpPr txBox="1"/>
      </cdr:nvSpPr>
      <cdr:spPr>
        <a:xfrm xmlns:a="http://schemas.openxmlformats.org/drawingml/2006/main">
          <a:off x="92700" y="815766"/>
          <a:ext cx="296642" cy="8899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vert="vert270" wrap="square" rtlCol="0"/>
        <a:lstStyle xmlns:a="http://schemas.openxmlformats.org/drawingml/2006/main"/>
        <a:p xmlns:a="http://schemas.openxmlformats.org/drawingml/2006/main">
          <a:r>
            <a:rPr lang="en-US" sz="800" b="0"/>
            <a:t>Playoff</a:t>
          </a:r>
          <a:r>
            <a:rPr lang="en-US" sz="800" b="0" baseline="0"/>
            <a:t> Teams</a:t>
          </a:r>
          <a:endParaRPr lang="en-US" sz="800" b="0"/>
        </a:p>
      </cdr:txBody>
    </cdr:sp>
  </cdr:relSizeAnchor>
  <cdr:relSizeAnchor xmlns:cdr="http://schemas.openxmlformats.org/drawingml/2006/chartDrawing">
    <cdr:from>
      <cdr:x>0.89473</cdr:x>
      <cdr:y>0.07069</cdr:y>
    </cdr:from>
    <cdr:to>
      <cdr:x>1</cdr:x>
      <cdr:y>0.21596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392B81B9-BAB1-1B4A-BACB-0197FD374C74}"/>
            </a:ext>
          </a:extLst>
        </cdr:cNvPr>
        <cdr:cNvSpPr txBox="1"/>
      </cdr:nvSpPr>
      <cdr:spPr>
        <a:xfrm xmlns:a="http://schemas.openxmlformats.org/drawingml/2006/main">
          <a:off x="7851752" y="44496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0.00692</cdr:x>
      <cdr:y>0.4985</cdr:y>
    </cdr:from>
    <cdr:to>
      <cdr:x>0.04107</cdr:x>
      <cdr:y>0.67747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6DE40B4-3350-924F-8842-5D1C97A8C5B3}"/>
            </a:ext>
          </a:extLst>
        </cdr:cNvPr>
        <cdr:cNvSpPr txBox="1"/>
      </cdr:nvSpPr>
      <cdr:spPr>
        <a:xfrm xmlns:a="http://schemas.openxmlformats.org/drawingml/2006/main">
          <a:off x="60069" y="3137733"/>
          <a:ext cx="296642" cy="112649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="vert27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Non-Playoff</a:t>
          </a:r>
          <a:r>
            <a:rPr lang="en-US" sz="800" baseline="0"/>
            <a:t>  Teams</a:t>
          </a:r>
          <a:endParaRPr lang="en-US" sz="800"/>
        </a:p>
      </cdr:txBody>
    </cdr:sp>
  </cdr:relSizeAnchor>
  <cdr:relSizeAnchor xmlns:cdr="http://schemas.openxmlformats.org/drawingml/2006/chartDrawing">
    <cdr:from>
      <cdr:x>0.08751</cdr:x>
      <cdr:y>0.88513</cdr:y>
    </cdr:from>
    <cdr:to>
      <cdr:x>0.29456</cdr:x>
      <cdr:y>0.98675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1FE1506-4567-3B4E-A33C-E3268034DED9}"/>
            </a:ext>
          </a:extLst>
        </cdr:cNvPr>
        <cdr:cNvSpPr txBox="1"/>
      </cdr:nvSpPr>
      <cdr:spPr>
        <a:xfrm xmlns:a="http://schemas.openxmlformats.org/drawingml/2006/main">
          <a:off x="760146" y="5571314"/>
          <a:ext cx="1798394" cy="6396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0.06297</cdr:x>
      <cdr:y>0.8866</cdr:y>
    </cdr:from>
    <cdr:to>
      <cdr:x>0.254</cdr:x>
      <cdr:y>0.98969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24BB8F5C-DF11-7844-9349-F62B56F8C371}"/>
            </a:ext>
          </a:extLst>
        </cdr:cNvPr>
        <cdr:cNvSpPr txBox="1"/>
      </cdr:nvSpPr>
      <cdr:spPr>
        <a:xfrm xmlns:a="http://schemas.openxmlformats.org/drawingml/2006/main">
          <a:off x="546934" y="5580583"/>
          <a:ext cx="1659344" cy="6489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baseline="0"/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604760</xdr:colOff>
      <xdr:row>29</xdr:row>
      <xdr:rowOff>86684</xdr:rowOff>
    </xdr:from>
    <xdr:to>
      <xdr:col>26</xdr:col>
      <xdr:colOff>526142</xdr:colOff>
      <xdr:row>57</xdr:row>
      <xdr:rowOff>114906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338665</xdr:colOff>
      <xdr:row>87</xdr:row>
      <xdr:rowOff>151189</xdr:rowOff>
    </xdr:from>
    <xdr:to>
      <xdr:col>19</xdr:col>
      <xdr:colOff>385401</xdr:colOff>
      <xdr:row>115</xdr:row>
      <xdr:rowOff>20197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459619</xdr:colOff>
      <xdr:row>58</xdr:row>
      <xdr:rowOff>28220</xdr:rowOff>
    </xdr:from>
    <xdr:to>
      <xdr:col>26</xdr:col>
      <xdr:colOff>494709</xdr:colOff>
      <xdr:row>85</xdr:row>
      <xdr:rowOff>139798</xdr:rowOff>
    </xdr:to>
    <xdr:graphicFrame macro="">
      <xdr:nvGraphicFramePr>
        <xdr:cNvPr id="9" name="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564444</xdr:colOff>
      <xdr:row>57</xdr:row>
      <xdr:rowOff>183443</xdr:rowOff>
    </xdr:from>
    <xdr:to>
      <xdr:col>12</xdr:col>
      <xdr:colOff>599534</xdr:colOff>
      <xdr:row>85</xdr:row>
      <xdr:rowOff>97466</xdr:rowOff>
    </xdr:to>
    <xdr:graphicFrame macro="">
      <xdr:nvGraphicFramePr>
        <xdr:cNvPr id="10" name="Chart 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606777</xdr:colOff>
      <xdr:row>1</xdr:row>
      <xdr:rowOff>26106</xdr:rowOff>
    </xdr:from>
    <xdr:to>
      <xdr:col>12</xdr:col>
      <xdr:colOff>644369</xdr:colOff>
      <xdr:row>28</xdr:row>
      <xdr:rowOff>141930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494747</xdr:colOff>
      <xdr:row>0</xdr:row>
      <xdr:rowOff>117927</xdr:rowOff>
    </xdr:from>
    <xdr:to>
      <xdr:col>26</xdr:col>
      <xdr:colOff>532339</xdr:colOff>
      <xdr:row>28</xdr:row>
      <xdr:rowOff>132078</xdr:rowOff>
    </xdr:to>
    <xdr:graphicFrame macro="">
      <xdr:nvGraphicFramePr>
        <xdr:cNvPr id="12" name="Chart 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0.21734</cdr:x>
      <cdr:y>0.81319</cdr:y>
    </cdr:from>
    <cdr:to>
      <cdr:x>0.35317</cdr:x>
      <cdr:y>0.86264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4229099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0.69254</cdr:x>
      <cdr:y>0.82479</cdr:y>
    </cdr:from>
    <cdr:to>
      <cdr:x>0.88098</cdr:x>
      <cdr:y>0.87424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99049" y="4289425"/>
          <a:ext cx="1387477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0.53342</cdr:x>
      <cdr:y>0.82479</cdr:y>
    </cdr:from>
    <cdr:to>
      <cdr:x>0.70505</cdr:x>
      <cdr:y>0.87424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27474" y="4289425"/>
          <a:ext cx="1263651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0.38724</cdr:x>
      <cdr:y>0.82295</cdr:y>
    </cdr:from>
    <cdr:to>
      <cdr:x>0.52307</cdr:x>
      <cdr:y>0.87241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851150" y="4279900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0.21734</cdr:x>
      <cdr:y>0.81319</cdr:y>
    </cdr:from>
    <cdr:to>
      <cdr:x>0.35317</cdr:x>
      <cdr:y>0.86264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4229099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0.69254</cdr:x>
      <cdr:y>0.82479</cdr:y>
    </cdr:from>
    <cdr:to>
      <cdr:x>0.88098</cdr:x>
      <cdr:y>0.87424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99049" y="4289425"/>
          <a:ext cx="1387477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0.53342</cdr:x>
      <cdr:y>0.82479</cdr:y>
    </cdr:from>
    <cdr:to>
      <cdr:x>0.70505</cdr:x>
      <cdr:y>0.87424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27474" y="4289425"/>
          <a:ext cx="1263651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0.38724</cdr:x>
      <cdr:y>0.82295</cdr:y>
    </cdr:from>
    <cdr:to>
      <cdr:x>0.52307</cdr:x>
      <cdr:y>0.87241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851150" y="4279900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0.47524</cdr:x>
      <cdr:y>0.89447</cdr:y>
    </cdr:from>
    <cdr:to>
      <cdr:x>0.53747</cdr:x>
      <cdr:y>0.93779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AA74A9BB-BAEE-6549-BFC7-325BDDFC0EFC}"/>
            </a:ext>
          </a:extLst>
        </cdr:cNvPr>
        <cdr:cNvSpPr txBox="1"/>
      </cdr:nvSpPr>
      <cdr:spPr>
        <a:xfrm xmlns:a="http://schemas.openxmlformats.org/drawingml/2006/main">
          <a:off x="3853791" y="4588100"/>
          <a:ext cx="504632" cy="222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/>
            <a:t>Rank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0.21734</cdr:x>
      <cdr:y>0.81319</cdr:y>
    </cdr:from>
    <cdr:to>
      <cdr:x>0.35317</cdr:x>
      <cdr:y>0.86264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4229099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0.69254</cdr:x>
      <cdr:y>0.82479</cdr:y>
    </cdr:from>
    <cdr:to>
      <cdr:x>0.88098</cdr:x>
      <cdr:y>0.87424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99049" y="4289425"/>
          <a:ext cx="1387477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0.53342</cdr:x>
      <cdr:y>0.82479</cdr:y>
    </cdr:from>
    <cdr:to>
      <cdr:x>0.70505</cdr:x>
      <cdr:y>0.87424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27474" y="4289425"/>
          <a:ext cx="1263651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0.38724</cdr:x>
      <cdr:y>0.82295</cdr:y>
    </cdr:from>
    <cdr:to>
      <cdr:x>0.52307</cdr:x>
      <cdr:y>0.87241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851150" y="4279900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0.21734</cdr:x>
      <cdr:y>0.81319</cdr:y>
    </cdr:from>
    <cdr:to>
      <cdr:x>0.35317</cdr:x>
      <cdr:y>0.86264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4229099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0.69254</cdr:x>
      <cdr:y>0.82479</cdr:y>
    </cdr:from>
    <cdr:to>
      <cdr:x>0.88098</cdr:x>
      <cdr:y>0.87424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99049" y="4289425"/>
          <a:ext cx="1387477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0.53342</cdr:x>
      <cdr:y>0.82479</cdr:y>
    </cdr:from>
    <cdr:to>
      <cdr:x>0.70505</cdr:x>
      <cdr:y>0.87424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27474" y="4289425"/>
          <a:ext cx="1263651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0.38724</cdr:x>
      <cdr:y>0.82295</cdr:y>
    </cdr:from>
    <cdr:to>
      <cdr:x>0.52307</cdr:x>
      <cdr:y>0.87241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851150" y="4279900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257174</xdr:colOff>
      <xdr:row>1</xdr:row>
      <xdr:rowOff>19049</xdr:rowOff>
    </xdr:from>
    <xdr:to>
      <xdr:col>14</xdr:col>
      <xdr:colOff>133350</xdr:colOff>
      <xdr:row>27</xdr:row>
      <xdr:rowOff>142874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28220</xdr:colOff>
      <xdr:row>28</xdr:row>
      <xdr:rowOff>169333</xdr:rowOff>
    </xdr:from>
    <xdr:to>
      <xdr:col>27</xdr:col>
      <xdr:colOff>564443</xdr:colOff>
      <xdr:row>57</xdr:row>
      <xdr:rowOff>22512</xdr:rowOff>
    </xdr:to>
    <xdr:graphicFrame macro="">
      <xdr:nvGraphicFramePr>
        <xdr:cNvPr id="7" name="Chart 9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</xdr:row>
      <xdr:rowOff>29633</xdr:rowOff>
    </xdr:from>
    <xdr:to>
      <xdr:col>27</xdr:col>
      <xdr:colOff>553510</xdr:colOff>
      <xdr:row>27</xdr:row>
      <xdr:rowOff>166158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282223</xdr:colOff>
      <xdr:row>28</xdr:row>
      <xdr:rowOff>169332</xdr:rowOff>
    </xdr:from>
    <xdr:to>
      <xdr:col>14</xdr:col>
      <xdr:colOff>158399</xdr:colOff>
      <xdr:row>57</xdr:row>
      <xdr:rowOff>27205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322A70DE-39BD-824B-92A0-A96811771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437444</xdr:colOff>
      <xdr:row>113</xdr:row>
      <xdr:rowOff>70555</xdr:rowOff>
    </xdr:from>
    <xdr:to>
      <xdr:col>24</xdr:col>
      <xdr:colOff>197555</xdr:colOff>
      <xdr:row>146</xdr:row>
      <xdr:rowOff>14111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F0AF74-10D2-264E-A48E-BDD7AF56D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0.21734</cdr:x>
      <cdr:y>0.81319</cdr:y>
    </cdr:from>
    <cdr:to>
      <cdr:x>0.35317</cdr:x>
      <cdr:y>0.86264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4229099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0.69254</cdr:x>
      <cdr:y>0.82479</cdr:y>
    </cdr:from>
    <cdr:to>
      <cdr:x>0.88098</cdr:x>
      <cdr:y>0.87424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99049" y="4289425"/>
          <a:ext cx="1387477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0.53342</cdr:x>
      <cdr:y>0.82479</cdr:y>
    </cdr:from>
    <cdr:to>
      <cdr:x>0.70505</cdr:x>
      <cdr:y>0.87424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27474" y="4289425"/>
          <a:ext cx="1263651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0.38724</cdr:x>
      <cdr:y>0.82295</cdr:y>
    </cdr:from>
    <cdr:to>
      <cdr:x>0.52307</cdr:x>
      <cdr:y>0.87241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851150" y="4279900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90714</xdr:colOff>
      <xdr:row>8</xdr:row>
      <xdr:rowOff>145144</xdr:rowOff>
    </xdr:from>
    <xdr:to>
      <xdr:col>40</xdr:col>
      <xdr:colOff>616276</xdr:colOff>
      <xdr:row>49</xdr:row>
      <xdr:rowOff>127000</xdr:rowOff>
    </xdr:to>
    <xdr:graphicFrame macro="">
      <xdr:nvGraphicFramePr>
        <xdr:cNvPr id="4" name="Chart 13">
          <a:extLst>
            <a:ext uri="{FF2B5EF4-FFF2-40B4-BE49-F238E27FC236}">
              <a16:creationId xmlns:a16="http://schemas.microsoft.com/office/drawing/2014/main" id="{7B8A67E5-0D08-5146-B100-D0E5979BAD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671286</xdr:colOff>
      <xdr:row>52</xdr:row>
      <xdr:rowOff>108858</xdr:rowOff>
    </xdr:from>
    <xdr:to>
      <xdr:col>21</xdr:col>
      <xdr:colOff>0</xdr:colOff>
      <xdr:row>82</xdr:row>
      <xdr:rowOff>145143</xdr:rowOff>
    </xdr:to>
    <xdr:graphicFrame macro="">
      <xdr:nvGraphicFramePr>
        <xdr:cNvPr id="3" name="Chart 14">
          <a:extLst>
            <a:ext uri="{FF2B5EF4-FFF2-40B4-BE49-F238E27FC236}">
              <a16:creationId xmlns:a16="http://schemas.microsoft.com/office/drawing/2014/main" id="{4BA8ABAC-0EE1-124C-8CB6-CEA5D46C3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90713</xdr:colOff>
      <xdr:row>52</xdr:row>
      <xdr:rowOff>108858</xdr:rowOff>
    </xdr:from>
    <xdr:to>
      <xdr:col>40</xdr:col>
      <xdr:colOff>616275</xdr:colOff>
      <xdr:row>82</xdr:row>
      <xdr:rowOff>145143</xdr:rowOff>
    </xdr:to>
    <xdr:graphicFrame macro="">
      <xdr:nvGraphicFramePr>
        <xdr:cNvPr id="5" name="Chart 15">
          <a:extLst>
            <a:ext uri="{FF2B5EF4-FFF2-40B4-BE49-F238E27FC236}">
              <a16:creationId xmlns:a16="http://schemas.microsoft.com/office/drawing/2014/main" id="{1A27A19B-867A-0141-B39E-6EF80EF45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0.21734</cdr:x>
      <cdr:y>0.81319</cdr:y>
    </cdr:from>
    <cdr:to>
      <cdr:x>0.35317</cdr:x>
      <cdr:y>0.86264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4229099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0.69254</cdr:x>
      <cdr:y>0.82479</cdr:y>
    </cdr:from>
    <cdr:to>
      <cdr:x>0.88098</cdr:x>
      <cdr:y>0.87424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99049" y="4289425"/>
          <a:ext cx="1387477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0.53342</cdr:x>
      <cdr:y>0.82479</cdr:y>
    </cdr:from>
    <cdr:to>
      <cdr:x>0.70505</cdr:x>
      <cdr:y>0.87424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3927474" y="4289425"/>
          <a:ext cx="1263651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0.38724</cdr:x>
      <cdr:y>0.82295</cdr:y>
    </cdr:from>
    <cdr:to>
      <cdr:x>0.52307</cdr:x>
      <cdr:y>0.87241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851150" y="4279900"/>
          <a:ext cx="1000126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29</xdr:row>
      <xdr:rowOff>0</xdr:rowOff>
    </xdr:from>
    <xdr:ext cx="304800" cy="304800"/>
    <xdr:sp macro="" textlink="">
      <xdr:nvSpPr>
        <xdr:cNvPr id="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195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127000</xdr:colOff>
      <xdr:row>31</xdr:row>
      <xdr:rowOff>12700</xdr:rowOff>
    </xdr:from>
    <xdr:ext cx="304800" cy="304800"/>
    <xdr:sp macro="" textlink="">
      <xdr:nvSpPr>
        <xdr:cNvPr id="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124700" y="57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304800" cy="304800"/>
    <xdr:sp macro="" textlink="">
      <xdr:nvSpPr>
        <xdr:cNvPr id="1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5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119742</xdr:rowOff>
    </xdr:to>
    <xdr:sp macro="" textlink="">
      <xdr:nvSpPr>
        <xdr:cNvPr id="12289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13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119743</xdr:rowOff>
    </xdr:to>
    <xdr:sp macro="" textlink="">
      <xdr:nvSpPr>
        <xdr:cNvPr id="1229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3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40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11</xdr:col>
      <xdr:colOff>0</xdr:colOff>
      <xdr:row>8</xdr:row>
      <xdr:rowOff>0</xdr:rowOff>
    </xdr:from>
    <xdr:ext cx="304800" cy="304800"/>
    <xdr:sp macro="" textlink="">
      <xdr:nvSpPr>
        <xdr:cNvPr id="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7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99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132443</xdr:rowOff>
    </xdr:to>
    <xdr:sp macro="" textlink="">
      <xdr:nvSpPr>
        <xdr:cNvPr id="8193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7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119744</xdr:rowOff>
    </xdr:to>
    <xdr:sp macro="" textlink="">
      <xdr:nvSpPr>
        <xdr:cNvPr id="8194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2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38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119744</xdr:rowOff>
    </xdr:to>
    <xdr:sp macro="" textlink="">
      <xdr:nvSpPr>
        <xdr:cNvPr id="8203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18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119743</xdr:rowOff>
    </xdr:to>
    <xdr:sp macro="" textlink="">
      <xdr:nvSpPr>
        <xdr:cNvPr id="8204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C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781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22</xdr:row>
      <xdr:rowOff>0</xdr:rowOff>
    </xdr:from>
    <xdr:ext cx="304800" cy="304800"/>
    <xdr:sp macro="" textlink="">
      <xdr:nvSpPr>
        <xdr:cNvPr id="20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7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</xdr:row>
      <xdr:rowOff>0</xdr:rowOff>
    </xdr:from>
    <xdr:ext cx="304800" cy="304800"/>
    <xdr:sp macro="" textlink="">
      <xdr:nvSpPr>
        <xdr:cNvPr id="21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38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</xdr:row>
      <xdr:rowOff>0</xdr:rowOff>
    </xdr:from>
    <xdr:ext cx="304800" cy="304800"/>
    <xdr:sp macro="" textlink="">
      <xdr:nvSpPr>
        <xdr:cNvPr id="22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18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30</xdr:row>
      <xdr:rowOff>0</xdr:rowOff>
    </xdr:from>
    <xdr:ext cx="304800" cy="304800"/>
    <xdr:sp macro="" textlink="">
      <xdr:nvSpPr>
        <xdr:cNvPr id="23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781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132443</xdr:rowOff>
    </xdr:to>
    <xdr:sp macro="" textlink="">
      <xdr:nvSpPr>
        <xdr:cNvPr id="8207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F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7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12700</xdr:rowOff>
    </xdr:from>
    <xdr:to>
      <xdr:col>1</xdr:col>
      <xdr:colOff>304800</xdr:colOff>
      <xdr:row>29</xdr:row>
      <xdr:rowOff>135619</xdr:rowOff>
    </xdr:to>
    <xdr:sp macro="" textlink="">
      <xdr:nvSpPr>
        <xdr:cNvPr id="8208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020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72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304800</xdr:colOff>
      <xdr:row>45</xdr:row>
      <xdr:rowOff>119744</xdr:rowOff>
    </xdr:to>
    <xdr:sp macro="" textlink="">
      <xdr:nvSpPr>
        <xdr:cNvPr id="82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1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6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119744</xdr:rowOff>
    </xdr:to>
    <xdr:sp macro="" textlink="">
      <xdr:nvSpPr>
        <xdr:cNvPr id="8210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220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2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304800</xdr:colOff>
      <xdr:row>7</xdr:row>
      <xdr:rowOff>119742</xdr:rowOff>
    </xdr:to>
    <xdr:sp macro="" textlink="">
      <xdr:nvSpPr>
        <xdr:cNvPr id="8211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2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57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304800</xdr:colOff>
      <xdr:row>8</xdr:row>
      <xdr:rowOff>119743</xdr:rowOff>
    </xdr:to>
    <xdr:sp macro="" textlink="">
      <xdr:nvSpPr>
        <xdr:cNvPr id="8212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42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64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1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200000}"/>
            </a:ext>
          </a:extLst>
        </xdr:cNvPr>
        <xdr:cNvSpPr>
          <a:spLocks noChangeAspect="1" noChangeArrowheads="1"/>
        </xdr:cNvSpPr>
      </xdr:nvSpPr>
      <xdr:spPr bwMode="auto">
        <a:xfrm>
          <a:off x="8166100" y="57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1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6200000}"/>
            </a:ext>
          </a:extLst>
        </xdr:cNvPr>
        <xdr:cNvSpPr>
          <a:spLocks noChangeAspect="1" noChangeArrowheads="1"/>
        </xdr:cNvSpPr>
      </xdr:nvSpPr>
      <xdr:spPr bwMode="auto">
        <a:xfrm>
          <a:off x="8166100" y="64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17</xdr:col>
      <xdr:colOff>0</xdr:colOff>
      <xdr:row>31</xdr:row>
      <xdr:rowOff>0</xdr:rowOff>
    </xdr:from>
    <xdr:ext cx="304800" cy="304800"/>
    <xdr:sp macro="" textlink="">
      <xdr:nvSpPr>
        <xdr:cNvPr id="32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08458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32</xdr:row>
      <xdr:rowOff>0</xdr:rowOff>
    </xdr:from>
    <xdr:ext cx="304800" cy="304800"/>
    <xdr:sp macro="" textlink="">
      <xdr:nvSpPr>
        <xdr:cNvPr id="33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0845800" y="19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18</xdr:col>
      <xdr:colOff>0</xdr:colOff>
      <xdr:row>31</xdr:row>
      <xdr:rowOff>0</xdr:rowOff>
    </xdr:from>
    <xdr:ext cx="304800" cy="304800"/>
    <xdr:sp macro="" textlink="">
      <xdr:nvSpPr>
        <xdr:cNvPr id="3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18</xdr:col>
      <xdr:colOff>0</xdr:colOff>
      <xdr:row>33</xdr:row>
      <xdr:rowOff>0</xdr:rowOff>
    </xdr:from>
    <xdr:ext cx="304800" cy="304800"/>
    <xdr:sp macro="" textlink="">
      <xdr:nvSpPr>
        <xdr:cNvPr id="3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1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15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1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8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76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1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15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304800</xdr:colOff>
      <xdr:row>9</xdr:row>
      <xdr:rowOff>119744</xdr:rowOff>
    </xdr:to>
    <xdr:sp macro="" textlink="">
      <xdr:nvSpPr>
        <xdr:cNvPr id="8218" name="AutoShape 2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A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76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1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15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304800</xdr:colOff>
      <xdr:row>10</xdr:row>
      <xdr:rowOff>119742</xdr:rowOff>
    </xdr:to>
    <xdr:sp macro="" textlink="">
      <xdr:nvSpPr>
        <xdr:cNvPr id="8220" name="AutoShape 2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C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76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119743</xdr:rowOff>
    </xdr:to>
    <xdr:sp macro="" textlink="">
      <xdr:nvSpPr>
        <xdr:cNvPr id="822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D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9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304800</xdr:colOff>
      <xdr:row>10</xdr:row>
      <xdr:rowOff>119742</xdr:rowOff>
    </xdr:to>
    <xdr:sp macro="" textlink="">
      <xdr:nvSpPr>
        <xdr:cNvPr id="8222" name="AutoShape 3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E2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25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4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4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4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4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5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5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304800" cy="304800"/>
    <xdr:sp macro="" textlink="">
      <xdr:nvSpPr>
        <xdr:cNvPr id="5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16713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25</xdr:row>
      <xdr:rowOff>0</xdr:rowOff>
    </xdr:from>
    <xdr:ext cx="304800" cy="304800"/>
    <xdr:sp macro="" textlink="">
      <xdr:nvSpPr>
        <xdr:cNvPr id="53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11125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31</xdr:row>
      <xdr:rowOff>0</xdr:rowOff>
    </xdr:from>
    <xdr:ext cx="304800" cy="304800"/>
    <xdr:sp macro="" textlink="">
      <xdr:nvSpPr>
        <xdr:cNvPr id="54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1112500" y="19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5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5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5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5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5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60" name="AutoShape 2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9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6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62" name="AutoShape 2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6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64" name="AutoShape 3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19380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45</xdr:row>
      <xdr:rowOff>0</xdr:rowOff>
    </xdr:from>
    <xdr:ext cx="304800" cy="304800"/>
    <xdr:sp macro="" textlink="">
      <xdr:nvSpPr>
        <xdr:cNvPr id="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46</xdr:row>
      <xdr:rowOff>0</xdr:rowOff>
    </xdr:from>
    <xdr:ext cx="304800" cy="304800"/>
    <xdr:sp macro="" textlink="">
      <xdr:nvSpPr>
        <xdr:cNvPr id="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47</xdr:row>
      <xdr:rowOff>0</xdr:rowOff>
    </xdr:from>
    <xdr:ext cx="304800" cy="304800"/>
    <xdr:sp macro="" textlink="">
      <xdr:nvSpPr>
        <xdr:cNvPr id="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47</xdr:row>
      <xdr:rowOff>0</xdr:rowOff>
    </xdr:from>
    <xdr:ext cx="304800" cy="304800"/>
    <xdr:sp macro="" textlink="">
      <xdr:nvSpPr>
        <xdr:cNvPr id="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48</xdr:row>
      <xdr:rowOff>0</xdr:rowOff>
    </xdr:from>
    <xdr:ext cx="304800" cy="304800"/>
    <xdr:sp macro="" textlink="">
      <xdr:nvSpPr>
        <xdr:cNvPr id="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48</xdr:row>
      <xdr:rowOff>0</xdr:rowOff>
    </xdr:from>
    <xdr:ext cx="304800" cy="304800"/>
    <xdr:sp macro="" textlink="">
      <xdr:nvSpPr>
        <xdr:cNvPr id="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49</xdr:row>
      <xdr:rowOff>0</xdr:rowOff>
    </xdr:from>
    <xdr:ext cx="304800" cy="304800"/>
    <xdr:sp macro="" textlink="">
      <xdr:nvSpPr>
        <xdr:cNvPr id="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49</xdr:row>
      <xdr:rowOff>0</xdr:rowOff>
    </xdr:from>
    <xdr:ext cx="304800" cy="304800"/>
    <xdr:sp macro="" textlink="">
      <xdr:nvSpPr>
        <xdr:cNvPr id="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50</xdr:row>
      <xdr:rowOff>0</xdr:rowOff>
    </xdr:from>
    <xdr:ext cx="304800" cy="304800"/>
    <xdr:sp macro="" textlink="">
      <xdr:nvSpPr>
        <xdr:cNvPr id="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50</xdr:row>
      <xdr:rowOff>0</xdr:rowOff>
    </xdr:from>
    <xdr:ext cx="304800" cy="304800"/>
    <xdr:sp macro="" textlink="">
      <xdr:nvSpPr>
        <xdr:cNvPr id="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51</xdr:row>
      <xdr:rowOff>0</xdr:rowOff>
    </xdr:from>
    <xdr:ext cx="304800" cy="304800"/>
    <xdr:sp macro="" textlink="">
      <xdr:nvSpPr>
        <xdr:cNvPr id="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51</xdr:row>
      <xdr:rowOff>0</xdr:rowOff>
    </xdr:from>
    <xdr:ext cx="304800" cy="304800"/>
    <xdr:sp macro="" textlink="">
      <xdr:nvSpPr>
        <xdr:cNvPr id="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52</xdr:row>
      <xdr:rowOff>0</xdr:rowOff>
    </xdr:from>
    <xdr:ext cx="304800" cy="304800"/>
    <xdr:sp macro="" textlink="">
      <xdr:nvSpPr>
        <xdr:cNvPr id="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52</xdr:row>
      <xdr:rowOff>0</xdr:rowOff>
    </xdr:from>
    <xdr:ext cx="304800" cy="304800"/>
    <xdr:sp macro="" textlink="">
      <xdr:nvSpPr>
        <xdr:cNvPr id="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53</xdr:row>
      <xdr:rowOff>0</xdr:rowOff>
    </xdr:from>
    <xdr:ext cx="304800" cy="304800"/>
    <xdr:sp macro="" textlink="">
      <xdr:nvSpPr>
        <xdr:cNvPr id="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53</xdr:row>
      <xdr:rowOff>0</xdr:rowOff>
    </xdr:from>
    <xdr:ext cx="304800" cy="304800"/>
    <xdr:sp macro="" textlink="">
      <xdr:nvSpPr>
        <xdr:cNvPr id="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66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54</xdr:row>
      <xdr:rowOff>0</xdr:rowOff>
    </xdr:from>
    <xdr:ext cx="304800" cy="304800"/>
    <xdr:sp macro="" textlink="">
      <xdr:nvSpPr>
        <xdr:cNvPr id="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986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73</xdr:row>
      <xdr:rowOff>0</xdr:rowOff>
    </xdr:from>
    <xdr:ext cx="304800" cy="304800"/>
    <xdr:sp macro="" textlink="">
      <xdr:nvSpPr>
        <xdr:cNvPr id="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92</xdr:row>
      <xdr:rowOff>0</xdr:rowOff>
    </xdr:from>
    <xdr:ext cx="304800" cy="304800"/>
    <xdr:sp macro="" textlink="">
      <xdr:nvSpPr>
        <xdr:cNvPr id="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7340600" y="155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1952464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2337313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2337313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359192</xdr:colOff>
      <xdr:row>130</xdr:row>
      <xdr:rowOff>141111</xdr:rowOff>
    </xdr:from>
    <xdr:ext cx="304800" cy="304800"/>
    <xdr:sp macro="" textlink="">
      <xdr:nvSpPr>
        <xdr:cNvPr id="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8748889" y="272087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272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272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272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272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10701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10701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10701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10701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10701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1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4918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1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4918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1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4918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1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4918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1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4918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1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4918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387670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261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1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7312121" y="4646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34</xdr:row>
      <xdr:rowOff>0</xdr:rowOff>
    </xdr:from>
    <xdr:ext cx="304800" cy="306853"/>
    <xdr:sp macro="" textlink="">
      <xdr:nvSpPr>
        <xdr:cNvPr id="122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1327374" y="1783131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26</xdr:row>
      <xdr:rowOff>0</xdr:rowOff>
    </xdr:from>
    <xdr:ext cx="304800" cy="306852"/>
    <xdr:sp macro="" textlink="">
      <xdr:nvSpPr>
        <xdr:cNvPr id="123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1327374" y="1988384"/>
          <a:ext cx="304800" cy="306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2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198838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31</xdr:row>
      <xdr:rowOff>0</xdr:rowOff>
    </xdr:from>
    <xdr:ext cx="304800" cy="304800"/>
    <xdr:sp macro="" textlink="">
      <xdr:nvSpPr>
        <xdr:cNvPr id="12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96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2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2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2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2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3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3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13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8389697" y="26041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63</xdr:row>
      <xdr:rowOff>0</xdr:rowOff>
    </xdr:from>
    <xdr:ext cx="304800" cy="306853"/>
    <xdr:sp macro="" textlink="">
      <xdr:nvSpPr>
        <xdr:cNvPr id="1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974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65</xdr:row>
      <xdr:rowOff>0</xdr:rowOff>
    </xdr:from>
    <xdr:ext cx="304800" cy="306853"/>
    <xdr:sp macro="" textlink="">
      <xdr:nvSpPr>
        <xdr:cNvPr id="13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1600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64</xdr:row>
      <xdr:rowOff>0</xdr:rowOff>
    </xdr:from>
    <xdr:ext cx="304800" cy="304800"/>
    <xdr:sp macro="" textlink="">
      <xdr:nvSpPr>
        <xdr:cNvPr id="1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995474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65</xdr:row>
      <xdr:rowOff>0</xdr:rowOff>
    </xdr:from>
    <xdr:ext cx="304800" cy="304800"/>
    <xdr:sp macro="" textlink="">
      <xdr:nvSpPr>
        <xdr:cNvPr id="1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66</xdr:row>
      <xdr:rowOff>0</xdr:rowOff>
    </xdr:from>
    <xdr:ext cx="304800" cy="304800"/>
    <xdr:sp macro="" textlink="">
      <xdr:nvSpPr>
        <xdr:cNvPr id="1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3652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66</xdr:row>
      <xdr:rowOff>0</xdr:rowOff>
    </xdr:from>
    <xdr:ext cx="304800" cy="304800"/>
    <xdr:sp macro="" textlink="">
      <xdr:nvSpPr>
        <xdr:cNvPr id="1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3652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67</xdr:row>
      <xdr:rowOff>0</xdr:rowOff>
    </xdr:from>
    <xdr:ext cx="304800" cy="304800"/>
    <xdr:sp macro="" textlink="">
      <xdr:nvSpPr>
        <xdr:cNvPr id="1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57050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67</xdr:row>
      <xdr:rowOff>0</xdr:rowOff>
    </xdr:from>
    <xdr:ext cx="304800" cy="304800"/>
    <xdr:sp macro="" textlink="">
      <xdr:nvSpPr>
        <xdr:cNvPr id="1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57050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68</xdr:row>
      <xdr:rowOff>0</xdr:rowOff>
    </xdr:from>
    <xdr:ext cx="304800" cy="304800"/>
    <xdr:sp macro="" textlink="">
      <xdr:nvSpPr>
        <xdr:cNvPr id="1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77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68</xdr:row>
      <xdr:rowOff>0</xdr:rowOff>
    </xdr:from>
    <xdr:ext cx="304800" cy="304800"/>
    <xdr:sp macro="" textlink="">
      <xdr:nvSpPr>
        <xdr:cNvPr id="1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77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69</xdr:row>
      <xdr:rowOff>0</xdr:rowOff>
    </xdr:from>
    <xdr:ext cx="304800" cy="304800"/>
    <xdr:sp macro="" textlink="">
      <xdr:nvSpPr>
        <xdr:cNvPr id="1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98101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69</xdr:row>
      <xdr:rowOff>0</xdr:rowOff>
    </xdr:from>
    <xdr:ext cx="304800" cy="304800"/>
    <xdr:sp macro="" textlink="">
      <xdr:nvSpPr>
        <xdr:cNvPr id="1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098101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1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18626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1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18626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71</xdr:row>
      <xdr:rowOff>0</xdr:rowOff>
    </xdr:from>
    <xdr:ext cx="304800" cy="304800"/>
    <xdr:sp macro="" textlink="">
      <xdr:nvSpPr>
        <xdr:cNvPr id="1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39151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71</xdr:row>
      <xdr:rowOff>0</xdr:rowOff>
    </xdr:from>
    <xdr:ext cx="304800" cy="304800"/>
    <xdr:sp macro="" textlink="">
      <xdr:nvSpPr>
        <xdr:cNvPr id="1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39151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72</xdr:row>
      <xdr:rowOff>0</xdr:rowOff>
    </xdr:from>
    <xdr:ext cx="304800" cy="304800"/>
    <xdr:sp macro="" textlink="">
      <xdr:nvSpPr>
        <xdr:cNvPr id="1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59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72</xdr:row>
      <xdr:rowOff>0</xdr:rowOff>
    </xdr:from>
    <xdr:ext cx="304800" cy="304800"/>
    <xdr:sp macro="" textlink="">
      <xdr:nvSpPr>
        <xdr:cNvPr id="1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59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73</xdr:row>
      <xdr:rowOff>0</xdr:rowOff>
    </xdr:from>
    <xdr:ext cx="304800" cy="304800"/>
    <xdr:sp macro="" textlink="">
      <xdr:nvSpPr>
        <xdr:cNvPr id="1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180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92</xdr:row>
      <xdr:rowOff>0</xdr:rowOff>
    </xdr:from>
    <xdr:ext cx="304800" cy="304800"/>
    <xdr:sp macro="" textlink="">
      <xdr:nvSpPr>
        <xdr:cNvPr id="1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82</xdr:row>
      <xdr:rowOff>0</xdr:rowOff>
    </xdr:from>
    <xdr:ext cx="304800" cy="306853"/>
    <xdr:sp macro="" textlink="">
      <xdr:nvSpPr>
        <xdr:cNvPr id="1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84</xdr:row>
      <xdr:rowOff>0</xdr:rowOff>
    </xdr:from>
    <xdr:ext cx="304800" cy="306853"/>
    <xdr:sp macro="" textlink="">
      <xdr:nvSpPr>
        <xdr:cNvPr id="15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83</xdr:row>
      <xdr:rowOff>0</xdr:rowOff>
    </xdr:from>
    <xdr:ext cx="304800" cy="304800"/>
    <xdr:sp macro="" textlink="">
      <xdr:nvSpPr>
        <xdr:cNvPr id="1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84</xdr:row>
      <xdr:rowOff>0</xdr:rowOff>
    </xdr:from>
    <xdr:ext cx="304800" cy="304800"/>
    <xdr:sp macro="" textlink="">
      <xdr:nvSpPr>
        <xdr:cNvPr id="1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85</xdr:row>
      <xdr:rowOff>0</xdr:rowOff>
    </xdr:from>
    <xdr:ext cx="304800" cy="304800"/>
    <xdr:sp macro="" textlink="">
      <xdr:nvSpPr>
        <xdr:cNvPr id="1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85</xdr:row>
      <xdr:rowOff>0</xdr:rowOff>
    </xdr:from>
    <xdr:ext cx="304800" cy="304800"/>
    <xdr:sp macro="" textlink="">
      <xdr:nvSpPr>
        <xdr:cNvPr id="1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86</xdr:row>
      <xdr:rowOff>0</xdr:rowOff>
    </xdr:from>
    <xdr:ext cx="304800" cy="304800"/>
    <xdr:sp macro="" textlink="">
      <xdr:nvSpPr>
        <xdr:cNvPr id="1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86</xdr:row>
      <xdr:rowOff>0</xdr:rowOff>
    </xdr:from>
    <xdr:ext cx="304800" cy="304800"/>
    <xdr:sp macro="" textlink="">
      <xdr:nvSpPr>
        <xdr:cNvPr id="1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87</xdr:row>
      <xdr:rowOff>0</xdr:rowOff>
    </xdr:from>
    <xdr:ext cx="304800" cy="304800"/>
    <xdr:sp macro="" textlink="">
      <xdr:nvSpPr>
        <xdr:cNvPr id="1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87</xdr:row>
      <xdr:rowOff>0</xdr:rowOff>
    </xdr:from>
    <xdr:ext cx="304800" cy="304800"/>
    <xdr:sp macro="" textlink="">
      <xdr:nvSpPr>
        <xdr:cNvPr id="1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88</xdr:row>
      <xdr:rowOff>0</xdr:rowOff>
    </xdr:from>
    <xdr:ext cx="304800" cy="304800"/>
    <xdr:sp macro="" textlink="">
      <xdr:nvSpPr>
        <xdr:cNvPr id="1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88</xdr:row>
      <xdr:rowOff>0</xdr:rowOff>
    </xdr:from>
    <xdr:ext cx="304800" cy="304800"/>
    <xdr:sp macro="" textlink="">
      <xdr:nvSpPr>
        <xdr:cNvPr id="1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1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1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90</xdr:row>
      <xdr:rowOff>0</xdr:rowOff>
    </xdr:from>
    <xdr:ext cx="304800" cy="304800"/>
    <xdr:sp macro="" textlink="">
      <xdr:nvSpPr>
        <xdr:cNvPr id="1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90</xdr:row>
      <xdr:rowOff>0</xdr:rowOff>
    </xdr:from>
    <xdr:ext cx="304800" cy="304800"/>
    <xdr:sp macro="" textlink="">
      <xdr:nvSpPr>
        <xdr:cNvPr id="1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91</xdr:row>
      <xdr:rowOff>0</xdr:rowOff>
    </xdr:from>
    <xdr:ext cx="304800" cy="304800"/>
    <xdr:sp macro="" textlink="">
      <xdr:nvSpPr>
        <xdr:cNvPr id="1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91</xdr:row>
      <xdr:rowOff>0</xdr:rowOff>
    </xdr:from>
    <xdr:ext cx="304800" cy="304800"/>
    <xdr:sp macro="" textlink="">
      <xdr:nvSpPr>
        <xdr:cNvPr id="1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92</xdr:row>
      <xdr:rowOff>0</xdr:rowOff>
    </xdr:from>
    <xdr:ext cx="304800" cy="304800"/>
    <xdr:sp macro="" textlink="">
      <xdr:nvSpPr>
        <xdr:cNvPr id="1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1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101</xdr:row>
      <xdr:rowOff>0</xdr:rowOff>
    </xdr:from>
    <xdr:ext cx="304800" cy="306853"/>
    <xdr:sp macro="" textlink="">
      <xdr:nvSpPr>
        <xdr:cNvPr id="1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103</xdr:row>
      <xdr:rowOff>0</xdr:rowOff>
    </xdr:from>
    <xdr:ext cx="304800" cy="306853"/>
    <xdr:sp macro="" textlink="">
      <xdr:nvSpPr>
        <xdr:cNvPr id="17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102</xdr:row>
      <xdr:rowOff>0</xdr:rowOff>
    </xdr:from>
    <xdr:ext cx="304800" cy="304800"/>
    <xdr:sp macro="" textlink="">
      <xdr:nvSpPr>
        <xdr:cNvPr id="1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103</xdr:row>
      <xdr:rowOff>0</xdr:rowOff>
    </xdr:from>
    <xdr:ext cx="304800" cy="304800"/>
    <xdr:sp macro="" textlink="">
      <xdr:nvSpPr>
        <xdr:cNvPr id="1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104</xdr:row>
      <xdr:rowOff>0</xdr:rowOff>
    </xdr:from>
    <xdr:ext cx="304800" cy="304800"/>
    <xdr:sp macro="" textlink="">
      <xdr:nvSpPr>
        <xdr:cNvPr id="1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104</xdr:row>
      <xdr:rowOff>0</xdr:rowOff>
    </xdr:from>
    <xdr:ext cx="304800" cy="304800"/>
    <xdr:sp macro="" textlink="">
      <xdr:nvSpPr>
        <xdr:cNvPr id="1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105</xdr:row>
      <xdr:rowOff>0</xdr:rowOff>
    </xdr:from>
    <xdr:ext cx="304800" cy="304800"/>
    <xdr:sp macro="" textlink="">
      <xdr:nvSpPr>
        <xdr:cNvPr id="1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105</xdr:row>
      <xdr:rowOff>0</xdr:rowOff>
    </xdr:from>
    <xdr:ext cx="304800" cy="304800"/>
    <xdr:sp macro="" textlink="">
      <xdr:nvSpPr>
        <xdr:cNvPr id="1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106</xdr:row>
      <xdr:rowOff>0</xdr:rowOff>
    </xdr:from>
    <xdr:ext cx="304800" cy="304800"/>
    <xdr:sp macro="" textlink="">
      <xdr:nvSpPr>
        <xdr:cNvPr id="1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106</xdr:row>
      <xdr:rowOff>0</xdr:rowOff>
    </xdr:from>
    <xdr:ext cx="304800" cy="304800"/>
    <xdr:sp macro="" textlink="">
      <xdr:nvSpPr>
        <xdr:cNvPr id="1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107</xdr:row>
      <xdr:rowOff>0</xdr:rowOff>
    </xdr:from>
    <xdr:ext cx="304800" cy="304800"/>
    <xdr:sp macro="" textlink="">
      <xdr:nvSpPr>
        <xdr:cNvPr id="1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107</xdr:row>
      <xdr:rowOff>0</xdr:rowOff>
    </xdr:from>
    <xdr:ext cx="304800" cy="304800"/>
    <xdr:sp macro="" textlink="">
      <xdr:nvSpPr>
        <xdr:cNvPr id="1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1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1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109</xdr:row>
      <xdr:rowOff>0</xdr:rowOff>
    </xdr:from>
    <xdr:ext cx="304800" cy="304800"/>
    <xdr:sp macro="" textlink="">
      <xdr:nvSpPr>
        <xdr:cNvPr id="1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109</xdr:row>
      <xdr:rowOff>0</xdr:rowOff>
    </xdr:from>
    <xdr:ext cx="304800" cy="304800"/>
    <xdr:sp macro="" textlink="">
      <xdr:nvSpPr>
        <xdr:cNvPr id="1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110</xdr:row>
      <xdr:rowOff>0</xdr:rowOff>
    </xdr:from>
    <xdr:ext cx="304800" cy="304800"/>
    <xdr:sp macro="" textlink="">
      <xdr:nvSpPr>
        <xdr:cNvPr id="1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110</xdr:row>
      <xdr:rowOff>0</xdr:rowOff>
    </xdr:from>
    <xdr:ext cx="304800" cy="304800"/>
    <xdr:sp macro="" textlink="">
      <xdr:nvSpPr>
        <xdr:cNvPr id="1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1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1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120</xdr:row>
      <xdr:rowOff>0</xdr:rowOff>
    </xdr:from>
    <xdr:ext cx="304800" cy="306853"/>
    <xdr:sp macro="" textlink="">
      <xdr:nvSpPr>
        <xdr:cNvPr id="1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122</xdr:row>
      <xdr:rowOff>0</xdr:rowOff>
    </xdr:from>
    <xdr:ext cx="304800" cy="306853"/>
    <xdr:sp macro="" textlink="">
      <xdr:nvSpPr>
        <xdr:cNvPr id="19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121</xdr:row>
      <xdr:rowOff>0</xdr:rowOff>
    </xdr:from>
    <xdr:ext cx="304800" cy="304800"/>
    <xdr:sp macro="" textlink="">
      <xdr:nvSpPr>
        <xdr:cNvPr id="1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122</xdr:row>
      <xdr:rowOff>0</xdr:rowOff>
    </xdr:from>
    <xdr:ext cx="304800" cy="304800"/>
    <xdr:sp macro="" textlink="">
      <xdr:nvSpPr>
        <xdr:cNvPr id="1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123</xdr:row>
      <xdr:rowOff>0</xdr:rowOff>
    </xdr:from>
    <xdr:ext cx="304800" cy="304800"/>
    <xdr:sp macro="" textlink="">
      <xdr:nvSpPr>
        <xdr:cNvPr id="1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123</xdr:row>
      <xdr:rowOff>0</xdr:rowOff>
    </xdr:from>
    <xdr:ext cx="304800" cy="304800"/>
    <xdr:sp macro="" textlink="">
      <xdr:nvSpPr>
        <xdr:cNvPr id="1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124</xdr:row>
      <xdr:rowOff>0</xdr:rowOff>
    </xdr:from>
    <xdr:ext cx="304800" cy="304800"/>
    <xdr:sp macro="" textlink="">
      <xdr:nvSpPr>
        <xdr:cNvPr id="1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124</xdr:row>
      <xdr:rowOff>0</xdr:rowOff>
    </xdr:from>
    <xdr:ext cx="304800" cy="304800"/>
    <xdr:sp macro="" textlink="">
      <xdr:nvSpPr>
        <xdr:cNvPr id="2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125</xdr:row>
      <xdr:rowOff>0</xdr:rowOff>
    </xdr:from>
    <xdr:ext cx="304800" cy="304800"/>
    <xdr:sp macro="" textlink="">
      <xdr:nvSpPr>
        <xdr:cNvPr id="2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125</xdr:row>
      <xdr:rowOff>0</xdr:rowOff>
    </xdr:from>
    <xdr:ext cx="304800" cy="304800"/>
    <xdr:sp macro="" textlink="">
      <xdr:nvSpPr>
        <xdr:cNvPr id="2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126</xdr:row>
      <xdr:rowOff>0</xdr:rowOff>
    </xdr:from>
    <xdr:ext cx="304800" cy="304800"/>
    <xdr:sp macro="" textlink="">
      <xdr:nvSpPr>
        <xdr:cNvPr id="2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126</xdr:row>
      <xdr:rowOff>0</xdr:rowOff>
    </xdr:from>
    <xdr:ext cx="304800" cy="304800"/>
    <xdr:sp macro="" textlink="">
      <xdr:nvSpPr>
        <xdr:cNvPr id="2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4800"/>
    <xdr:sp macro="" textlink="">
      <xdr:nvSpPr>
        <xdr:cNvPr id="2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4800"/>
    <xdr:sp macro="" textlink="">
      <xdr:nvSpPr>
        <xdr:cNvPr id="2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2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2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2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2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2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2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139</xdr:row>
      <xdr:rowOff>0</xdr:rowOff>
    </xdr:from>
    <xdr:ext cx="304800" cy="306853"/>
    <xdr:sp macro="" textlink="">
      <xdr:nvSpPr>
        <xdr:cNvPr id="2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141</xdr:row>
      <xdr:rowOff>0</xdr:rowOff>
    </xdr:from>
    <xdr:ext cx="304800" cy="306853"/>
    <xdr:sp macro="" textlink="">
      <xdr:nvSpPr>
        <xdr:cNvPr id="21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140</xdr:row>
      <xdr:rowOff>0</xdr:rowOff>
    </xdr:from>
    <xdr:ext cx="304800" cy="304800"/>
    <xdr:sp macro="" textlink="">
      <xdr:nvSpPr>
        <xdr:cNvPr id="2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141</xdr:row>
      <xdr:rowOff>0</xdr:rowOff>
    </xdr:from>
    <xdr:ext cx="304800" cy="304800"/>
    <xdr:sp macro="" textlink="">
      <xdr:nvSpPr>
        <xdr:cNvPr id="2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142</xdr:row>
      <xdr:rowOff>0</xdr:rowOff>
    </xdr:from>
    <xdr:ext cx="304800" cy="304800"/>
    <xdr:sp macro="" textlink="">
      <xdr:nvSpPr>
        <xdr:cNvPr id="2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142</xdr:row>
      <xdr:rowOff>0</xdr:rowOff>
    </xdr:from>
    <xdr:ext cx="304800" cy="304800"/>
    <xdr:sp macro="" textlink="">
      <xdr:nvSpPr>
        <xdr:cNvPr id="2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4800"/>
    <xdr:sp macro="" textlink="">
      <xdr:nvSpPr>
        <xdr:cNvPr id="2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4800"/>
    <xdr:sp macro="" textlink="">
      <xdr:nvSpPr>
        <xdr:cNvPr id="2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2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2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2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2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146</xdr:row>
      <xdr:rowOff>0</xdr:rowOff>
    </xdr:from>
    <xdr:ext cx="304800" cy="304800"/>
    <xdr:sp macro="" textlink="">
      <xdr:nvSpPr>
        <xdr:cNvPr id="2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146</xdr:row>
      <xdr:rowOff>0</xdr:rowOff>
    </xdr:from>
    <xdr:ext cx="304800" cy="304800"/>
    <xdr:sp macro="" textlink="">
      <xdr:nvSpPr>
        <xdr:cNvPr id="2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147</xdr:row>
      <xdr:rowOff>0</xdr:rowOff>
    </xdr:from>
    <xdr:ext cx="304800" cy="304800"/>
    <xdr:sp macro="" textlink="">
      <xdr:nvSpPr>
        <xdr:cNvPr id="2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147</xdr:row>
      <xdr:rowOff>0</xdr:rowOff>
    </xdr:from>
    <xdr:ext cx="304800" cy="304800"/>
    <xdr:sp macro="" textlink="">
      <xdr:nvSpPr>
        <xdr:cNvPr id="2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148</xdr:row>
      <xdr:rowOff>0</xdr:rowOff>
    </xdr:from>
    <xdr:ext cx="304800" cy="304800"/>
    <xdr:sp macro="" textlink="">
      <xdr:nvSpPr>
        <xdr:cNvPr id="2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148</xdr:row>
      <xdr:rowOff>0</xdr:rowOff>
    </xdr:from>
    <xdr:ext cx="304800" cy="304800"/>
    <xdr:sp macro="" textlink="">
      <xdr:nvSpPr>
        <xdr:cNvPr id="2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2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2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158</xdr:row>
      <xdr:rowOff>0</xdr:rowOff>
    </xdr:from>
    <xdr:ext cx="304800" cy="306853"/>
    <xdr:sp macro="" textlink="">
      <xdr:nvSpPr>
        <xdr:cNvPr id="2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6853"/>
    <xdr:sp macro="" textlink="">
      <xdr:nvSpPr>
        <xdr:cNvPr id="23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159</xdr:row>
      <xdr:rowOff>0</xdr:rowOff>
    </xdr:from>
    <xdr:ext cx="304800" cy="304800"/>
    <xdr:sp macro="" textlink="">
      <xdr:nvSpPr>
        <xdr:cNvPr id="2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4800"/>
    <xdr:sp macro="" textlink="">
      <xdr:nvSpPr>
        <xdr:cNvPr id="2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2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2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2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2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2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2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2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2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2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2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2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2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167</xdr:row>
      <xdr:rowOff>0</xdr:rowOff>
    </xdr:from>
    <xdr:ext cx="304800" cy="304800"/>
    <xdr:sp macro="" textlink="">
      <xdr:nvSpPr>
        <xdr:cNvPr id="2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167</xdr:row>
      <xdr:rowOff>0</xdr:rowOff>
    </xdr:from>
    <xdr:ext cx="304800" cy="304800"/>
    <xdr:sp macro="" textlink="">
      <xdr:nvSpPr>
        <xdr:cNvPr id="2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2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2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6853"/>
    <xdr:sp macro="" textlink="">
      <xdr:nvSpPr>
        <xdr:cNvPr id="2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6853"/>
    <xdr:sp macro="" textlink="">
      <xdr:nvSpPr>
        <xdr:cNvPr id="25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2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2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2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2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2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2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2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2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183</xdr:row>
      <xdr:rowOff>0</xdr:rowOff>
    </xdr:from>
    <xdr:ext cx="304800" cy="304800"/>
    <xdr:sp macro="" textlink="">
      <xdr:nvSpPr>
        <xdr:cNvPr id="2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183</xdr:row>
      <xdr:rowOff>0</xdr:rowOff>
    </xdr:from>
    <xdr:ext cx="304800" cy="304800"/>
    <xdr:sp macro="" textlink="">
      <xdr:nvSpPr>
        <xdr:cNvPr id="2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184</xdr:row>
      <xdr:rowOff>0</xdr:rowOff>
    </xdr:from>
    <xdr:ext cx="304800" cy="304800"/>
    <xdr:sp macro="" textlink="">
      <xdr:nvSpPr>
        <xdr:cNvPr id="2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184</xdr:row>
      <xdr:rowOff>0</xdr:rowOff>
    </xdr:from>
    <xdr:ext cx="304800" cy="304800"/>
    <xdr:sp macro="" textlink="">
      <xdr:nvSpPr>
        <xdr:cNvPr id="2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185</xdr:row>
      <xdr:rowOff>0</xdr:rowOff>
    </xdr:from>
    <xdr:ext cx="304800" cy="304800"/>
    <xdr:sp macro="" textlink="">
      <xdr:nvSpPr>
        <xdr:cNvPr id="2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185</xdr:row>
      <xdr:rowOff>0</xdr:rowOff>
    </xdr:from>
    <xdr:ext cx="304800" cy="304800"/>
    <xdr:sp macro="" textlink="">
      <xdr:nvSpPr>
        <xdr:cNvPr id="2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186</xdr:row>
      <xdr:rowOff>0</xdr:rowOff>
    </xdr:from>
    <xdr:ext cx="304800" cy="304800"/>
    <xdr:sp macro="" textlink="">
      <xdr:nvSpPr>
        <xdr:cNvPr id="2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186</xdr:row>
      <xdr:rowOff>0</xdr:rowOff>
    </xdr:from>
    <xdr:ext cx="304800" cy="304800"/>
    <xdr:sp macro="" textlink="">
      <xdr:nvSpPr>
        <xdr:cNvPr id="2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2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2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6853"/>
    <xdr:sp macro="" textlink="">
      <xdr:nvSpPr>
        <xdr:cNvPr id="2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6853"/>
    <xdr:sp macro="" textlink="">
      <xdr:nvSpPr>
        <xdr:cNvPr id="27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2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4800"/>
    <xdr:sp macro="" textlink="">
      <xdr:nvSpPr>
        <xdr:cNvPr id="2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199</xdr:row>
      <xdr:rowOff>0</xdr:rowOff>
    </xdr:from>
    <xdr:ext cx="304800" cy="304800"/>
    <xdr:sp macro="" textlink="">
      <xdr:nvSpPr>
        <xdr:cNvPr id="2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199</xdr:row>
      <xdr:rowOff>0</xdr:rowOff>
    </xdr:from>
    <xdr:ext cx="304800" cy="304800"/>
    <xdr:sp macro="" textlink="">
      <xdr:nvSpPr>
        <xdr:cNvPr id="2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200</xdr:row>
      <xdr:rowOff>0</xdr:rowOff>
    </xdr:from>
    <xdr:ext cx="304800" cy="304800"/>
    <xdr:sp macro="" textlink="">
      <xdr:nvSpPr>
        <xdr:cNvPr id="2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200</xdr:row>
      <xdr:rowOff>0</xdr:rowOff>
    </xdr:from>
    <xdr:ext cx="304800" cy="304800"/>
    <xdr:sp macro="" textlink="">
      <xdr:nvSpPr>
        <xdr:cNvPr id="2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201</xdr:row>
      <xdr:rowOff>0</xdr:rowOff>
    </xdr:from>
    <xdr:ext cx="304800" cy="304800"/>
    <xdr:sp macro="" textlink="">
      <xdr:nvSpPr>
        <xdr:cNvPr id="2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201</xdr:row>
      <xdr:rowOff>0</xdr:rowOff>
    </xdr:from>
    <xdr:ext cx="304800" cy="304800"/>
    <xdr:sp macro="" textlink="">
      <xdr:nvSpPr>
        <xdr:cNvPr id="2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202</xdr:row>
      <xdr:rowOff>0</xdr:rowOff>
    </xdr:from>
    <xdr:ext cx="304800" cy="304800"/>
    <xdr:sp macro="" textlink="">
      <xdr:nvSpPr>
        <xdr:cNvPr id="2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202</xdr:row>
      <xdr:rowOff>0</xdr:rowOff>
    </xdr:from>
    <xdr:ext cx="304800" cy="304800"/>
    <xdr:sp macro="" textlink="">
      <xdr:nvSpPr>
        <xdr:cNvPr id="2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203</xdr:row>
      <xdr:rowOff>0</xdr:rowOff>
    </xdr:from>
    <xdr:ext cx="304800" cy="304800"/>
    <xdr:sp macro="" textlink="">
      <xdr:nvSpPr>
        <xdr:cNvPr id="2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203</xdr:row>
      <xdr:rowOff>0</xdr:rowOff>
    </xdr:from>
    <xdr:ext cx="304800" cy="304800"/>
    <xdr:sp macro="" textlink="">
      <xdr:nvSpPr>
        <xdr:cNvPr id="2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0"/>
    <xdr:sp macro="" textlink="">
      <xdr:nvSpPr>
        <xdr:cNvPr id="2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0"/>
    <xdr:sp macro="" textlink="">
      <xdr:nvSpPr>
        <xdr:cNvPr id="2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2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2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2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9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3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559495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31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75191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39443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13676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32919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52161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7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490646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09888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2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3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548373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17</xdr:col>
      <xdr:colOff>0</xdr:colOff>
      <xdr:row>13</xdr:row>
      <xdr:rowOff>0</xdr:rowOff>
    </xdr:from>
    <xdr:to>
      <xdr:col>17</xdr:col>
      <xdr:colOff>304800</xdr:colOff>
      <xdr:row>14</xdr:row>
      <xdr:rowOff>119742</xdr:rowOff>
    </xdr:to>
    <xdr:sp macro="" textlink="">
      <xdr:nvSpPr>
        <xdr:cNvPr id="9217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240000}"/>
            </a:ext>
          </a:extLst>
        </xdr:cNvPr>
        <xdr:cNvSpPr>
          <a:spLocks noChangeAspect="1" noChangeArrowheads="1"/>
        </xdr:cNvSpPr>
      </xdr:nvSpPr>
      <xdr:spPr bwMode="auto">
        <a:xfrm>
          <a:off x="20408900" y="339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10</xdr:col>
      <xdr:colOff>0</xdr:colOff>
      <xdr:row>14</xdr:row>
      <xdr:rowOff>0</xdr:rowOff>
    </xdr:from>
    <xdr:ext cx="304800" cy="306852"/>
    <xdr:sp macro="" textlink="">
      <xdr:nvSpPr>
        <xdr:cNvPr id="332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20332828" y="3219899"/>
          <a:ext cx="304800" cy="306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12</xdr:col>
      <xdr:colOff>0</xdr:colOff>
      <xdr:row>47</xdr:row>
      <xdr:rowOff>0</xdr:rowOff>
    </xdr:from>
    <xdr:to>
      <xdr:col>12</xdr:col>
      <xdr:colOff>304800</xdr:colOff>
      <xdr:row>48</xdr:row>
      <xdr:rowOff>119743</xdr:rowOff>
    </xdr:to>
    <xdr:sp macro="" textlink="">
      <xdr:nvSpPr>
        <xdr:cNvPr id="2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2306300" y="104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62</xdr:row>
      <xdr:rowOff>0</xdr:rowOff>
    </xdr:from>
    <xdr:to>
      <xdr:col>12</xdr:col>
      <xdr:colOff>304800</xdr:colOff>
      <xdr:row>63</xdr:row>
      <xdr:rowOff>127129</xdr:rowOff>
    </xdr:to>
    <xdr:sp macro="" textlink="">
      <xdr:nvSpPr>
        <xdr:cNvPr id="333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0</xdr:colOff>
      <xdr:row>64</xdr:row>
      <xdr:rowOff>0</xdr:rowOff>
    </xdr:from>
    <xdr:ext cx="304800" cy="304800"/>
    <xdr:sp macro="" textlink="">
      <xdr:nvSpPr>
        <xdr:cNvPr id="343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97555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59</xdr:row>
      <xdr:rowOff>0</xdr:rowOff>
    </xdr:from>
    <xdr:ext cx="304800" cy="304800"/>
    <xdr:sp macro="" textlink="">
      <xdr:nvSpPr>
        <xdr:cNvPr id="34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96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4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4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4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4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4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5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67</xdr:row>
      <xdr:rowOff>0</xdr:rowOff>
    </xdr:from>
    <xdr:ext cx="304800" cy="304800"/>
    <xdr:sp macro="" textlink="">
      <xdr:nvSpPr>
        <xdr:cNvPr id="35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25913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58</xdr:row>
      <xdr:rowOff>0</xdr:rowOff>
    </xdr:from>
    <xdr:ext cx="304800" cy="304800"/>
    <xdr:sp macro="" textlink="">
      <xdr:nvSpPr>
        <xdr:cNvPr id="35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258454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67</xdr:row>
      <xdr:rowOff>0</xdr:rowOff>
    </xdr:from>
    <xdr:ext cx="304800" cy="304800"/>
    <xdr:sp macro="" textlink="">
      <xdr:nvSpPr>
        <xdr:cNvPr id="35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258454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71</xdr:row>
      <xdr:rowOff>0</xdr:rowOff>
    </xdr:from>
    <xdr:ext cx="304800" cy="304800"/>
    <xdr:sp macro="" textlink="">
      <xdr:nvSpPr>
        <xdr:cNvPr id="35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355949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5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5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5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5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5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0</xdr:rowOff>
    </xdr:from>
    <xdr:ext cx="304800" cy="304800"/>
    <xdr:sp macro="" textlink="">
      <xdr:nvSpPr>
        <xdr:cNvPr id="36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8505152" y="1414959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3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3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101</xdr:row>
      <xdr:rowOff>0</xdr:rowOff>
    </xdr:from>
    <xdr:ext cx="304800" cy="306853"/>
    <xdr:sp macro="" textlink="">
      <xdr:nvSpPr>
        <xdr:cNvPr id="3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241212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103</xdr:row>
      <xdr:rowOff>0</xdr:rowOff>
    </xdr:from>
    <xdr:ext cx="304800" cy="306853"/>
    <xdr:sp macro="" textlink="">
      <xdr:nvSpPr>
        <xdr:cNvPr id="37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626061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102</xdr:row>
      <xdr:rowOff>0</xdr:rowOff>
    </xdr:from>
    <xdr:ext cx="304800" cy="304800"/>
    <xdr:sp macro="" textlink="">
      <xdr:nvSpPr>
        <xdr:cNvPr id="3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43363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103</xdr:row>
      <xdr:rowOff>0</xdr:rowOff>
    </xdr:from>
    <xdr:ext cx="304800" cy="304800"/>
    <xdr:sp macro="" textlink="">
      <xdr:nvSpPr>
        <xdr:cNvPr id="3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62606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104</xdr:row>
      <xdr:rowOff>0</xdr:rowOff>
    </xdr:from>
    <xdr:ext cx="304800" cy="304800"/>
    <xdr:sp macro="" textlink="">
      <xdr:nvSpPr>
        <xdr:cNvPr id="3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81848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104</xdr:row>
      <xdr:rowOff>0</xdr:rowOff>
    </xdr:from>
    <xdr:ext cx="304800" cy="304800"/>
    <xdr:sp macro="" textlink="">
      <xdr:nvSpPr>
        <xdr:cNvPr id="3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81848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105</xdr:row>
      <xdr:rowOff>0</xdr:rowOff>
    </xdr:from>
    <xdr:ext cx="304800" cy="304800"/>
    <xdr:sp macro="" textlink="">
      <xdr:nvSpPr>
        <xdr:cNvPr id="3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01090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105</xdr:row>
      <xdr:rowOff>0</xdr:rowOff>
    </xdr:from>
    <xdr:ext cx="304800" cy="304800"/>
    <xdr:sp macro="" textlink="">
      <xdr:nvSpPr>
        <xdr:cNvPr id="3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01090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106</xdr:row>
      <xdr:rowOff>0</xdr:rowOff>
    </xdr:from>
    <xdr:ext cx="304800" cy="304800"/>
    <xdr:sp macro="" textlink="">
      <xdr:nvSpPr>
        <xdr:cNvPr id="3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20333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106</xdr:row>
      <xdr:rowOff>0</xdr:rowOff>
    </xdr:from>
    <xdr:ext cx="304800" cy="304800"/>
    <xdr:sp macro="" textlink="">
      <xdr:nvSpPr>
        <xdr:cNvPr id="3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20333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107</xdr:row>
      <xdr:rowOff>0</xdr:rowOff>
    </xdr:from>
    <xdr:ext cx="304800" cy="304800"/>
    <xdr:sp macro="" textlink="">
      <xdr:nvSpPr>
        <xdr:cNvPr id="3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39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107</xdr:row>
      <xdr:rowOff>0</xdr:rowOff>
    </xdr:from>
    <xdr:ext cx="304800" cy="304800"/>
    <xdr:sp macro="" textlink="">
      <xdr:nvSpPr>
        <xdr:cNvPr id="3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39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3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58818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3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58818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109</xdr:row>
      <xdr:rowOff>0</xdr:rowOff>
    </xdr:from>
    <xdr:ext cx="304800" cy="304800"/>
    <xdr:sp macro="" textlink="">
      <xdr:nvSpPr>
        <xdr:cNvPr id="3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78060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109</xdr:row>
      <xdr:rowOff>0</xdr:rowOff>
    </xdr:from>
    <xdr:ext cx="304800" cy="304800"/>
    <xdr:sp macro="" textlink="">
      <xdr:nvSpPr>
        <xdr:cNvPr id="3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78060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110</xdr:row>
      <xdr:rowOff>0</xdr:rowOff>
    </xdr:from>
    <xdr:ext cx="304800" cy="304800"/>
    <xdr:sp macro="" textlink="">
      <xdr:nvSpPr>
        <xdr:cNvPr id="3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973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110</xdr:row>
      <xdr:rowOff>0</xdr:rowOff>
    </xdr:from>
    <xdr:ext cx="304800" cy="304800"/>
    <xdr:sp macro="" textlink="">
      <xdr:nvSpPr>
        <xdr:cNvPr id="3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973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3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3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3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120</xdr:row>
      <xdr:rowOff>0</xdr:rowOff>
    </xdr:from>
    <xdr:ext cx="304800" cy="306853"/>
    <xdr:sp macro="" textlink="">
      <xdr:nvSpPr>
        <xdr:cNvPr id="3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241212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122</xdr:row>
      <xdr:rowOff>0</xdr:rowOff>
    </xdr:from>
    <xdr:ext cx="304800" cy="306853"/>
    <xdr:sp macro="" textlink="">
      <xdr:nvSpPr>
        <xdr:cNvPr id="39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626061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121</xdr:row>
      <xdr:rowOff>0</xdr:rowOff>
    </xdr:from>
    <xdr:ext cx="304800" cy="304800"/>
    <xdr:sp macro="" textlink="">
      <xdr:nvSpPr>
        <xdr:cNvPr id="3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43363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122</xdr:row>
      <xdr:rowOff>0</xdr:rowOff>
    </xdr:from>
    <xdr:ext cx="304800" cy="304800"/>
    <xdr:sp macro="" textlink="">
      <xdr:nvSpPr>
        <xdr:cNvPr id="3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62606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123</xdr:row>
      <xdr:rowOff>0</xdr:rowOff>
    </xdr:from>
    <xdr:ext cx="304800" cy="304800"/>
    <xdr:sp macro="" textlink="">
      <xdr:nvSpPr>
        <xdr:cNvPr id="3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81848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123</xdr:row>
      <xdr:rowOff>0</xdr:rowOff>
    </xdr:from>
    <xdr:ext cx="304800" cy="304800"/>
    <xdr:sp macro="" textlink="">
      <xdr:nvSpPr>
        <xdr:cNvPr id="3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81848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124</xdr:row>
      <xdr:rowOff>0</xdr:rowOff>
    </xdr:from>
    <xdr:ext cx="304800" cy="304800"/>
    <xdr:sp macro="" textlink="">
      <xdr:nvSpPr>
        <xdr:cNvPr id="3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01090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124</xdr:row>
      <xdr:rowOff>0</xdr:rowOff>
    </xdr:from>
    <xdr:ext cx="304800" cy="304800"/>
    <xdr:sp macro="" textlink="">
      <xdr:nvSpPr>
        <xdr:cNvPr id="3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01090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125</xdr:row>
      <xdr:rowOff>0</xdr:rowOff>
    </xdr:from>
    <xdr:ext cx="304800" cy="304800"/>
    <xdr:sp macro="" textlink="">
      <xdr:nvSpPr>
        <xdr:cNvPr id="4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20333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125</xdr:row>
      <xdr:rowOff>0</xdr:rowOff>
    </xdr:from>
    <xdr:ext cx="304800" cy="304800"/>
    <xdr:sp macro="" textlink="">
      <xdr:nvSpPr>
        <xdr:cNvPr id="4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20333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126</xdr:row>
      <xdr:rowOff>0</xdr:rowOff>
    </xdr:from>
    <xdr:ext cx="304800" cy="304800"/>
    <xdr:sp macro="" textlink="">
      <xdr:nvSpPr>
        <xdr:cNvPr id="4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39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126</xdr:row>
      <xdr:rowOff>0</xdr:rowOff>
    </xdr:from>
    <xdr:ext cx="304800" cy="304800"/>
    <xdr:sp macro="" textlink="">
      <xdr:nvSpPr>
        <xdr:cNvPr id="4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39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4800"/>
    <xdr:sp macro="" textlink="">
      <xdr:nvSpPr>
        <xdr:cNvPr id="4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58818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4800"/>
    <xdr:sp macro="" textlink="">
      <xdr:nvSpPr>
        <xdr:cNvPr id="4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58818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4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78060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4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78060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4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973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4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973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4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4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4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139</xdr:row>
      <xdr:rowOff>0</xdr:rowOff>
    </xdr:from>
    <xdr:ext cx="304800" cy="306853"/>
    <xdr:sp macro="" textlink="">
      <xdr:nvSpPr>
        <xdr:cNvPr id="4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241212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141</xdr:row>
      <xdr:rowOff>0</xdr:rowOff>
    </xdr:from>
    <xdr:ext cx="304800" cy="306853"/>
    <xdr:sp macro="" textlink="">
      <xdr:nvSpPr>
        <xdr:cNvPr id="41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626061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140</xdr:row>
      <xdr:rowOff>0</xdr:rowOff>
    </xdr:from>
    <xdr:ext cx="304800" cy="304800"/>
    <xdr:sp macro="" textlink="">
      <xdr:nvSpPr>
        <xdr:cNvPr id="4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43363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141</xdr:row>
      <xdr:rowOff>0</xdr:rowOff>
    </xdr:from>
    <xdr:ext cx="304800" cy="304800"/>
    <xdr:sp macro="" textlink="">
      <xdr:nvSpPr>
        <xdr:cNvPr id="4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62606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142</xdr:row>
      <xdr:rowOff>0</xdr:rowOff>
    </xdr:from>
    <xdr:ext cx="304800" cy="304800"/>
    <xdr:sp macro="" textlink="">
      <xdr:nvSpPr>
        <xdr:cNvPr id="4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81848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142</xdr:row>
      <xdr:rowOff>0</xdr:rowOff>
    </xdr:from>
    <xdr:ext cx="304800" cy="304800"/>
    <xdr:sp macro="" textlink="">
      <xdr:nvSpPr>
        <xdr:cNvPr id="4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781848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4800"/>
    <xdr:sp macro="" textlink="">
      <xdr:nvSpPr>
        <xdr:cNvPr id="4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01090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4800"/>
    <xdr:sp macro="" textlink="">
      <xdr:nvSpPr>
        <xdr:cNvPr id="4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01090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4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20333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4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20333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4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39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4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39575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146</xdr:row>
      <xdr:rowOff>0</xdr:rowOff>
    </xdr:from>
    <xdr:ext cx="304800" cy="304800"/>
    <xdr:sp macro="" textlink="">
      <xdr:nvSpPr>
        <xdr:cNvPr id="4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58818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146</xdr:row>
      <xdr:rowOff>0</xdr:rowOff>
    </xdr:from>
    <xdr:ext cx="304800" cy="304800"/>
    <xdr:sp macro="" textlink="">
      <xdr:nvSpPr>
        <xdr:cNvPr id="4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58818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147</xdr:row>
      <xdr:rowOff>0</xdr:rowOff>
    </xdr:from>
    <xdr:ext cx="304800" cy="304800"/>
    <xdr:sp macro="" textlink="">
      <xdr:nvSpPr>
        <xdr:cNvPr id="4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78060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147</xdr:row>
      <xdr:rowOff>0</xdr:rowOff>
    </xdr:from>
    <xdr:ext cx="304800" cy="304800"/>
    <xdr:sp macro="" textlink="">
      <xdr:nvSpPr>
        <xdr:cNvPr id="4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78060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148</xdr:row>
      <xdr:rowOff>0</xdr:rowOff>
    </xdr:from>
    <xdr:ext cx="304800" cy="304800"/>
    <xdr:sp macro="" textlink="">
      <xdr:nvSpPr>
        <xdr:cNvPr id="4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973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148</xdr:row>
      <xdr:rowOff>0</xdr:rowOff>
    </xdr:from>
    <xdr:ext cx="304800" cy="304800"/>
    <xdr:sp macro="" textlink="">
      <xdr:nvSpPr>
        <xdr:cNvPr id="4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8973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4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191654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158</xdr:row>
      <xdr:rowOff>0</xdr:rowOff>
    </xdr:from>
    <xdr:ext cx="304800" cy="306853"/>
    <xdr:sp macro="" textlink="">
      <xdr:nvSpPr>
        <xdr:cNvPr id="4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6853"/>
    <xdr:sp macro="" textlink="">
      <xdr:nvSpPr>
        <xdr:cNvPr id="438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159</xdr:row>
      <xdr:rowOff>0</xdr:rowOff>
    </xdr:from>
    <xdr:ext cx="304800" cy="304800"/>
    <xdr:sp macro="" textlink="">
      <xdr:nvSpPr>
        <xdr:cNvPr id="4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4800"/>
    <xdr:sp macro="" textlink="">
      <xdr:nvSpPr>
        <xdr:cNvPr id="4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4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4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4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4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4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4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4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4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4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4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4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4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167</xdr:row>
      <xdr:rowOff>0</xdr:rowOff>
    </xdr:from>
    <xdr:ext cx="304800" cy="304800"/>
    <xdr:sp macro="" textlink="">
      <xdr:nvSpPr>
        <xdr:cNvPr id="4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167</xdr:row>
      <xdr:rowOff>0</xdr:rowOff>
    </xdr:from>
    <xdr:ext cx="304800" cy="304800"/>
    <xdr:sp macro="" textlink="">
      <xdr:nvSpPr>
        <xdr:cNvPr id="4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158</xdr:row>
      <xdr:rowOff>0</xdr:rowOff>
    </xdr:from>
    <xdr:ext cx="304800" cy="306853"/>
    <xdr:sp macro="" textlink="">
      <xdr:nvSpPr>
        <xdr:cNvPr id="4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6853"/>
    <xdr:sp macro="" textlink="">
      <xdr:nvSpPr>
        <xdr:cNvPr id="45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159</xdr:row>
      <xdr:rowOff>0</xdr:rowOff>
    </xdr:from>
    <xdr:ext cx="304800" cy="304800"/>
    <xdr:sp macro="" textlink="">
      <xdr:nvSpPr>
        <xdr:cNvPr id="4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4800"/>
    <xdr:sp macro="" textlink="">
      <xdr:nvSpPr>
        <xdr:cNvPr id="4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4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4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4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4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4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4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4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4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4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4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4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4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167</xdr:row>
      <xdr:rowOff>0</xdr:rowOff>
    </xdr:from>
    <xdr:ext cx="304800" cy="304800"/>
    <xdr:sp macro="" textlink="">
      <xdr:nvSpPr>
        <xdr:cNvPr id="4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167</xdr:row>
      <xdr:rowOff>0</xdr:rowOff>
    </xdr:from>
    <xdr:ext cx="304800" cy="304800"/>
    <xdr:sp macro="" textlink="">
      <xdr:nvSpPr>
        <xdr:cNvPr id="4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4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4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4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4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4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4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6853"/>
    <xdr:sp macro="" textlink="">
      <xdr:nvSpPr>
        <xdr:cNvPr id="4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6853"/>
    <xdr:sp macro="" textlink="">
      <xdr:nvSpPr>
        <xdr:cNvPr id="48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4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4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4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4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4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4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4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4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183</xdr:row>
      <xdr:rowOff>0</xdr:rowOff>
    </xdr:from>
    <xdr:ext cx="304800" cy="304800"/>
    <xdr:sp macro="" textlink="">
      <xdr:nvSpPr>
        <xdr:cNvPr id="4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183</xdr:row>
      <xdr:rowOff>0</xdr:rowOff>
    </xdr:from>
    <xdr:ext cx="304800" cy="304800"/>
    <xdr:sp macro="" textlink="">
      <xdr:nvSpPr>
        <xdr:cNvPr id="4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184</xdr:row>
      <xdr:rowOff>0</xdr:rowOff>
    </xdr:from>
    <xdr:ext cx="304800" cy="304800"/>
    <xdr:sp macro="" textlink="">
      <xdr:nvSpPr>
        <xdr:cNvPr id="4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184</xdr:row>
      <xdr:rowOff>0</xdr:rowOff>
    </xdr:from>
    <xdr:ext cx="304800" cy="304800"/>
    <xdr:sp macro="" textlink="">
      <xdr:nvSpPr>
        <xdr:cNvPr id="4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185</xdr:row>
      <xdr:rowOff>0</xdr:rowOff>
    </xdr:from>
    <xdr:ext cx="304800" cy="304800"/>
    <xdr:sp macro="" textlink="">
      <xdr:nvSpPr>
        <xdr:cNvPr id="4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185</xdr:row>
      <xdr:rowOff>0</xdr:rowOff>
    </xdr:from>
    <xdr:ext cx="304800" cy="304800"/>
    <xdr:sp macro="" textlink="">
      <xdr:nvSpPr>
        <xdr:cNvPr id="4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186</xdr:row>
      <xdr:rowOff>0</xdr:rowOff>
    </xdr:from>
    <xdr:ext cx="304800" cy="304800"/>
    <xdr:sp macro="" textlink="">
      <xdr:nvSpPr>
        <xdr:cNvPr id="4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186</xdr:row>
      <xdr:rowOff>0</xdr:rowOff>
    </xdr:from>
    <xdr:ext cx="304800" cy="304800"/>
    <xdr:sp macro="" textlink="">
      <xdr:nvSpPr>
        <xdr:cNvPr id="4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5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5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5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6853"/>
    <xdr:sp macro="" textlink="">
      <xdr:nvSpPr>
        <xdr:cNvPr id="5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6853"/>
    <xdr:sp macro="" textlink="">
      <xdr:nvSpPr>
        <xdr:cNvPr id="50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5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5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5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5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5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5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5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5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183</xdr:row>
      <xdr:rowOff>0</xdr:rowOff>
    </xdr:from>
    <xdr:ext cx="304800" cy="304800"/>
    <xdr:sp macro="" textlink="">
      <xdr:nvSpPr>
        <xdr:cNvPr id="5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183</xdr:row>
      <xdr:rowOff>0</xdr:rowOff>
    </xdr:from>
    <xdr:ext cx="304800" cy="304800"/>
    <xdr:sp macro="" textlink="">
      <xdr:nvSpPr>
        <xdr:cNvPr id="5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184</xdr:row>
      <xdr:rowOff>0</xdr:rowOff>
    </xdr:from>
    <xdr:ext cx="304800" cy="304800"/>
    <xdr:sp macro="" textlink="">
      <xdr:nvSpPr>
        <xdr:cNvPr id="5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1415142</xdr:colOff>
      <xdr:row>183</xdr:row>
      <xdr:rowOff>181429</xdr:rowOff>
    </xdr:from>
    <xdr:ext cx="304800" cy="304800"/>
    <xdr:sp macro="" textlink="">
      <xdr:nvSpPr>
        <xdr:cNvPr id="5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7529285" y="365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185</xdr:row>
      <xdr:rowOff>0</xdr:rowOff>
    </xdr:from>
    <xdr:ext cx="304800" cy="304800"/>
    <xdr:sp macro="" textlink="">
      <xdr:nvSpPr>
        <xdr:cNvPr id="5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185</xdr:row>
      <xdr:rowOff>0</xdr:rowOff>
    </xdr:from>
    <xdr:ext cx="304800" cy="304800"/>
    <xdr:sp macro="" textlink="">
      <xdr:nvSpPr>
        <xdr:cNvPr id="5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186</xdr:row>
      <xdr:rowOff>0</xdr:rowOff>
    </xdr:from>
    <xdr:ext cx="304800" cy="304800"/>
    <xdr:sp macro="" textlink="">
      <xdr:nvSpPr>
        <xdr:cNvPr id="5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186</xdr:row>
      <xdr:rowOff>0</xdr:rowOff>
    </xdr:from>
    <xdr:ext cx="304800" cy="304800"/>
    <xdr:sp macro="" textlink="">
      <xdr:nvSpPr>
        <xdr:cNvPr id="5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5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6853"/>
    <xdr:sp macro="" textlink="">
      <xdr:nvSpPr>
        <xdr:cNvPr id="5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6853"/>
    <xdr:sp macro="" textlink="">
      <xdr:nvSpPr>
        <xdr:cNvPr id="528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5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4800"/>
    <xdr:sp macro="" textlink="">
      <xdr:nvSpPr>
        <xdr:cNvPr id="5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199</xdr:row>
      <xdr:rowOff>0</xdr:rowOff>
    </xdr:from>
    <xdr:ext cx="304800" cy="304800"/>
    <xdr:sp macro="" textlink="">
      <xdr:nvSpPr>
        <xdr:cNvPr id="5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199</xdr:row>
      <xdr:rowOff>0</xdr:rowOff>
    </xdr:from>
    <xdr:ext cx="304800" cy="304800"/>
    <xdr:sp macro="" textlink="">
      <xdr:nvSpPr>
        <xdr:cNvPr id="5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200</xdr:row>
      <xdr:rowOff>0</xdr:rowOff>
    </xdr:from>
    <xdr:ext cx="304800" cy="304800"/>
    <xdr:sp macro="" textlink="">
      <xdr:nvSpPr>
        <xdr:cNvPr id="5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200</xdr:row>
      <xdr:rowOff>0</xdr:rowOff>
    </xdr:from>
    <xdr:ext cx="304800" cy="304800"/>
    <xdr:sp macro="" textlink="">
      <xdr:nvSpPr>
        <xdr:cNvPr id="5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201</xdr:row>
      <xdr:rowOff>0</xdr:rowOff>
    </xdr:from>
    <xdr:ext cx="304800" cy="304800"/>
    <xdr:sp macro="" textlink="">
      <xdr:nvSpPr>
        <xdr:cNvPr id="5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201</xdr:row>
      <xdr:rowOff>0</xdr:rowOff>
    </xdr:from>
    <xdr:ext cx="304800" cy="304800"/>
    <xdr:sp macro="" textlink="">
      <xdr:nvSpPr>
        <xdr:cNvPr id="5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202</xdr:row>
      <xdr:rowOff>0</xdr:rowOff>
    </xdr:from>
    <xdr:ext cx="304800" cy="304800"/>
    <xdr:sp macro="" textlink="">
      <xdr:nvSpPr>
        <xdr:cNvPr id="5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202</xdr:row>
      <xdr:rowOff>0</xdr:rowOff>
    </xdr:from>
    <xdr:ext cx="304800" cy="304800"/>
    <xdr:sp macro="" textlink="">
      <xdr:nvSpPr>
        <xdr:cNvPr id="5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203</xdr:row>
      <xdr:rowOff>0</xdr:rowOff>
    </xdr:from>
    <xdr:ext cx="304800" cy="304800"/>
    <xdr:sp macro="" textlink="">
      <xdr:nvSpPr>
        <xdr:cNvPr id="5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203</xdr:row>
      <xdr:rowOff>0</xdr:rowOff>
    </xdr:from>
    <xdr:ext cx="304800" cy="304800"/>
    <xdr:sp macro="" textlink="">
      <xdr:nvSpPr>
        <xdr:cNvPr id="5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0"/>
    <xdr:sp macro="" textlink="">
      <xdr:nvSpPr>
        <xdr:cNvPr id="5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0"/>
    <xdr:sp macro="" textlink="">
      <xdr:nvSpPr>
        <xdr:cNvPr id="5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5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5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6853"/>
    <xdr:sp macro="" textlink="">
      <xdr:nvSpPr>
        <xdr:cNvPr id="5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6853"/>
    <xdr:sp macro="" textlink="">
      <xdr:nvSpPr>
        <xdr:cNvPr id="54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5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4800"/>
    <xdr:sp macro="" textlink="">
      <xdr:nvSpPr>
        <xdr:cNvPr id="5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199</xdr:row>
      <xdr:rowOff>0</xdr:rowOff>
    </xdr:from>
    <xdr:ext cx="304800" cy="304800"/>
    <xdr:sp macro="" textlink="">
      <xdr:nvSpPr>
        <xdr:cNvPr id="5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199</xdr:row>
      <xdr:rowOff>0</xdr:rowOff>
    </xdr:from>
    <xdr:ext cx="304800" cy="304800"/>
    <xdr:sp macro="" textlink="">
      <xdr:nvSpPr>
        <xdr:cNvPr id="5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200</xdr:row>
      <xdr:rowOff>0</xdr:rowOff>
    </xdr:from>
    <xdr:ext cx="304800" cy="304800"/>
    <xdr:sp macro="" textlink="">
      <xdr:nvSpPr>
        <xdr:cNvPr id="5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200</xdr:row>
      <xdr:rowOff>0</xdr:rowOff>
    </xdr:from>
    <xdr:ext cx="304800" cy="304800"/>
    <xdr:sp macro="" textlink="">
      <xdr:nvSpPr>
        <xdr:cNvPr id="5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201</xdr:row>
      <xdr:rowOff>0</xdr:rowOff>
    </xdr:from>
    <xdr:ext cx="304800" cy="304800"/>
    <xdr:sp macro="" textlink="">
      <xdr:nvSpPr>
        <xdr:cNvPr id="5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201</xdr:row>
      <xdr:rowOff>0</xdr:rowOff>
    </xdr:from>
    <xdr:ext cx="304800" cy="304800"/>
    <xdr:sp macro="" textlink="">
      <xdr:nvSpPr>
        <xdr:cNvPr id="5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202</xdr:row>
      <xdr:rowOff>0</xdr:rowOff>
    </xdr:from>
    <xdr:ext cx="304800" cy="304800"/>
    <xdr:sp macro="" textlink="">
      <xdr:nvSpPr>
        <xdr:cNvPr id="5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202</xdr:row>
      <xdr:rowOff>0</xdr:rowOff>
    </xdr:from>
    <xdr:ext cx="304800" cy="304800"/>
    <xdr:sp macro="" textlink="">
      <xdr:nvSpPr>
        <xdr:cNvPr id="5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203</xdr:row>
      <xdr:rowOff>0</xdr:rowOff>
    </xdr:from>
    <xdr:ext cx="304800" cy="304800"/>
    <xdr:sp macro="" textlink="">
      <xdr:nvSpPr>
        <xdr:cNvPr id="5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203</xdr:row>
      <xdr:rowOff>0</xdr:rowOff>
    </xdr:from>
    <xdr:ext cx="304800" cy="304800"/>
    <xdr:sp macro="" textlink="">
      <xdr:nvSpPr>
        <xdr:cNvPr id="5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0"/>
    <xdr:sp macro="" textlink="">
      <xdr:nvSpPr>
        <xdr:cNvPr id="5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0"/>
    <xdr:sp macro="" textlink="">
      <xdr:nvSpPr>
        <xdr:cNvPr id="5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5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5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5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5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57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5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59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5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6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618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6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24787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63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4403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63272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882515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0175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2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4024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59484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78727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2997969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7427576" y="301721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12</xdr:col>
      <xdr:colOff>0</xdr:colOff>
      <xdr:row>124</xdr:row>
      <xdr:rowOff>0</xdr:rowOff>
    </xdr:from>
    <xdr:to>
      <xdr:col>12</xdr:col>
      <xdr:colOff>304800</xdr:colOff>
      <xdr:row>125</xdr:row>
      <xdr:rowOff>119742</xdr:rowOff>
    </xdr:to>
    <xdr:sp macro="" textlink="">
      <xdr:nvSpPr>
        <xdr:cNvPr id="1024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280000}"/>
            </a:ext>
          </a:extLst>
        </xdr:cNvPr>
        <xdr:cNvSpPr>
          <a:spLocks noChangeAspect="1" noChangeArrowheads="1"/>
        </xdr:cNvSpPr>
      </xdr:nvSpPr>
      <xdr:spPr bwMode="auto">
        <a:xfrm>
          <a:off x="12306300" y="2541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</xdr:col>
      <xdr:colOff>0</xdr:colOff>
      <xdr:row>143</xdr:row>
      <xdr:rowOff>0</xdr:rowOff>
    </xdr:from>
    <xdr:ext cx="304800" cy="307975"/>
    <xdr:sp macro="" textlink="">
      <xdr:nvSpPr>
        <xdr:cNvPr id="65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12303125" y="252253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162</xdr:row>
      <xdr:rowOff>0</xdr:rowOff>
    </xdr:from>
    <xdr:ext cx="304800" cy="307975"/>
    <xdr:sp macro="" textlink="">
      <xdr:nvSpPr>
        <xdr:cNvPr id="65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12303125" y="252253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181</xdr:row>
      <xdr:rowOff>0</xdr:rowOff>
    </xdr:from>
    <xdr:ext cx="304800" cy="307975"/>
    <xdr:sp macro="" textlink="">
      <xdr:nvSpPr>
        <xdr:cNvPr id="65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12303125" y="252253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200</xdr:row>
      <xdr:rowOff>0</xdr:rowOff>
    </xdr:from>
    <xdr:ext cx="304800" cy="307975"/>
    <xdr:sp macro="" textlink="">
      <xdr:nvSpPr>
        <xdr:cNvPr id="66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12303125" y="252253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210</xdr:row>
      <xdr:rowOff>0</xdr:rowOff>
    </xdr:from>
    <xdr:ext cx="304800" cy="307975"/>
    <xdr:sp macro="" textlink="">
      <xdr:nvSpPr>
        <xdr:cNvPr id="66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12303125" y="252253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210</xdr:row>
      <xdr:rowOff>0</xdr:rowOff>
    </xdr:from>
    <xdr:ext cx="304800" cy="307975"/>
    <xdr:sp macro="" textlink="">
      <xdr:nvSpPr>
        <xdr:cNvPr id="66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12303125" y="252253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6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7454900" y="4447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4</xdr:row>
      <xdr:rowOff>190500</xdr:rowOff>
    </xdr:from>
    <xdr:to>
      <xdr:col>11</xdr:col>
      <xdr:colOff>304800</xdr:colOff>
      <xdr:row>6</xdr:row>
      <xdr:rowOff>125186</xdr:rowOff>
    </xdr:to>
    <xdr:sp macro="" textlink="">
      <xdr:nvSpPr>
        <xdr:cNvPr id="682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9906000" y="97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11</xdr:col>
      <xdr:colOff>0</xdr:colOff>
      <xdr:row>13</xdr:row>
      <xdr:rowOff>190500</xdr:rowOff>
    </xdr:from>
    <xdr:to>
      <xdr:col>11</xdr:col>
      <xdr:colOff>304800</xdr:colOff>
      <xdr:row>15</xdr:row>
      <xdr:rowOff>125185</xdr:rowOff>
    </xdr:to>
    <xdr:sp macro="" textlink="">
      <xdr:nvSpPr>
        <xdr:cNvPr id="683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00000000-0008-0000-07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9906000" y="28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oneCellAnchor>
    <xdr:from>
      <xdr:col>1</xdr:col>
      <xdr:colOff>0</xdr:colOff>
      <xdr:row>22</xdr:row>
      <xdr:rowOff>0</xdr:rowOff>
    </xdr:from>
    <xdr:ext cx="304800" cy="304800"/>
    <xdr:sp macro="" textlink="">
      <xdr:nvSpPr>
        <xdr:cNvPr id="68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5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29</xdr:row>
      <xdr:rowOff>0</xdr:rowOff>
    </xdr:from>
    <xdr:ext cx="304800" cy="304801"/>
    <xdr:sp macro="" textlink="">
      <xdr:nvSpPr>
        <xdr:cNvPr id="68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75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43</xdr:row>
      <xdr:rowOff>0</xdr:rowOff>
    </xdr:from>
    <xdr:ext cx="304800" cy="304800"/>
    <xdr:sp macro="" textlink="">
      <xdr:nvSpPr>
        <xdr:cNvPr id="686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5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50</xdr:row>
      <xdr:rowOff>0</xdr:rowOff>
    </xdr:from>
    <xdr:ext cx="304800" cy="304801"/>
    <xdr:sp macro="" textlink="">
      <xdr:nvSpPr>
        <xdr:cNvPr id="68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75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</xdr:row>
      <xdr:rowOff>0</xdr:rowOff>
    </xdr:from>
    <xdr:ext cx="304800" cy="304800"/>
    <xdr:sp macro="" textlink="">
      <xdr:nvSpPr>
        <xdr:cNvPr id="688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29</xdr:row>
      <xdr:rowOff>0</xdr:rowOff>
    </xdr:from>
    <xdr:ext cx="304800" cy="304801"/>
    <xdr:sp macro="" textlink="">
      <xdr:nvSpPr>
        <xdr:cNvPr id="68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87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38</xdr:row>
      <xdr:rowOff>0</xdr:rowOff>
    </xdr:from>
    <xdr:ext cx="304800" cy="304800"/>
    <xdr:sp macro="" textlink="">
      <xdr:nvSpPr>
        <xdr:cNvPr id="690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40</xdr:row>
      <xdr:rowOff>0</xdr:rowOff>
    </xdr:from>
    <xdr:ext cx="304800" cy="304800"/>
    <xdr:sp macro="" textlink="">
      <xdr:nvSpPr>
        <xdr:cNvPr id="691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1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40</xdr:row>
      <xdr:rowOff>0</xdr:rowOff>
    </xdr:from>
    <xdr:ext cx="304800" cy="304800"/>
    <xdr:sp macro="" textlink="">
      <xdr:nvSpPr>
        <xdr:cNvPr id="692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1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47</xdr:row>
      <xdr:rowOff>0</xdr:rowOff>
    </xdr:from>
    <xdr:ext cx="304800" cy="304799"/>
    <xdr:sp macro="" textlink="">
      <xdr:nvSpPr>
        <xdr:cNvPr id="693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8326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38</xdr:row>
      <xdr:rowOff>0</xdr:rowOff>
    </xdr:from>
    <xdr:ext cx="304800" cy="304800"/>
    <xdr:sp macro="" textlink="">
      <xdr:nvSpPr>
        <xdr:cNvPr id="694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40</xdr:row>
      <xdr:rowOff>0</xdr:rowOff>
    </xdr:from>
    <xdr:ext cx="304800" cy="304800"/>
    <xdr:sp macro="" textlink="">
      <xdr:nvSpPr>
        <xdr:cNvPr id="695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1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39</xdr:row>
      <xdr:rowOff>0</xdr:rowOff>
    </xdr:from>
    <xdr:ext cx="304800" cy="304800"/>
    <xdr:sp macro="" textlink="">
      <xdr:nvSpPr>
        <xdr:cNvPr id="696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20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46</xdr:row>
      <xdr:rowOff>0</xdr:rowOff>
    </xdr:from>
    <xdr:ext cx="304800" cy="304800"/>
    <xdr:sp macro="" textlink="">
      <xdr:nvSpPr>
        <xdr:cNvPr id="697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6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38</xdr:row>
      <xdr:rowOff>0</xdr:rowOff>
    </xdr:from>
    <xdr:ext cx="304800" cy="304800"/>
    <xdr:sp macro="" textlink="">
      <xdr:nvSpPr>
        <xdr:cNvPr id="698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44</xdr:row>
      <xdr:rowOff>12700</xdr:rowOff>
    </xdr:from>
    <xdr:ext cx="304800" cy="304801"/>
    <xdr:sp macro="" textlink="">
      <xdr:nvSpPr>
        <xdr:cNvPr id="699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6235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38</xdr:row>
      <xdr:rowOff>0</xdr:rowOff>
    </xdr:from>
    <xdr:ext cx="304800" cy="304800"/>
    <xdr:sp macro="" textlink="">
      <xdr:nvSpPr>
        <xdr:cNvPr id="700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45</xdr:row>
      <xdr:rowOff>0</xdr:rowOff>
    </xdr:from>
    <xdr:ext cx="304800" cy="304801"/>
    <xdr:sp macro="" textlink="">
      <xdr:nvSpPr>
        <xdr:cNvPr id="70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426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38</xdr:row>
      <xdr:rowOff>0</xdr:rowOff>
    </xdr:from>
    <xdr:ext cx="304800" cy="304800"/>
    <xdr:sp macro="" textlink="">
      <xdr:nvSpPr>
        <xdr:cNvPr id="70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45</xdr:row>
      <xdr:rowOff>0</xdr:rowOff>
    </xdr:from>
    <xdr:ext cx="304800" cy="304801"/>
    <xdr:sp macro="" textlink="">
      <xdr:nvSpPr>
        <xdr:cNvPr id="70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426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60</xdr:row>
      <xdr:rowOff>0</xdr:rowOff>
    </xdr:from>
    <xdr:ext cx="304800" cy="304801"/>
    <xdr:sp macro="" textlink="">
      <xdr:nvSpPr>
        <xdr:cNvPr id="7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9474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62</xdr:row>
      <xdr:rowOff>0</xdr:rowOff>
    </xdr:from>
    <xdr:ext cx="304800" cy="304801"/>
    <xdr:sp macro="" textlink="">
      <xdr:nvSpPr>
        <xdr:cNvPr id="705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98806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61</xdr:row>
      <xdr:rowOff>0</xdr:rowOff>
    </xdr:from>
    <xdr:ext cx="304800" cy="304800"/>
    <xdr:sp macro="" textlink="">
      <xdr:nvSpPr>
        <xdr:cNvPr id="7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967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62</xdr:row>
      <xdr:rowOff>0</xdr:rowOff>
    </xdr:from>
    <xdr:ext cx="304800" cy="304800"/>
    <xdr:sp macro="" textlink="">
      <xdr:nvSpPr>
        <xdr:cNvPr id="7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988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63</xdr:row>
      <xdr:rowOff>0</xdr:rowOff>
    </xdr:from>
    <xdr:ext cx="304800" cy="304800"/>
    <xdr:sp macro="" textlink="">
      <xdr:nvSpPr>
        <xdr:cNvPr id="7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0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63</xdr:row>
      <xdr:rowOff>0</xdr:rowOff>
    </xdr:from>
    <xdr:ext cx="304800" cy="304800"/>
    <xdr:sp macro="" textlink="">
      <xdr:nvSpPr>
        <xdr:cNvPr id="7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0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64</xdr:row>
      <xdr:rowOff>0</xdr:rowOff>
    </xdr:from>
    <xdr:ext cx="304800" cy="304800"/>
    <xdr:sp macro="" textlink="">
      <xdr:nvSpPr>
        <xdr:cNvPr id="7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28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64</xdr:row>
      <xdr:rowOff>0</xdr:rowOff>
    </xdr:from>
    <xdr:ext cx="304800" cy="304800"/>
    <xdr:sp macro="" textlink="">
      <xdr:nvSpPr>
        <xdr:cNvPr id="7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51435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65</xdr:row>
      <xdr:rowOff>0</xdr:rowOff>
    </xdr:from>
    <xdr:ext cx="304800" cy="304800"/>
    <xdr:sp macro="" textlink="">
      <xdr:nvSpPr>
        <xdr:cNvPr id="7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65</xdr:row>
      <xdr:rowOff>0</xdr:rowOff>
    </xdr:from>
    <xdr:ext cx="304800" cy="304800"/>
    <xdr:sp macro="" textlink="">
      <xdr:nvSpPr>
        <xdr:cNvPr id="7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</xdr:row>
      <xdr:rowOff>0</xdr:rowOff>
    </xdr:from>
    <xdr:ext cx="304800" cy="304800"/>
    <xdr:sp macro="" textlink="">
      <xdr:nvSpPr>
        <xdr:cNvPr id="71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27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54</xdr:row>
      <xdr:rowOff>0</xdr:rowOff>
    </xdr:from>
    <xdr:ext cx="304800" cy="304800"/>
    <xdr:sp macro="" textlink="">
      <xdr:nvSpPr>
        <xdr:cNvPr id="715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26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</xdr:row>
      <xdr:rowOff>0</xdr:rowOff>
    </xdr:from>
    <xdr:ext cx="304800" cy="304800"/>
    <xdr:sp macro="" textlink="">
      <xdr:nvSpPr>
        <xdr:cNvPr id="716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66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</xdr:row>
      <xdr:rowOff>0</xdr:rowOff>
    </xdr:from>
    <xdr:ext cx="304800" cy="304800"/>
    <xdr:sp macro="" textlink="">
      <xdr:nvSpPr>
        <xdr:cNvPr id="717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66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63</xdr:row>
      <xdr:rowOff>0</xdr:rowOff>
    </xdr:from>
    <xdr:ext cx="304800" cy="304799"/>
    <xdr:sp macro="" textlink="">
      <xdr:nvSpPr>
        <xdr:cNvPr id="718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0838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54</xdr:row>
      <xdr:rowOff>0</xdr:rowOff>
    </xdr:from>
    <xdr:ext cx="304800" cy="304800"/>
    <xdr:sp macro="" textlink="">
      <xdr:nvSpPr>
        <xdr:cNvPr id="719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26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</xdr:row>
      <xdr:rowOff>0</xdr:rowOff>
    </xdr:from>
    <xdr:ext cx="304800" cy="304800"/>
    <xdr:sp macro="" textlink="">
      <xdr:nvSpPr>
        <xdr:cNvPr id="720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66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55</xdr:row>
      <xdr:rowOff>0</xdr:rowOff>
    </xdr:from>
    <xdr:ext cx="304800" cy="304800"/>
    <xdr:sp macro="" textlink="">
      <xdr:nvSpPr>
        <xdr:cNvPr id="721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4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62</xdr:row>
      <xdr:rowOff>0</xdr:rowOff>
    </xdr:from>
    <xdr:ext cx="304800" cy="304800"/>
    <xdr:sp macro="" textlink="">
      <xdr:nvSpPr>
        <xdr:cNvPr id="722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88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54</xdr:row>
      <xdr:rowOff>0</xdr:rowOff>
    </xdr:from>
    <xdr:ext cx="304800" cy="304800"/>
    <xdr:sp macro="" textlink="">
      <xdr:nvSpPr>
        <xdr:cNvPr id="723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26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</xdr:row>
      <xdr:rowOff>12700</xdr:rowOff>
    </xdr:from>
    <xdr:ext cx="304800" cy="304801"/>
    <xdr:sp macro="" textlink="">
      <xdr:nvSpPr>
        <xdr:cNvPr id="724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9486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54</xdr:row>
      <xdr:rowOff>0</xdr:rowOff>
    </xdr:from>
    <xdr:ext cx="304800" cy="304800"/>
    <xdr:sp macro="" textlink="">
      <xdr:nvSpPr>
        <xdr:cNvPr id="725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26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61</xdr:row>
      <xdr:rowOff>0</xdr:rowOff>
    </xdr:from>
    <xdr:ext cx="304800" cy="304801"/>
    <xdr:sp macro="" textlink="">
      <xdr:nvSpPr>
        <xdr:cNvPr id="72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677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54</xdr:row>
      <xdr:rowOff>0</xdr:rowOff>
    </xdr:from>
    <xdr:ext cx="304800" cy="304800"/>
    <xdr:sp macro="" textlink="">
      <xdr:nvSpPr>
        <xdr:cNvPr id="727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26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61</xdr:row>
      <xdr:rowOff>0</xdr:rowOff>
    </xdr:from>
    <xdr:ext cx="304800" cy="304801"/>
    <xdr:sp macro="" textlink="">
      <xdr:nvSpPr>
        <xdr:cNvPr id="72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677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65</xdr:row>
      <xdr:rowOff>0</xdr:rowOff>
    </xdr:from>
    <xdr:ext cx="304800" cy="304800"/>
    <xdr:sp macro="" textlink="">
      <xdr:nvSpPr>
        <xdr:cNvPr id="7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65</xdr:row>
      <xdr:rowOff>0</xdr:rowOff>
    </xdr:from>
    <xdr:ext cx="304800" cy="304800"/>
    <xdr:sp macro="" textlink="">
      <xdr:nvSpPr>
        <xdr:cNvPr id="7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66</xdr:row>
      <xdr:rowOff>0</xdr:rowOff>
    </xdr:from>
    <xdr:ext cx="304800" cy="304800"/>
    <xdr:sp macro="" textlink="">
      <xdr:nvSpPr>
        <xdr:cNvPr id="7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66</xdr:row>
      <xdr:rowOff>0</xdr:rowOff>
    </xdr:from>
    <xdr:ext cx="304800" cy="304800"/>
    <xdr:sp macro="" textlink="">
      <xdr:nvSpPr>
        <xdr:cNvPr id="7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67</xdr:row>
      <xdr:rowOff>0</xdr:rowOff>
    </xdr:from>
    <xdr:ext cx="304800" cy="304800"/>
    <xdr:sp macro="" textlink="">
      <xdr:nvSpPr>
        <xdr:cNvPr id="7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67</xdr:row>
      <xdr:rowOff>0</xdr:rowOff>
    </xdr:from>
    <xdr:ext cx="304800" cy="304800"/>
    <xdr:sp macro="" textlink="">
      <xdr:nvSpPr>
        <xdr:cNvPr id="7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68</xdr:row>
      <xdr:rowOff>0</xdr:rowOff>
    </xdr:from>
    <xdr:ext cx="304800" cy="304800"/>
    <xdr:sp macro="" textlink="">
      <xdr:nvSpPr>
        <xdr:cNvPr id="7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68</xdr:row>
      <xdr:rowOff>0</xdr:rowOff>
    </xdr:from>
    <xdr:ext cx="304800" cy="304800"/>
    <xdr:sp macro="" textlink="">
      <xdr:nvSpPr>
        <xdr:cNvPr id="7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69</xdr:row>
      <xdr:rowOff>0</xdr:rowOff>
    </xdr:from>
    <xdr:ext cx="304800" cy="304800"/>
    <xdr:sp macro="" textlink="">
      <xdr:nvSpPr>
        <xdr:cNvPr id="7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69</xdr:row>
      <xdr:rowOff>0</xdr:rowOff>
    </xdr:from>
    <xdr:ext cx="304800" cy="304800"/>
    <xdr:sp macro="" textlink="">
      <xdr:nvSpPr>
        <xdr:cNvPr id="7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7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79</xdr:row>
      <xdr:rowOff>0</xdr:rowOff>
    </xdr:from>
    <xdr:ext cx="304800" cy="306853"/>
    <xdr:sp macro="" textlink="">
      <xdr:nvSpPr>
        <xdr:cNvPr id="7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81</xdr:row>
      <xdr:rowOff>0</xdr:rowOff>
    </xdr:from>
    <xdr:ext cx="304800" cy="306853"/>
    <xdr:sp macro="" textlink="">
      <xdr:nvSpPr>
        <xdr:cNvPr id="741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80</xdr:row>
      <xdr:rowOff>0</xdr:rowOff>
    </xdr:from>
    <xdr:ext cx="304800" cy="304800"/>
    <xdr:sp macro="" textlink="">
      <xdr:nvSpPr>
        <xdr:cNvPr id="7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81</xdr:row>
      <xdr:rowOff>0</xdr:rowOff>
    </xdr:from>
    <xdr:ext cx="304800" cy="304800"/>
    <xdr:sp macro="" textlink="">
      <xdr:nvSpPr>
        <xdr:cNvPr id="7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</xdr:row>
      <xdr:rowOff>0</xdr:rowOff>
    </xdr:from>
    <xdr:ext cx="304800" cy="304800"/>
    <xdr:sp macro="" textlink="">
      <xdr:nvSpPr>
        <xdr:cNvPr id="74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1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4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4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A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4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4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C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4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E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F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0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1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2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3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4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5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0</xdr:rowOff>
    </xdr:from>
    <xdr:ext cx="304800" cy="304800"/>
    <xdr:sp macro="" textlink="">
      <xdr:nvSpPr>
        <xdr:cNvPr id="75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602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457200</xdr:colOff>
      <xdr:row>70</xdr:row>
      <xdr:rowOff>165100</xdr:rowOff>
    </xdr:from>
    <xdr:ext cx="304800" cy="304801"/>
    <xdr:sp macro="" textlink="">
      <xdr:nvSpPr>
        <xdr:cNvPr id="75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20000}"/>
            </a:ext>
          </a:extLst>
        </xdr:cNvPr>
        <xdr:cNvSpPr>
          <a:spLocks noChangeAspect="1" noChangeArrowheads="1"/>
        </xdr:cNvSpPr>
      </xdr:nvSpPr>
      <xdr:spPr bwMode="auto">
        <a:xfrm>
          <a:off x="457200" y="14033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76</xdr:row>
      <xdr:rowOff>0</xdr:rowOff>
    </xdr:from>
    <xdr:ext cx="304800" cy="304801"/>
    <xdr:sp macro="" textlink="">
      <xdr:nvSpPr>
        <xdr:cNvPr id="7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8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700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78</xdr:row>
      <xdr:rowOff>0</xdr:rowOff>
    </xdr:from>
    <xdr:ext cx="304800" cy="304801"/>
    <xdr:sp macro="" textlink="">
      <xdr:nvSpPr>
        <xdr:cNvPr id="761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9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77</xdr:row>
      <xdr:rowOff>0</xdr:rowOff>
    </xdr:from>
    <xdr:ext cx="304800" cy="304800"/>
    <xdr:sp macro="" textlink="">
      <xdr:nvSpPr>
        <xdr:cNvPr id="7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8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78</xdr:row>
      <xdr:rowOff>0</xdr:rowOff>
    </xdr:from>
    <xdr:ext cx="304800" cy="304800"/>
    <xdr:sp macro="" textlink="">
      <xdr:nvSpPr>
        <xdr:cNvPr id="7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79</xdr:row>
      <xdr:rowOff>0</xdr:rowOff>
    </xdr:from>
    <xdr:ext cx="304800" cy="304800"/>
    <xdr:sp macro="" textlink="">
      <xdr:nvSpPr>
        <xdr:cNvPr id="7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79</xdr:row>
      <xdr:rowOff>0</xdr:rowOff>
    </xdr:from>
    <xdr:ext cx="304800" cy="304800"/>
    <xdr:sp macro="" textlink="">
      <xdr:nvSpPr>
        <xdr:cNvPr id="7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80</xdr:row>
      <xdr:rowOff>0</xdr:rowOff>
    </xdr:from>
    <xdr:ext cx="304800" cy="304800"/>
    <xdr:sp macro="" textlink="">
      <xdr:nvSpPr>
        <xdr:cNvPr id="7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80</xdr:row>
      <xdr:rowOff>0</xdr:rowOff>
    </xdr:from>
    <xdr:ext cx="304800" cy="304800"/>
    <xdr:sp macro="" textlink="">
      <xdr:nvSpPr>
        <xdr:cNvPr id="7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81</xdr:row>
      <xdr:rowOff>0</xdr:rowOff>
    </xdr:from>
    <xdr:ext cx="304800" cy="304800"/>
    <xdr:sp macro="" textlink="">
      <xdr:nvSpPr>
        <xdr:cNvPr id="7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81</xdr:row>
      <xdr:rowOff>0</xdr:rowOff>
    </xdr:from>
    <xdr:ext cx="304800" cy="304800"/>
    <xdr:sp macro="" textlink="">
      <xdr:nvSpPr>
        <xdr:cNvPr id="7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</xdr:row>
      <xdr:rowOff>0</xdr:rowOff>
    </xdr:from>
    <xdr:ext cx="304800" cy="304800"/>
    <xdr:sp macro="" textlink="">
      <xdr:nvSpPr>
        <xdr:cNvPr id="770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0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70</xdr:row>
      <xdr:rowOff>0</xdr:rowOff>
    </xdr:from>
    <xdr:ext cx="304800" cy="304800"/>
    <xdr:sp macro="" textlink="">
      <xdr:nvSpPr>
        <xdr:cNvPr id="771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</xdr:row>
      <xdr:rowOff>0</xdr:rowOff>
    </xdr:from>
    <xdr:ext cx="304800" cy="304800"/>
    <xdr:sp macro="" textlink="">
      <xdr:nvSpPr>
        <xdr:cNvPr id="772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</xdr:row>
      <xdr:rowOff>0</xdr:rowOff>
    </xdr:from>
    <xdr:ext cx="304800" cy="304800"/>
    <xdr:sp macro="" textlink="">
      <xdr:nvSpPr>
        <xdr:cNvPr id="773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</xdr:row>
      <xdr:rowOff>0</xdr:rowOff>
    </xdr:from>
    <xdr:ext cx="304800" cy="304799"/>
    <xdr:sp macro="" textlink="">
      <xdr:nvSpPr>
        <xdr:cNvPr id="774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715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70</xdr:row>
      <xdr:rowOff>0</xdr:rowOff>
    </xdr:from>
    <xdr:ext cx="304800" cy="304800"/>
    <xdr:sp macro="" textlink="">
      <xdr:nvSpPr>
        <xdr:cNvPr id="775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</xdr:row>
      <xdr:rowOff>0</xdr:rowOff>
    </xdr:from>
    <xdr:ext cx="304800" cy="304800"/>
    <xdr:sp macro="" textlink="">
      <xdr:nvSpPr>
        <xdr:cNvPr id="776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71</xdr:row>
      <xdr:rowOff>0</xdr:rowOff>
    </xdr:from>
    <xdr:ext cx="304800" cy="304800"/>
    <xdr:sp macro="" textlink="">
      <xdr:nvSpPr>
        <xdr:cNvPr id="777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2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78</xdr:row>
      <xdr:rowOff>0</xdr:rowOff>
    </xdr:from>
    <xdr:ext cx="304800" cy="304800"/>
    <xdr:sp macro="" textlink="">
      <xdr:nvSpPr>
        <xdr:cNvPr id="778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70</xdr:row>
      <xdr:rowOff>0</xdr:rowOff>
    </xdr:from>
    <xdr:ext cx="304800" cy="304800"/>
    <xdr:sp macro="" textlink="">
      <xdr:nvSpPr>
        <xdr:cNvPr id="779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</xdr:row>
      <xdr:rowOff>12700</xdr:rowOff>
    </xdr:from>
    <xdr:ext cx="304800" cy="304801"/>
    <xdr:sp macro="" textlink="">
      <xdr:nvSpPr>
        <xdr:cNvPr id="780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12712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70</xdr:row>
      <xdr:rowOff>0</xdr:rowOff>
    </xdr:from>
    <xdr:ext cx="304800" cy="304800"/>
    <xdr:sp macro="" textlink="">
      <xdr:nvSpPr>
        <xdr:cNvPr id="781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</xdr:row>
      <xdr:rowOff>0</xdr:rowOff>
    </xdr:from>
    <xdr:ext cx="304800" cy="304801"/>
    <xdr:sp macro="" textlink="">
      <xdr:nvSpPr>
        <xdr:cNvPr id="78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70</xdr:row>
      <xdr:rowOff>0</xdr:rowOff>
    </xdr:from>
    <xdr:ext cx="304800" cy="304800"/>
    <xdr:sp macro="" textlink="">
      <xdr:nvSpPr>
        <xdr:cNvPr id="783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</xdr:row>
      <xdr:rowOff>0</xdr:rowOff>
    </xdr:from>
    <xdr:ext cx="304800" cy="304801"/>
    <xdr:sp macro="" textlink="">
      <xdr:nvSpPr>
        <xdr:cNvPr id="78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81</xdr:row>
      <xdr:rowOff>0</xdr:rowOff>
    </xdr:from>
    <xdr:ext cx="304800" cy="304800"/>
    <xdr:sp macro="" textlink="">
      <xdr:nvSpPr>
        <xdr:cNvPr id="7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81</xdr:row>
      <xdr:rowOff>0</xdr:rowOff>
    </xdr:from>
    <xdr:ext cx="304800" cy="304800"/>
    <xdr:sp macro="" textlink="">
      <xdr:nvSpPr>
        <xdr:cNvPr id="7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82</xdr:row>
      <xdr:rowOff>0</xdr:rowOff>
    </xdr:from>
    <xdr:ext cx="304800" cy="304800"/>
    <xdr:sp macro="" textlink="">
      <xdr:nvSpPr>
        <xdr:cNvPr id="7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82</xdr:row>
      <xdr:rowOff>0</xdr:rowOff>
    </xdr:from>
    <xdr:ext cx="304800" cy="304800"/>
    <xdr:sp macro="" textlink="">
      <xdr:nvSpPr>
        <xdr:cNvPr id="7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83</xdr:row>
      <xdr:rowOff>0</xdr:rowOff>
    </xdr:from>
    <xdr:ext cx="304800" cy="304800"/>
    <xdr:sp macro="" textlink="">
      <xdr:nvSpPr>
        <xdr:cNvPr id="7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83</xdr:row>
      <xdr:rowOff>0</xdr:rowOff>
    </xdr:from>
    <xdr:ext cx="304800" cy="304800"/>
    <xdr:sp macro="" textlink="">
      <xdr:nvSpPr>
        <xdr:cNvPr id="7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84</xdr:row>
      <xdr:rowOff>0</xdr:rowOff>
    </xdr:from>
    <xdr:ext cx="304800" cy="304800"/>
    <xdr:sp macro="" textlink="">
      <xdr:nvSpPr>
        <xdr:cNvPr id="7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84</xdr:row>
      <xdr:rowOff>0</xdr:rowOff>
    </xdr:from>
    <xdr:ext cx="304800" cy="304800"/>
    <xdr:sp macro="" textlink="">
      <xdr:nvSpPr>
        <xdr:cNvPr id="7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85</xdr:row>
      <xdr:rowOff>0</xdr:rowOff>
    </xdr:from>
    <xdr:ext cx="304800" cy="304800"/>
    <xdr:sp macro="" textlink="">
      <xdr:nvSpPr>
        <xdr:cNvPr id="7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85</xdr:row>
      <xdr:rowOff>0</xdr:rowOff>
    </xdr:from>
    <xdr:ext cx="304800" cy="304800"/>
    <xdr:sp macro="" textlink="">
      <xdr:nvSpPr>
        <xdr:cNvPr id="7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86</xdr:row>
      <xdr:rowOff>0</xdr:rowOff>
    </xdr:from>
    <xdr:ext cx="304800" cy="304800"/>
    <xdr:sp macro="" textlink="">
      <xdr:nvSpPr>
        <xdr:cNvPr id="7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95</xdr:row>
      <xdr:rowOff>0</xdr:rowOff>
    </xdr:from>
    <xdr:ext cx="304800" cy="306853"/>
    <xdr:sp macro="" textlink="">
      <xdr:nvSpPr>
        <xdr:cNvPr id="7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6853"/>
    <xdr:sp macro="" textlink="">
      <xdr:nvSpPr>
        <xdr:cNvPr id="79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96</xdr:row>
      <xdr:rowOff>0</xdr:rowOff>
    </xdr:from>
    <xdr:ext cx="304800" cy="304800"/>
    <xdr:sp macro="" textlink="">
      <xdr:nvSpPr>
        <xdr:cNvPr id="7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7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</xdr:row>
      <xdr:rowOff>0</xdr:rowOff>
    </xdr:from>
    <xdr:ext cx="304800" cy="304800"/>
    <xdr:sp macro="" textlink="">
      <xdr:nvSpPr>
        <xdr:cNvPr id="80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1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0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1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1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1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1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0</xdr:rowOff>
    </xdr:from>
    <xdr:ext cx="304800" cy="304800"/>
    <xdr:sp macro="" textlink="">
      <xdr:nvSpPr>
        <xdr:cNvPr id="81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82</xdr:row>
      <xdr:rowOff>0</xdr:rowOff>
    </xdr:from>
    <xdr:ext cx="304800" cy="304801"/>
    <xdr:sp macro="" textlink="">
      <xdr:nvSpPr>
        <xdr:cNvPr id="81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06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92</xdr:row>
      <xdr:rowOff>0</xdr:rowOff>
    </xdr:from>
    <xdr:ext cx="304800" cy="304801"/>
    <xdr:sp macro="" textlink="">
      <xdr:nvSpPr>
        <xdr:cNvPr id="8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700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94</xdr:row>
      <xdr:rowOff>0</xdr:rowOff>
    </xdr:from>
    <xdr:ext cx="304800" cy="304801"/>
    <xdr:sp macro="" textlink="">
      <xdr:nvSpPr>
        <xdr:cNvPr id="81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93</xdr:row>
      <xdr:rowOff>0</xdr:rowOff>
    </xdr:from>
    <xdr:ext cx="304800" cy="304800"/>
    <xdr:sp macro="" textlink="">
      <xdr:nvSpPr>
        <xdr:cNvPr id="8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8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94</xdr:row>
      <xdr:rowOff>0</xdr:rowOff>
    </xdr:from>
    <xdr:ext cx="304800" cy="304800"/>
    <xdr:sp macro="" textlink="">
      <xdr:nvSpPr>
        <xdr:cNvPr id="8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95</xdr:row>
      <xdr:rowOff>0</xdr:rowOff>
    </xdr:from>
    <xdr:ext cx="304800" cy="304800"/>
    <xdr:sp macro="" textlink="">
      <xdr:nvSpPr>
        <xdr:cNvPr id="8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95</xdr:row>
      <xdr:rowOff>0</xdr:rowOff>
    </xdr:from>
    <xdr:ext cx="304800" cy="304800"/>
    <xdr:sp macro="" textlink="">
      <xdr:nvSpPr>
        <xdr:cNvPr id="8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96</xdr:row>
      <xdr:rowOff>0</xdr:rowOff>
    </xdr:from>
    <xdr:ext cx="304800" cy="304800"/>
    <xdr:sp macro="" textlink="">
      <xdr:nvSpPr>
        <xdr:cNvPr id="8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96</xdr:row>
      <xdr:rowOff>0</xdr:rowOff>
    </xdr:from>
    <xdr:ext cx="304800" cy="304800"/>
    <xdr:sp macro="" textlink="">
      <xdr:nvSpPr>
        <xdr:cNvPr id="8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8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8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</xdr:row>
      <xdr:rowOff>0</xdr:rowOff>
    </xdr:from>
    <xdr:ext cx="304800" cy="304800"/>
    <xdr:sp macro="" textlink="">
      <xdr:nvSpPr>
        <xdr:cNvPr id="826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0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86</xdr:row>
      <xdr:rowOff>0</xdr:rowOff>
    </xdr:from>
    <xdr:ext cx="304800" cy="304800"/>
    <xdr:sp macro="" textlink="">
      <xdr:nvSpPr>
        <xdr:cNvPr id="827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88</xdr:row>
      <xdr:rowOff>0</xdr:rowOff>
    </xdr:from>
    <xdr:ext cx="304800" cy="304800"/>
    <xdr:sp macro="" textlink="">
      <xdr:nvSpPr>
        <xdr:cNvPr id="828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88</xdr:row>
      <xdr:rowOff>0</xdr:rowOff>
    </xdr:from>
    <xdr:ext cx="304800" cy="304800"/>
    <xdr:sp macro="" textlink="">
      <xdr:nvSpPr>
        <xdr:cNvPr id="829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</xdr:row>
      <xdr:rowOff>0</xdr:rowOff>
    </xdr:from>
    <xdr:ext cx="304800" cy="304799"/>
    <xdr:sp macro="" textlink="">
      <xdr:nvSpPr>
        <xdr:cNvPr id="830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715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86</xdr:row>
      <xdr:rowOff>0</xdr:rowOff>
    </xdr:from>
    <xdr:ext cx="304800" cy="304800"/>
    <xdr:sp macro="" textlink="">
      <xdr:nvSpPr>
        <xdr:cNvPr id="831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88</xdr:row>
      <xdr:rowOff>0</xdr:rowOff>
    </xdr:from>
    <xdr:ext cx="304800" cy="304800"/>
    <xdr:sp macro="" textlink="">
      <xdr:nvSpPr>
        <xdr:cNvPr id="832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87</xdr:row>
      <xdr:rowOff>0</xdr:rowOff>
    </xdr:from>
    <xdr:ext cx="304800" cy="304800"/>
    <xdr:sp macro="" textlink="">
      <xdr:nvSpPr>
        <xdr:cNvPr id="833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2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</xdr:row>
      <xdr:rowOff>0</xdr:rowOff>
    </xdr:from>
    <xdr:ext cx="304800" cy="304800"/>
    <xdr:sp macro="" textlink="">
      <xdr:nvSpPr>
        <xdr:cNvPr id="834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86</xdr:row>
      <xdr:rowOff>0</xdr:rowOff>
    </xdr:from>
    <xdr:ext cx="304800" cy="304800"/>
    <xdr:sp macro="" textlink="">
      <xdr:nvSpPr>
        <xdr:cNvPr id="835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</xdr:row>
      <xdr:rowOff>12700</xdr:rowOff>
    </xdr:from>
    <xdr:ext cx="304800" cy="304801"/>
    <xdr:sp macro="" textlink="">
      <xdr:nvSpPr>
        <xdr:cNvPr id="836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12712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86</xdr:row>
      <xdr:rowOff>0</xdr:rowOff>
    </xdr:from>
    <xdr:ext cx="304800" cy="304800"/>
    <xdr:sp macro="" textlink="">
      <xdr:nvSpPr>
        <xdr:cNvPr id="837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1"/>
    <xdr:sp macro="" textlink="">
      <xdr:nvSpPr>
        <xdr:cNvPr id="83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86</xdr:row>
      <xdr:rowOff>0</xdr:rowOff>
    </xdr:from>
    <xdr:ext cx="304800" cy="304800"/>
    <xdr:sp macro="" textlink="">
      <xdr:nvSpPr>
        <xdr:cNvPr id="839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</xdr:row>
      <xdr:rowOff>0</xdr:rowOff>
    </xdr:from>
    <xdr:ext cx="304800" cy="304801"/>
    <xdr:sp macro="" textlink="">
      <xdr:nvSpPr>
        <xdr:cNvPr id="84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8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8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8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97</xdr:row>
      <xdr:rowOff>0</xdr:rowOff>
    </xdr:from>
    <xdr:ext cx="304800" cy="304800"/>
    <xdr:sp macro="" textlink="">
      <xdr:nvSpPr>
        <xdr:cNvPr id="8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98</xdr:row>
      <xdr:rowOff>0</xdr:rowOff>
    </xdr:from>
    <xdr:ext cx="304800" cy="304800"/>
    <xdr:sp macro="" textlink="">
      <xdr:nvSpPr>
        <xdr:cNvPr id="8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98</xdr:row>
      <xdr:rowOff>0</xdr:rowOff>
    </xdr:from>
    <xdr:ext cx="304800" cy="304800"/>
    <xdr:sp macro="" textlink="">
      <xdr:nvSpPr>
        <xdr:cNvPr id="8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99</xdr:row>
      <xdr:rowOff>0</xdr:rowOff>
    </xdr:from>
    <xdr:ext cx="304800" cy="304800"/>
    <xdr:sp macro="" textlink="">
      <xdr:nvSpPr>
        <xdr:cNvPr id="8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99</xdr:row>
      <xdr:rowOff>0</xdr:rowOff>
    </xdr:from>
    <xdr:ext cx="304800" cy="304800"/>
    <xdr:sp macro="" textlink="">
      <xdr:nvSpPr>
        <xdr:cNvPr id="8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100</xdr:row>
      <xdr:rowOff>0</xdr:rowOff>
    </xdr:from>
    <xdr:ext cx="304800" cy="304800"/>
    <xdr:sp macro="" textlink="">
      <xdr:nvSpPr>
        <xdr:cNvPr id="8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100</xdr:row>
      <xdr:rowOff>0</xdr:rowOff>
    </xdr:from>
    <xdr:ext cx="304800" cy="304800"/>
    <xdr:sp macro="" textlink="">
      <xdr:nvSpPr>
        <xdr:cNvPr id="8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101</xdr:row>
      <xdr:rowOff>0</xdr:rowOff>
    </xdr:from>
    <xdr:ext cx="304800" cy="304800"/>
    <xdr:sp macro="" textlink="">
      <xdr:nvSpPr>
        <xdr:cNvPr id="8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101</xdr:row>
      <xdr:rowOff>0</xdr:rowOff>
    </xdr:from>
    <xdr:ext cx="304800" cy="304800"/>
    <xdr:sp macro="" textlink="">
      <xdr:nvSpPr>
        <xdr:cNvPr id="8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102</xdr:row>
      <xdr:rowOff>0</xdr:rowOff>
    </xdr:from>
    <xdr:ext cx="304800" cy="304800"/>
    <xdr:sp macro="" textlink="">
      <xdr:nvSpPr>
        <xdr:cNvPr id="8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6853"/>
    <xdr:sp macro="" textlink="">
      <xdr:nvSpPr>
        <xdr:cNvPr id="8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6853"/>
    <xdr:sp macro="" textlink="">
      <xdr:nvSpPr>
        <xdr:cNvPr id="855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112</xdr:row>
      <xdr:rowOff>0</xdr:rowOff>
    </xdr:from>
    <xdr:ext cx="304800" cy="304800"/>
    <xdr:sp macro="" textlink="">
      <xdr:nvSpPr>
        <xdr:cNvPr id="8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8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</xdr:row>
      <xdr:rowOff>0</xdr:rowOff>
    </xdr:from>
    <xdr:ext cx="304800" cy="304800"/>
    <xdr:sp macro="" textlink="">
      <xdr:nvSpPr>
        <xdr:cNvPr id="85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1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5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6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7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7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0</xdr:rowOff>
    </xdr:from>
    <xdr:ext cx="304800" cy="304800"/>
    <xdr:sp macro="" textlink="">
      <xdr:nvSpPr>
        <xdr:cNvPr id="87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</xdr:row>
      <xdr:rowOff>0</xdr:rowOff>
    </xdr:from>
    <xdr:ext cx="304800" cy="304801"/>
    <xdr:sp macro="" textlink="">
      <xdr:nvSpPr>
        <xdr:cNvPr id="87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06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1"/>
    <xdr:sp macro="" textlink="">
      <xdr:nvSpPr>
        <xdr:cNvPr id="8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700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110</xdr:row>
      <xdr:rowOff>0</xdr:rowOff>
    </xdr:from>
    <xdr:ext cx="304800" cy="304801"/>
    <xdr:sp macro="" textlink="">
      <xdr:nvSpPr>
        <xdr:cNvPr id="875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109</xdr:row>
      <xdr:rowOff>0</xdr:rowOff>
    </xdr:from>
    <xdr:ext cx="304800" cy="304800"/>
    <xdr:sp macro="" textlink="">
      <xdr:nvSpPr>
        <xdr:cNvPr id="8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8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110</xdr:row>
      <xdr:rowOff>0</xdr:rowOff>
    </xdr:from>
    <xdr:ext cx="304800" cy="304800"/>
    <xdr:sp macro="" textlink="">
      <xdr:nvSpPr>
        <xdr:cNvPr id="8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8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111</xdr:row>
      <xdr:rowOff>0</xdr:rowOff>
    </xdr:from>
    <xdr:ext cx="304800" cy="304800"/>
    <xdr:sp macro="" textlink="">
      <xdr:nvSpPr>
        <xdr:cNvPr id="8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112</xdr:row>
      <xdr:rowOff>0</xdr:rowOff>
    </xdr:from>
    <xdr:ext cx="304800" cy="304800"/>
    <xdr:sp macro="" textlink="">
      <xdr:nvSpPr>
        <xdr:cNvPr id="8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112</xdr:row>
      <xdr:rowOff>0</xdr:rowOff>
    </xdr:from>
    <xdr:ext cx="304800" cy="304800"/>
    <xdr:sp macro="" textlink="">
      <xdr:nvSpPr>
        <xdr:cNvPr id="8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8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8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</xdr:row>
      <xdr:rowOff>0</xdr:rowOff>
    </xdr:from>
    <xdr:ext cx="304800" cy="304800"/>
    <xdr:sp macro="" textlink="">
      <xdr:nvSpPr>
        <xdr:cNvPr id="88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0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885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104</xdr:row>
      <xdr:rowOff>0</xdr:rowOff>
    </xdr:from>
    <xdr:ext cx="304800" cy="304800"/>
    <xdr:sp macro="" textlink="">
      <xdr:nvSpPr>
        <xdr:cNvPr id="886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104</xdr:row>
      <xdr:rowOff>0</xdr:rowOff>
    </xdr:from>
    <xdr:ext cx="304800" cy="304800"/>
    <xdr:sp macro="" textlink="">
      <xdr:nvSpPr>
        <xdr:cNvPr id="887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111</xdr:row>
      <xdr:rowOff>0</xdr:rowOff>
    </xdr:from>
    <xdr:ext cx="304800" cy="304799"/>
    <xdr:sp macro="" textlink="">
      <xdr:nvSpPr>
        <xdr:cNvPr id="888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715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889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104</xdr:row>
      <xdr:rowOff>0</xdr:rowOff>
    </xdr:from>
    <xdr:ext cx="304800" cy="304800"/>
    <xdr:sp macro="" textlink="">
      <xdr:nvSpPr>
        <xdr:cNvPr id="890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103</xdr:row>
      <xdr:rowOff>0</xdr:rowOff>
    </xdr:from>
    <xdr:ext cx="304800" cy="304800"/>
    <xdr:sp macro="" textlink="">
      <xdr:nvSpPr>
        <xdr:cNvPr id="891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2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</xdr:row>
      <xdr:rowOff>0</xdr:rowOff>
    </xdr:from>
    <xdr:ext cx="304800" cy="304800"/>
    <xdr:sp macro="" textlink="">
      <xdr:nvSpPr>
        <xdr:cNvPr id="892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893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108</xdr:row>
      <xdr:rowOff>12700</xdr:rowOff>
    </xdr:from>
    <xdr:ext cx="304800" cy="304801"/>
    <xdr:sp macro="" textlink="">
      <xdr:nvSpPr>
        <xdr:cNvPr id="894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12712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895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109</xdr:row>
      <xdr:rowOff>0</xdr:rowOff>
    </xdr:from>
    <xdr:ext cx="304800" cy="304801"/>
    <xdr:sp macro="" textlink="">
      <xdr:nvSpPr>
        <xdr:cNvPr id="89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102</xdr:row>
      <xdr:rowOff>0</xdr:rowOff>
    </xdr:from>
    <xdr:ext cx="304800" cy="304800"/>
    <xdr:sp macro="" textlink="">
      <xdr:nvSpPr>
        <xdr:cNvPr id="897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109</xdr:row>
      <xdr:rowOff>0</xdr:rowOff>
    </xdr:from>
    <xdr:ext cx="304800" cy="304801"/>
    <xdr:sp macro="" textlink="">
      <xdr:nvSpPr>
        <xdr:cNvPr id="89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8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9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9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113</xdr:row>
      <xdr:rowOff>0</xdr:rowOff>
    </xdr:from>
    <xdr:ext cx="304800" cy="304800"/>
    <xdr:sp macro="" textlink="">
      <xdr:nvSpPr>
        <xdr:cNvPr id="9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114</xdr:row>
      <xdr:rowOff>0</xdr:rowOff>
    </xdr:from>
    <xdr:ext cx="304800" cy="304800"/>
    <xdr:sp macro="" textlink="">
      <xdr:nvSpPr>
        <xdr:cNvPr id="9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114</xdr:row>
      <xdr:rowOff>0</xdr:rowOff>
    </xdr:from>
    <xdr:ext cx="304800" cy="304800"/>
    <xdr:sp macro="" textlink="">
      <xdr:nvSpPr>
        <xdr:cNvPr id="9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115</xdr:row>
      <xdr:rowOff>0</xdr:rowOff>
    </xdr:from>
    <xdr:ext cx="304800" cy="304800"/>
    <xdr:sp macro="" textlink="">
      <xdr:nvSpPr>
        <xdr:cNvPr id="9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115</xdr:row>
      <xdr:rowOff>0</xdr:rowOff>
    </xdr:from>
    <xdr:ext cx="304800" cy="304800"/>
    <xdr:sp macro="" textlink="">
      <xdr:nvSpPr>
        <xdr:cNvPr id="9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116</xdr:row>
      <xdr:rowOff>0</xdr:rowOff>
    </xdr:from>
    <xdr:ext cx="304800" cy="304800"/>
    <xdr:sp macro="" textlink="">
      <xdr:nvSpPr>
        <xdr:cNvPr id="9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116</xdr:row>
      <xdr:rowOff>0</xdr:rowOff>
    </xdr:from>
    <xdr:ext cx="304800" cy="304800"/>
    <xdr:sp macro="" textlink="">
      <xdr:nvSpPr>
        <xdr:cNvPr id="9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117</xdr:row>
      <xdr:rowOff>0</xdr:rowOff>
    </xdr:from>
    <xdr:ext cx="304800" cy="304800"/>
    <xdr:sp macro="" textlink="">
      <xdr:nvSpPr>
        <xdr:cNvPr id="9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117</xdr:row>
      <xdr:rowOff>0</xdr:rowOff>
    </xdr:from>
    <xdr:ext cx="304800" cy="304800"/>
    <xdr:sp macro="" textlink="">
      <xdr:nvSpPr>
        <xdr:cNvPr id="9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118</xdr:row>
      <xdr:rowOff>0</xdr:rowOff>
    </xdr:from>
    <xdr:ext cx="304800" cy="304800"/>
    <xdr:sp macro="" textlink="">
      <xdr:nvSpPr>
        <xdr:cNvPr id="9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6853"/>
    <xdr:sp macro="" textlink="">
      <xdr:nvSpPr>
        <xdr:cNvPr id="9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6853"/>
    <xdr:sp macro="" textlink="">
      <xdr:nvSpPr>
        <xdr:cNvPr id="91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9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122</xdr:row>
      <xdr:rowOff>0</xdr:rowOff>
    </xdr:from>
    <xdr:ext cx="304800" cy="304800"/>
    <xdr:sp macro="" textlink="">
      <xdr:nvSpPr>
        <xdr:cNvPr id="91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1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1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1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1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2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0</xdr:rowOff>
    </xdr:from>
    <xdr:ext cx="304800" cy="304800"/>
    <xdr:sp macro="" textlink="">
      <xdr:nvSpPr>
        <xdr:cNvPr id="93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114</xdr:row>
      <xdr:rowOff>0</xdr:rowOff>
    </xdr:from>
    <xdr:ext cx="304800" cy="304801"/>
    <xdr:sp macro="" textlink="">
      <xdr:nvSpPr>
        <xdr:cNvPr id="93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06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124</xdr:row>
      <xdr:rowOff>0</xdr:rowOff>
    </xdr:from>
    <xdr:ext cx="304800" cy="304801"/>
    <xdr:sp macro="" textlink="">
      <xdr:nvSpPr>
        <xdr:cNvPr id="9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700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126</xdr:row>
      <xdr:rowOff>0</xdr:rowOff>
    </xdr:from>
    <xdr:ext cx="304800" cy="304801"/>
    <xdr:sp macro="" textlink="">
      <xdr:nvSpPr>
        <xdr:cNvPr id="93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125</xdr:row>
      <xdr:rowOff>0</xdr:rowOff>
    </xdr:from>
    <xdr:ext cx="304800" cy="304800"/>
    <xdr:sp macro="" textlink="">
      <xdr:nvSpPr>
        <xdr:cNvPr id="9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8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126</xdr:row>
      <xdr:rowOff>0</xdr:rowOff>
    </xdr:from>
    <xdr:ext cx="304800" cy="304800"/>
    <xdr:sp macro="" textlink="">
      <xdr:nvSpPr>
        <xdr:cNvPr id="9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4800"/>
    <xdr:sp macro="" textlink="">
      <xdr:nvSpPr>
        <xdr:cNvPr id="9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127</xdr:row>
      <xdr:rowOff>0</xdr:rowOff>
    </xdr:from>
    <xdr:ext cx="304800" cy="304800"/>
    <xdr:sp macro="" textlink="">
      <xdr:nvSpPr>
        <xdr:cNvPr id="9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9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128</xdr:row>
      <xdr:rowOff>0</xdr:rowOff>
    </xdr:from>
    <xdr:ext cx="304800" cy="304800"/>
    <xdr:sp macro="" textlink="">
      <xdr:nvSpPr>
        <xdr:cNvPr id="9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123</xdr:row>
      <xdr:rowOff>0</xdr:rowOff>
    </xdr:from>
    <xdr:ext cx="304800" cy="304800"/>
    <xdr:sp macro="" textlink="">
      <xdr:nvSpPr>
        <xdr:cNvPr id="94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0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118</xdr:row>
      <xdr:rowOff>0</xdr:rowOff>
    </xdr:from>
    <xdr:ext cx="304800" cy="304800"/>
    <xdr:sp macro="" textlink="">
      <xdr:nvSpPr>
        <xdr:cNvPr id="943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120</xdr:row>
      <xdr:rowOff>0</xdr:rowOff>
    </xdr:from>
    <xdr:ext cx="304800" cy="304800"/>
    <xdr:sp macro="" textlink="">
      <xdr:nvSpPr>
        <xdr:cNvPr id="944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120</xdr:row>
      <xdr:rowOff>0</xdr:rowOff>
    </xdr:from>
    <xdr:ext cx="304800" cy="304800"/>
    <xdr:sp macro="" textlink="">
      <xdr:nvSpPr>
        <xdr:cNvPr id="945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127</xdr:row>
      <xdr:rowOff>0</xdr:rowOff>
    </xdr:from>
    <xdr:ext cx="304800" cy="304799"/>
    <xdr:sp macro="" textlink="">
      <xdr:nvSpPr>
        <xdr:cNvPr id="946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715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118</xdr:row>
      <xdr:rowOff>0</xdr:rowOff>
    </xdr:from>
    <xdr:ext cx="304800" cy="304800"/>
    <xdr:sp macro="" textlink="">
      <xdr:nvSpPr>
        <xdr:cNvPr id="947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120</xdr:row>
      <xdr:rowOff>0</xdr:rowOff>
    </xdr:from>
    <xdr:ext cx="304800" cy="304800"/>
    <xdr:sp macro="" textlink="">
      <xdr:nvSpPr>
        <xdr:cNvPr id="948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119</xdr:row>
      <xdr:rowOff>0</xdr:rowOff>
    </xdr:from>
    <xdr:ext cx="304800" cy="304800"/>
    <xdr:sp macro="" textlink="">
      <xdr:nvSpPr>
        <xdr:cNvPr id="949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2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126</xdr:row>
      <xdr:rowOff>0</xdr:rowOff>
    </xdr:from>
    <xdr:ext cx="304800" cy="304800"/>
    <xdr:sp macro="" textlink="">
      <xdr:nvSpPr>
        <xdr:cNvPr id="950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118</xdr:row>
      <xdr:rowOff>0</xdr:rowOff>
    </xdr:from>
    <xdr:ext cx="304800" cy="304800"/>
    <xdr:sp macro="" textlink="">
      <xdr:nvSpPr>
        <xdr:cNvPr id="951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124</xdr:row>
      <xdr:rowOff>12700</xdr:rowOff>
    </xdr:from>
    <xdr:ext cx="304800" cy="304801"/>
    <xdr:sp macro="" textlink="">
      <xdr:nvSpPr>
        <xdr:cNvPr id="952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803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12712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118</xdr:row>
      <xdr:rowOff>0</xdr:rowOff>
    </xdr:from>
    <xdr:ext cx="304800" cy="304800"/>
    <xdr:sp macro="" textlink="">
      <xdr:nvSpPr>
        <xdr:cNvPr id="953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125</xdr:row>
      <xdr:rowOff>0</xdr:rowOff>
    </xdr:from>
    <xdr:ext cx="304800" cy="304801"/>
    <xdr:sp macro="" textlink="">
      <xdr:nvSpPr>
        <xdr:cNvPr id="95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118</xdr:row>
      <xdr:rowOff>0</xdr:rowOff>
    </xdr:from>
    <xdr:ext cx="304800" cy="304800"/>
    <xdr:sp macro="" textlink="">
      <xdr:nvSpPr>
        <xdr:cNvPr id="955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125</xdr:row>
      <xdr:rowOff>0</xdr:rowOff>
    </xdr:from>
    <xdr:ext cx="304800" cy="304801"/>
    <xdr:sp macro="" textlink="">
      <xdr:nvSpPr>
        <xdr:cNvPr id="95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129</xdr:row>
      <xdr:rowOff>0</xdr:rowOff>
    </xdr:from>
    <xdr:ext cx="304800" cy="304800"/>
    <xdr:sp macro="" textlink="">
      <xdr:nvSpPr>
        <xdr:cNvPr id="9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9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130</xdr:row>
      <xdr:rowOff>0</xdr:rowOff>
    </xdr:from>
    <xdr:ext cx="304800" cy="304800"/>
    <xdr:sp macro="" textlink="">
      <xdr:nvSpPr>
        <xdr:cNvPr id="9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131</xdr:row>
      <xdr:rowOff>0</xdr:rowOff>
    </xdr:from>
    <xdr:ext cx="304800" cy="304800"/>
    <xdr:sp macro="" textlink="">
      <xdr:nvSpPr>
        <xdr:cNvPr id="9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131</xdr:row>
      <xdr:rowOff>0</xdr:rowOff>
    </xdr:from>
    <xdr:ext cx="304800" cy="304800"/>
    <xdr:sp macro="" textlink="">
      <xdr:nvSpPr>
        <xdr:cNvPr id="9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132</xdr:row>
      <xdr:rowOff>0</xdr:rowOff>
    </xdr:from>
    <xdr:ext cx="304800" cy="304800"/>
    <xdr:sp macro="" textlink="">
      <xdr:nvSpPr>
        <xdr:cNvPr id="9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132</xdr:row>
      <xdr:rowOff>0</xdr:rowOff>
    </xdr:from>
    <xdr:ext cx="304800" cy="304800"/>
    <xdr:sp macro="" textlink="">
      <xdr:nvSpPr>
        <xdr:cNvPr id="9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133</xdr:row>
      <xdr:rowOff>0</xdr:rowOff>
    </xdr:from>
    <xdr:ext cx="304800" cy="304800"/>
    <xdr:sp macro="" textlink="">
      <xdr:nvSpPr>
        <xdr:cNvPr id="9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133</xdr:row>
      <xdr:rowOff>0</xdr:rowOff>
    </xdr:from>
    <xdr:ext cx="304800" cy="304800"/>
    <xdr:sp macro="" textlink="">
      <xdr:nvSpPr>
        <xdr:cNvPr id="9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134</xdr:row>
      <xdr:rowOff>0</xdr:rowOff>
    </xdr:from>
    <xdr:ext cx="304800" cy="304800"/>
    <xdr:sp macro="" textlink="">
      <xdr:nvSpPr>
        <xdr:cNvPr id="9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6853"/>
    <xdr:sp macro="" textlink="">
      <xdr:nvSpPr>
        <xdr:cNvPr id="9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6853"/>
    <xdr:sp macro="" textlink="">
      <xdr:nvSpPr>
        <xdr:cNvPr id="971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9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9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138</xdr:row>
      <xdr:rowOff>0</xdr:rowOff>
    </xdr:from>
    <xdr:ext cx="304800" cy="304800"/>
    <xdr:sp macro="" textlink="">
      <xdr:nvSpPr>
        <xdr:cNvPr id="97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1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7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7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7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7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7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7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0</xdr:rowOff>
    </xdr:from>
    <xdr:ext cx="304800" cy="304800"/>
    <xdr:sp macro="" textlink="">
      <xdr:nvSpPr>
        <xdr:cNvPr id="98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130</xdr:row>
      <xdr:rowOff>0</xdr:rowOff>
    </xdr:from>
    <xdr:ext cx="304800" cy="304801"/>
    <xdr:sp macro="" textlink="">
      <xdr:nvSpPr>
        <xdr:cNvPr id="98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06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140</xdr:row>
      <xdr:rowOff>0</xdr:rowOff>
    </xdr:from>
    <xdr:ext cx="304800" cy="304801"/>
    <xdr:sp macro="" textlink="">
      <xdr:nvSpPr>
        <xdr:cNvPr id="9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700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142</xdr:row>
      <xdr:rowOff>0</xdr:rowOff>
    </xdr:from>
    <xdr:ext cx="304800" cy="304801"/>
    <xdr:sp macro="" textlink="">
      <xdr:nvSpPr>
        <xdr:cNvPr id="991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141</xdr:row>
      <xdr:rowOff>0</xdr:rowOff>
    </xdr:from>
    <xdr:ext cx="304800" cy="304800"/>
    <xdr:sp macro="" textlink="">
      <xdr:nvSpPr>
        <xdr:cNvPr id="9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8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142</xdr:row>
      <xdr:rowOff>0</xdr:rowOff>
    </xdr:from>
    <xdr:ext cx="304800" cy="304800"/>
    <xdr:sp macro="" textlink="">
      <xdr:nvSpPr>
        <xdr:cNvPr id="9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4800"/>
    <xdr:sp macro="" textlink="">
      <xdr:nvSpPr>
        <xdr:cNvPr id="9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2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143</xdr:row>
      <xdr:rowOff>0</xdr:rowOff>
    </xdr:from>
    <xdr:ext cx="304800" cy="304800"/>
    <xdr:sp macro="" textlink="">
      <xdr:nvSpPr>
        <xdr:cNvPr id="9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9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4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144</xdr:row>
      <xdr:rowOff>0</xdr:rowOff>
    </xdr:from>
    <xdr:ext cx="304800" cy="304800"/>
    <xdr:sp macro="" textlink="">
      <xdr:nvSpPr>
        <xdr:cNvPr id="9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9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9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139</xdr:row>
      <xdr:rowOff>0</xdr:rowOff>
    </xdr:from>
    <xdr:ext cx="304800" cy="304800"/>
    <xdr:sp macro="" textlink="">
      <xdr:nvSpPr>
        <xdr:cNvPr id="1000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0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134</xdr:row>
      <xdr:rowOff>0</xdr:rowOff>
    </xdr:from>
    <xdr:ext cx="304800" cy="304800"/>
    <xdr:sp macro="" textlink="">
      <xdr:nvSpPr>
        <xdr:cNvPr id="1001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136</xdr:row>
      <xdr:rowOff>0</xdr:rowOff>
    </xdr:from>
    <xdr:ext cx="304800" cy="304800"/>
    <xdr:sp macro="" textlink="">
      <xdr:nvSpPr>
        <xdr:cNvPr id="1002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136</xdr:row>
      <xdr:rowOff>0</xdr:rowOff>
    </xdr:from>
    <xdr:ext cx="304800" cy="304800"/>
    <xdr:sp macro="" textlink="">
      <xdr:nvSpPr>
        <xdr:cNvPr id="1003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143</xdr:row>
      <xdr:rowOff>0</xdr:rowOff>
    </xdr:from>
    <xdr:ext cx="304800" cy="304799"/>
    <xdr:sp macro="" textlink="">
      <xdr:nvSpPr>
        <xdr:cNvPr id="1004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C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715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134</xdr:row>
      <xdr:rowOff>0</xdr:rowOff>
    </xdr:from>
    <xdr:ext cx="304800" cy="304800"/>
    <xdr:sp macro="" textlink="">
      <xdr:nvSpPr>
        <xdr:cNvPr id="1005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136</xdr:row>
      <xdr:rowOff>0</xdr:rowOff>
    </xdr:from>
    <xdr:ext cx="304800" cy="304800"/>
    <xdr:sp macro="" textlink="">
      <xdr:nvSpPr>
        <xdr:cNvPr id="1006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E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135</xdr:row>
      <xdr:rowOff>0</xdr:rowOff>
    </xdr:from>
    <xdr:ext cx="304800" cy="304800"/>
    <xdr:sp macro="" textlink="">
      <xdr:nvSpPr>
        <xdr:cNvPr id="1007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F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2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142</xdr:row>
      <xdr:rowOff>0</xdr:rowOff>
    </xdr:from>
    <xdr:ext cx="304800" cy="304800"/>
    <xdr:sp macro="" textlink="">
      <xdr:nvSpPr>
        <xdr:cNvPr id="1008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134</xdr:row>
      <xdr:rowOff>0</xdr:rowOff>
    </xdr:from>
    <xdr:ext cx="304800" cy="304800"/>
    <xdr:sp macro="" textlink="">
      <xdr:nvSpPr>
        <xdr:cNvPr id="1009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140</xdr:row>
      <xdr:rowOff>12700</xdr:rowOff>
    </xdr:from>
    <xdr:ext cx="304800" cy="304801"/>
    <xdr:sp macro="" textlink="">
      <xdr:nvSpPr>
        <xdr:cNvPr id="1010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12712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134</xdr:row>
      <xdr:rowOff>0</xdr:rowOff>
    </xdr:from>
    <xdr:ext cx="304800" cy="304800"/>
    <xdr:sp macro="" textlink="">
      <xdr:nvSpPr>
        <xdr:cNvPr id="1011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141</xdr:row>
      <xdr:rowOff>0</xdr:rowOff>
    </xdr:from>
    <xdr:ext cx="304800" cy="304801"/>
    <xdr:sp macro="" textlink="">
      <xdr:nvSpPr>
        <xdr:cNvPr id="101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134</xdr:row>
      <xdr:rowOff>0</xdr:rowOff>
    </xdr:from>
    <xdr:ext cx="304800" cy="304800"/>
    <xdr:sp macro="" textlink="">
      <xdr:nvSpPr>
        <xdr:cNvPr id="1013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141</xdr:row>
      <xdr:rowOff>0</xdr:rowOff>
    </xdr:from>
    <xdr:ext cx="304800" cy="304801"/>
    <xdr:sp macro="" textlink="">
      <xdr:nvSpPr>
        <xdr:cNvPr id="101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10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10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10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145</xdr:row>
      <xdr:rowOff>0</xdr:rowOff>
    </xdr:from>
    <xdr:ext cx="304800" cy="304800"/>
    <xdr:sp macro="" textlink="">
      <xdr:nvSpPr>
        <xdr:cNvPr id="10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A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49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146</xdr:row>
      <xdr:rowOff>0</xdr:rowOff>
    </xdr:from>
    <xdr:ext cx="304800" cy="304800"/>
    <xdr:sp macro="" textlink="">
      <xdr:nvSpPr>
        <xdr:cNvPr id="10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B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146</xdr:row>
      <xdr:rowOff>0</xdr:rowOff>
    </xdr:from>
    <xdr:ext cx="304800" cy="304800"/>
    <xdr:sp macro="" textlink="">
      <xdr:nvSpPr>
        <xdr:cNvPr id="10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C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70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147</xdr:row>
      <xdr:rowOff>0</xdr:rowOff>
    </xdr:from>
    <xdr:ext cx="304800" cy="304800"/>
    <xdr:sp macro="" textlink="">
      <xdr:nvSpPr>
        <xdr:cNvPr id="10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D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147</xdr:row>
      <xdr:rowOff>0</xdr:rowOff>
    </xdr:from>
    <xdr:ext cx="304800" cy="304800"/>
    <xdr:sp macro="" textlink="">
      <xdr:nvSpPr>
        <xdr:cNvPr id="10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E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09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148</xdr:row>
      <xdr:rowOff>0</xdr:rowOff>
    </xdr:from>
    <xdr:ext cx="304800" cy="304800"/>
    <xdr:sp macro="" textlink="">
      <xdr:nvSpPr>
        <xdr:cNvPr id="10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F03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148</xdr:row>
      <xdr:rowOff>0</xdr:rowOff>
    </xdr:from>
    <xdr:ext cx="304800" cy="304800"/>
    <xdr:sp macro="" textlink="">
      <xdr:nvSpPr>
        <xdr:cNvPr id="10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10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149</xdr:row>
      <xdr:rowOff>0</xdr:rowOff>
    </xdr:from>
    <xdr:ext cx="304800" cy="304800"/>
    <xdr:sp macro="" textlink="">
      <xdr:nvSpPr>
        <xdr:cNvPr id="10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150</xdr:row>
      <xdr:rowOff>0</xdr:rowOff>
    </xdr:from>
    <xdr:ext cx="304800" cy="304800"/>
    <xdr:sp macro="" textlink="">
      <xdr:nvSpPr>
        <xdr:cNvPr id="10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159</xdr:row>
      <xdr:rowOff>0</xdr:rowOff>
    </xdr:from>
    <xdr:ext cx="304800" cy="306853"/>
    <xdr:sp macro="" textlink="">
      <xdr:nvSpPr>
        <xdr:cNvPr id="10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6853"/>
    <xdr:sp macro="" textlink="">
      <xdr:nvSpPr>
        <xdr:cNvPr id="102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4800"/>
    <xdr:sp macro="" textlink="">
      <xdr:nvSpPr>
        <xdr:cNvPr id="10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154</xdr:row>
      <xdr:rowOff>0</xdr:rowOff>
    </xdr:from>
    <xdr:ext cx="304800" cy="304800"/>
    <xdr:sp macro="" textlink="">
      <xdr:nvSpPr>
        <xdr:cNvPr id="103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8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1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3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3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0</xdr:rowOff>
    </xdr:from>
    <xdr:ext cx="304800" cy="304800"/>
    <xdr:sp macro="" textlink="">
      <xdr:nvSpPr>
        <xdr:cNvPr id="104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7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146</xdr:row>
      <xdr:rowOff>0</xdr:rowOff>
    </xdr:from>
    <xdr:ext cx="304800" cy="304801"/>
    <xdr:sp macro="" textlink="">
      <xdr:nvSpPr>
        <xdr:cNvPr id="104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06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156</xdr:row>
      <xdr:rowOff>0</xdr:rowOff>
    </xdr:from>
    <xdr:ext cx="304800" cy="304801"/>
    <xdr:sp macro="" textlink="">
      <xdr:nvSpPr>
        <xdr:cNvPr id="10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700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158</xdr:row>
      <xdr:rowOff>0</xdr:rowOff>
    </xdr:from>
    <xdr:ext cx="304800" cy="304801"/>
    <xdr:sp macro="" textlink="">
      <xdr:nvSpPr>
        <xdr:cNvPr id="104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10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28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158</xdr:row>
      <xdr:rowOff>0</xdr:rowOff>
    </xdr:from>
    <xdr:ext cx="304800" cy="304800"/>
    <xdr:sp macro="" textlink="">
      <xdr:nvSpPr>
        <xdr:cNvPr id="10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159</xdr:row>
      <xdr:rowOff>0</xdr:rowOff>
    </xdr:from>
    <xdr:ext cx="304800" cy="304800"/>
    <xdr:sp macro="" textlink="">
      <xdr:nvSpPr>
        <xdr:cNvPr id="10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159</xdr:row>
      <xdr:rowOff>0</xdr:rowOff>
    </xdr:from>
    <xdr:ext cx="304800" cy="304800"/>
    <xdr:sp macro="" textlink="">
      <xdr:nvSpPr>
        <xdr:cNvPr id="10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2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4800"/>
    <xdr:sp macro="" textlink="">
      <xdr:nvSpPr>
        <xdr:cNvPr id="10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160</xdr:row>
      <xdr:rowOff>0</xdr:rowOff>
    </xdr:from>
    <xdr:ext cx="304800" cy="304800"/>
    <xdr:sp macro="" textlink="">
      <xdr:nvSpPr>
        <xdr:cNvPr id="10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4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155</xdr:row>
      <xdr:rowOff>0</xdr:rowOff>
    </xdr:from>
    <xdr:ext cx="304800" cy="304800"/>
    <xdr:sp macro="" textlink="">
      <xdr:nvSpPr>
        <xdr:cNvPr id="1058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2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0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150</xdr:row>
      <xdr:rowOff>0</xdr:rowOff>
    </xdr:from>
    <xdr:ext cx="304800" cy="304800"/>
    <xdr:sp macro="" textlink="">
      <xdr:nvSpPr>
        <xdr:cNvPr id="1059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152</xdr:row>
      <xdr:rowOff>0</xdr:rowOff>
    </xdr:from>
    <xdr:ext cx="304800" cy="304800"/>
    <xdr:sp macro="" textlink="">
      <xdr:nvSpPr>
        <xdr:cNvPr id="1060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152</xdr:row>
      <xdr:rowOff>0</xdr:rowOff>
    </xdr:from>
    <xdr:ext cx="304800" cy="304800"/>
    <xdr:sp macro="" textlink="">
      <xdr:nvSpPr>
        <xdr:cNvPr id="1061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159</xdr:row>
      <xdr:rowOff>0</xdr:rowOff>
    </xdr:from>
    <xdr:ext cx="304800" cy="304799"/>
    <xdr:sp macro="" textlink="">
      <xdr:nvSpPr>
        <xdr:cNvPr id="1062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715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150</xdr:row>
      <xdr:rowOff>0</xdr:rowOff>
    </xdr:from>
    <xdr:ext cx="304800" cy="304800"/>
    <xdr:sp macro="" textlink="">
      <xdr:nvSpPr>
        <xdr:cNvPr id="1063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152</xdr:row>
      <xdr:rowOff>0</xdr:rowOff>
    </xdr:from>
    <xdr:ext cx="304800" cy="304800"/>
    <xdr:sp macro="" textlink="">
      <xdr:nvSpPr>
        <xdr:cNvPr id="1064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2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151</xdr:row>
      <xdr:rowOff>0</xdr:rowOff>
    </xdr:from>
    <xdr:ext cx="304800" cy="304800"/>
    <xdr:sp macro="" textlink="">
      <xdr:nvSpPr>
        <xdr:cNvPr id="1065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2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158</xdr:row>
      <xdr:rowOff>0</xdr:rowOff>
    </xdr:from>
    <xdr:ext cx="304800" cy="304800"/>
    <xdr:sp macro="" textlink="">
      <xdr:nvSpPr>
        <xdr:cNvPr id="1066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150</xdr:row>
      <xdr:rowOff>0</xdr:rowOff>
    </xdr:from>
    <xdr:ext cx="304800" cy="304800"/>
    <xdr:sp macro="" textlink="">
      <xdr:nvSpPr>
        <xdr:cNvPr id="1067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156</xdr:row>
      <xdr:rowOff>12700</xdr:rowOff>
    </xdr:from>
    <xdr:ext cx="304800" cy="304801"/>
    <xdr:sp macro="" textlink="">
      <xdr:nvSpPr>
        <xdr:cNvPr id="1068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12712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150</xdr:row>
      <xdr:rowOff>0</xdr:rowOff>
    </xdr:from>
    <xdr:ext cx="304800" cy="304800"/>
    <xdr:sp macro="" textlink="">
      <xdr:nvSpPr>
        <xdr:cNvPr id="1069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157</xdr:row>
      <xdr:rowOff>0</xdr:rowOff>
    </xdr:from>
    <xdr:ext cx="304800" cy="304801"/>
    <xdr:sp macro="" textlink="">
      <xdr:nvSpPr>
        <xdr:cNvPr id="107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150</xdr:row>
      <xdr:rowOff>0</xdr:rowOff>
    </xdr:from>
    <xdr:ext cx="304800" cy="304800"/>
    <xdr:sp macro="" textlink="">
      <xdr:nvSpPr>
        <xdr:cNvPr id="1071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157</xdr:row>
      <xdr:rowOff>0</xdr:rowOff>
    </xdr:from>
    <xdr:ext cx="304800" cy="304801"/>
    <xdr:sp macro="" textlink="">
      <xdr:nvSpPr>
        <xdr:cNvPr id="107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905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136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10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10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10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10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10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10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174</xdr:row>
      <xdr:rowOff>0</xdr:rowOff>
    </xdr:from>
    <xdr:ext cx="304800" cy="306853"/>
    <xdr:sp macro="" textlink="">
      <xdr:nvSpPr>
        <xdr:cNvPr id="10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6853"/>
    <xdr:sp macro="" textlink="">
      <xdr:nvSpPr>
        <xdr:cNvPr id="1090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175</xdr:row>
      <xdr:rowOff>0</xdr:rowOff>
    </xdr:from>
    <xdr:ext cx="304800" cy="304800"/>
    <xdr:sp macro="" textlink="">
      <xdr:nvSpPr>
        <xdr:cNvPr id="10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4800"/>
    <xdr:sp macro="" textlink="">
      <xdr:nvSpPr>
        <xdr:cNvPr id="10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0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0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0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0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10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11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11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11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11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11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1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174</xdr:row>
      <xdr:rowOff>0</xdr:rowOff>
    </xdr:from>
    <xdr:ext cx="304800" cy="306853"/>
    <xdr:sp macro="" textlink="">
      <xdr:nvSpPr>
        <xdr:cNvPr id="11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6853"/>
    <xdr:sp macro="" textlink="">
      <xdr:nvSpPr>
        <xdr:cNvPr id="110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175</xdr:row>
      <xdr:rowOff>0</xdr:rowOff>
    </xdr:from>
    <xdr:ext cx="304800" cy="304800"/>
    <xdr:sp macro="" textlink="">
      <xdr:nvSpPr>
        <xdr:cNvPr id="11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4800"/>
    <xdr:sp macro="" textlink="">
      <xdr:nvSpPr>
        <xdr:cNvPr id="11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174</xdr:row>
      <xdr:rowOff>0</xdr:rowOff>
    </xdr:from>
    <xdr:ext cx="304800" cy="306853"/>
    <xdr:sp macro="" textlink="">
      <xdr:nvSpPr>
        <xdr:cNvPr id="11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6853"/>
    <xdr:sp macro="" textlink="">
      <xdr:nvSpPr>
        <xdr:cNvPr id="111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175</xdr:row>
      <xdr:rowOff>0</xdr:rowOff>
    </xdr:from>
    <xdr:ext cx="304800" cy="304800"/>
    <xdr:sp macro="" textlink="">
      <xdr:nvSpPr>
        <xdr:cNvPr id="11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4800"/>
    <xdr:sp macro="" textlink="">
      <xdr:nvSpPr>
        <xdr:cNvPr id="11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6853"/>
    <xdr:sp macro="" textlink="">
      <xdr:nvSpPr>
        <xdr:cNvPr id="1118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161</xdr:row>
      <xdr:rowOff>0</xdr:rowOff>
    </xdr:from>
    <xdr:ext cx="304800" cy="304800"/>
    <xdr:sp macro="" textlink="">
      <xdr:nvSpPr>
        <xdr:cNvPr id="11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11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162</xdr:row>
      <xdr:rowOff>0</xdr:rowOff>
    </xdr:from>
    <xdr:ext cx="304800" cy="304800"/>
    <xdr:sp macro="" textlink="">
      <xdr:nvSpPr>
        <xdr:cNvPr id="11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11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163</xdr:row>
      <xdr:rowOff>0</xdr:rowOff>
    </xdr:from>
    <xdr:ext cx="304800" cy="304800"/>
    <xdr:sp macro="" textlink="">
      <xdr:nvSpPr>
        <xdr:cNvPr id="11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11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164</xdr:row>
      <xdr:rowOff>0</xdr:rowOff>
    </xdr:from>
    <xdr:ext cx="304800" cy="304800"/>
    <xdr:sp macro="" textlink="">
      <xdr:nvSpPr>
        <xdr:cNvPr id="11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1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165</xdr:row>
      <xdr:rowOff>0</xdr:rowOff>
    </xdr:from>
    <xdr:ext cx="304800" cy="304800"/>
    <xdr:sp macro="" textlink="">
      <xdr:nvSpPr>
        <xdr:cNvPr id="11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166</xdr:row>
      <xdr:rowOff>0</xdr:rowOff>
    </xdr:from>
    <xdr:ext cx="304800" cy="304800"/>
    <xdr:sp macro="" textlink="">
      <xdr:nvSpPr>
        <xdr:cNvPr id="11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175</xdr:row>
      <xdr:rowOff>0</xdr:rowOff>
    </xdr:from>
    <xdr:ext cx="304800" cy="306853"/>
    <xdr:sp macro="" textlink="">
      <xdr:nvSpPr>
        <xdr:cNvPr id="11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6853"/>
    <xdr:sp macro="" textlink="">
      <xdr:nvSpPr>
        <xdr:cNvPr id="1136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4800"/>
    <xdr:sp macro="" textlink="">
      <xdr:nvSpPr>
        <xdr:cNvPr id="11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170</xdr:row>
      <xdr:rowOff>0</xdr:rowOff>
    </xdr:from>
    <xdr:ext cx="304800" cy="304800"/>
    <xdr:sp macro="" textlink="">
      <xdr:nvSpPr>
        <xdr:cNvPr id="113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8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4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5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7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9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A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B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C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4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5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E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5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F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5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0</xdr:rowOff>
    </xdr:from>
    <xdr:ext cx="304800" cy="304800"/>
    <xdr:sp macro="" textlink="">
      <xdr:nvSpPr>
        <xdr:cNvPr id="115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1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162</xdr:row>
      <xdr:rowOff>0</xdr:rowOff>
    </xdr:from>
    <xdr:ext cx="304800" cy="304801"/>
    <xdr:sp macro="" textlink="">
      <xdr:nvSpPr>
        <xdr:cNvPr id="115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9362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172</xdr:row>
      <xdr:rowOff>0</xdr:rowOff>
    </xdr:from>
    <xdr:ext cx="304800" cy="304801"/>
    <xdr:sp macro="" textlink="">
      <xdr:nvSpPr>
        <xdr:cNvPr id="11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267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174</xdr:row>
      <xdr:rowOff>0</xdr:rowOff>
    </xdr:from>
    <xdr:ext cx="304800" cy="304801"/>
    <xdr:sp macro="" textlink="">
      <xdr:nvSpPr>
        <xdr:cNvPr id="1156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173</xdr:row>
      <xdr:rowOff>0</xdr:rowOff>
    </xdr:from>
    <xdr:ext cx="304800" cy="304800"/>
    <xdr:sp macro="" textlink="">
      <xdr:nvSpPr>
        <xdr:cNvPr id="11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4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174</xdr:row>
      <xdr:rowOff>0</xdr:rowOff>
    </xdr:from>
    <xdr:ext cx="304800" cy="304800"/>
    <xdr:sp macro="" textlink="">
      <xdr:nvSpPr>
        <xdr:cNvPr id="11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175</xdr:row>
      <xdr:rowOff>0</xdr:rowOff>
    </xdr:from>
    <xdr:ext cx="304800" cy="304800"/>
    <xdr:sp macro="" textlink="">
      <xdr:nvSpPr>
        <xdr:cNvPr id="11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175</xdr:row>
      <xdr:rowOff>0</xdr:rowOff>
    </xdr:from>
    <xdr:ext cx="304800" cy="304800"/>
    <xdr:sp macro="" textlink="">
      <xdr:nvSpPr>
        <xdr:cNvPr id="11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4800"/>
    <xdr:sp macro="" textlink="">
      <xdr:nvSpPr>
        <xdr:cNvPr id="11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176</xdr:row>
      <xdr:rowOff>0</xdr:rowOff>
    </xdr:from>
    <xdr:ext cx="304800" cy="304800"/>
    <xdr:sp macro="" textlink="">
      <xdr:nvSpPr>
        <xdr:cNvPr id="11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171</xdr:row>
      <xdr:rowOff>0</xdr:rowOff>
    </xdr:from>
    <xdr:ext cx="304800" cy="304800"/>
    <xdr:sp macro="" textlink="">
      <xdr:nvSpPr>
        <xdr:cNvPr id="1165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07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166</xdr:row>
      <xdr:rowOff>0</xdr:rowOff>
    </xdr:from>
    <xdr:ext cx="304800" cy="304800"/>
    <xdr:sp macro="" textlink="">
      <xdr:nvSpPr>
        <xdr:cNvPr id="1166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168</xdr:row>
      <xdr:rowOff>0</xdr:rowOff>
    </xdr:from>
    <xdr:ext cx="304800" cy="304800"/>
    <xdr:sp macro="" textlink="">
      <xdr:nvSpPr>
        <xdr:cNvPr id="1167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168</xdr:row>
      <xdr:rowOff>0</xdr:rowOff>
    </xdr:from>
    <xdr:ext cx="304800" cy="304800"/>
    <xdr:sp macro="" textlink="">
      <xdr:nvSpPr>
        <xdr:cNvPr id="1168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175</xdr:row>
      <xdr:rowOff>0</xdr:rowOff>
    </xdr:from>
    <xdr:ext cx="304800" cy="304799"/>
    <xdr:sp macro="" textlink="">
      <xdr:nvSpPr>
        <xdr:cNvPr id="1169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8389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166</xdr:row>
      <xdr:rowOff>0</xdr:rowOff>
    </xdr:from>
    <xdr:ext cx="304800" cy="304800"/>
    <xdr:sp macro="" textlink="">
      <xdr:nvSpPr>
        <xdr:cNvPr id="1170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168</xdr:row>
      <xdr:rowOff>0</xdr:rowOff>
    </xdr:from>
    <xdr:ext cx="304800" cy="304800"/>
    <xdr:sp macro="" textlink="">
      <xdr:nvSpPr>
        <xdr:cNvPr id="1171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167</xdr:row>
      <xdr:rowOff>0</xdr:rowOff>
    </xdr:from>
    <xdr:ext cx="304800" cy="304800"/>
    <xdr:sp macro="" textlink="">
      <xdr:nvSpPr>
        <xdr:cNvPr id="1172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31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174</xdr:row>
      <xdr:rowOff>0</xdr:rowOff>
    </xdr:from>
    <xdr:ext cx="304800" cy="304800"/>
    <xdr:sp macro="" textlink="">
      <xdr:nvSpPr>
        <xdr:cNvPr id="1173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64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166</xdr:row>
      <xdr:rowOff>0</xdr:rowOff>
    </xdr:from>
    <xdr:ext cx="304800" cy="304800"/>
    <xdr:sp macro="" textlink="">
      <xdr:nvSpPr>
        <xdr:cNvPr id="1174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172</xdr:row>
      <xdr:rowOff>12700</xdr:rowOff>
    </xdr:from>
    <xdr:ext cx="304800" cy="304801"/>
    <xdr:sp macro="" textlink="">
      <xdr:nvSpPr>
        <xdr:cNvPr id="1175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31280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166</xdr:row>
      <xdr:rowOff>0</xdr:rowOff>
    </xdr:from>
    <xdr:ext cx="304800" cy="304800"/>
    <xdr:sp macro="" textlink="">
      <xdr:nvSpPr>
        <xdr:cNvPr id="1176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173</xdr:row>
      <xdr:rowOff>0</xdr:rowOff>
    </xdr:from>
    <xdr:ext cx="304800" cy="304801"/>
    <xdr:sp macro="" textlink="">
      <xdr:nvSpPr>
        <xdr:cNvPr id="117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457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166</xdr:row>
      <xdr:rowOff>0</xdr:rowOff>
    </xdr:from>
    <xdr:ext cx="304800" cy="304800"/>
    <xdr:sp macro="" textlink="">
      <xdr:nvSpPr>
        <xdr:cNvPr id="1178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173</xdr:row>
      <xdr:rowOff>0</xdr:rowOff>
    </xdr:from>
    <xdr:ext cx="304800" cy="304801"/>
    <xdr:sp macro="" textlink="">
      <xdr:nvSpPr>
        <xdr:cNvPr id="117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457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1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1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1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1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1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1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11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11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11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11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11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11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1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190</xdr:row>
      <xdr:rowOff>0</xdr:rowOff>
    </xdr:from>
    <xdr:ext cx="304800" cy="306853"/>
    <xdr:sp macro="" textlink="">
      <xdr:nvSpPr>
        <xdr:cNvPr id="11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6853"/>
    <xdr:sp macro="" textlink="">
      <xdr:nvSpPr>
        <xdr:cNvPr id="119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191</xdr:row>
      <xdr:rowOff>0</xdr:rowOff>
    </xdr:from>
    <xdr:ext cx="304800" cy="304800"/>
    <xdr:sp macro="" textlink="">
      <xdr:nvSpPr>
        <xdr:cNvPr id="11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4800"/>
    <xdr:sp macro="" textlink="">
      <xdr:nvSpPr>
        <xdr:cNvPr id="11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2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2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12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12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12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12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12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12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2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190</xdr:row>
      <xdr:rowOff>0</xdr:rowOff>
    </xdr:from>
    <xdr:ext cx="304800" cy="306853"/>
    <xdr:sp macro="" textlink="">
      <xdr:nvSpPr>
        <xdr:cNvPr id="12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6853"/>
    <xdr:sp macro="" textlink="">
      <xdr:nvSpPr>
        <xdr:cNvPr id="121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191</xdr:row>
      <xdr:rowOff>0</xdr:rowOff>
    </xdr:from>
    <xdr:ext cx="304800" cy="304800"/>
    <xdr:sp macro="" textlink="">
      <xdr:nvSpPr>
        <xdr:cNvPr id="12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4800"/>
    <xdr:sp macro="" textlink="">
      <xdr:nvSpPr>
        <xdr:cNvPr id="12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190</xdr:row>
      <xdr:rowOff>0</xdr:rowOff>
    </xdr:from>
    <xdr:ext cx="304800" cy="306853"/>
    <xdr:sp macro="" textlink="">
      <xdr:nvSpPr>
        <xdr:cNvPr id="12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6853"/>
    <xdr:sp macro="" textlink="">
      <xdr:nvSpPr>
        <xdr:cNvPr id="1220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191</xdr:row>
      <xdr:rowOff>0</xdr:rowOff>
    </xdr:from>
    <xdr:ext cx="304800" cy="304800"/>
    <xdr:sp macro="" textlink="">
      <xdr:nvSpPr>
        <xdr:cNvPr id="12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4800"/>
    <xdr:sp macro="" textlink="">
      <xdr:nvSpPr>
        <xdr:cNvPr id="12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6853"/>
    <xdr:sp macro="" textlink="">
      <xdr:nvSpPr>
        <xdr:cNvPr id="1225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177</xdr:row>
      <xdr:rowOff>0</xdr:rowOff>
    </xdr:from>
    <xdr:ext cx="304800" cy="304800"/>
    <xdr:sp macro="" textlink="">
      <xdr:nvSpPr>
        <xdr:cNvPr id="12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12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178</xdr:row>
      <xdr:rowOff>0</xdr:rowOff>
    </xdr:from>
    <xdr:ext cx="304800" cy="304800"/>
    <xdr:sp macro="" textlink="">
      <xdr:nvSpPr>
        <xdr:cNvPr id="12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12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179</xdr:row>
      <xdr:rowOff>0</xdr:rowOff>
    </xdr:from>
    <xdr:ext cx="304800" cy="304800"/>
    <xdr:sp macro="" textlink="">
      <xdr:nvSpPr>
        <xdr:cNvPr id="12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12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180</xdr:row>
      <xdr:rowOff>0</xdr:rowOff>
    </xdr:from>
    <xdr:ext cx="304800" cy="304800"/>
    <xdr:sp macro="" textlink="">
      <xdr:nvSpPr>
        <xdr:cNvPr id="12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2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181</xdr:row>
      <xdr:rowOff>0</xdr:rowOff>
    </xdr:from>
    <xdr:ext cx="304800" cy="304800"/>
    <xdr:sp macro="" textlink="">
      <xdr:nvSpPr>
        <xdr:cNvPr id="12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182</xdr:row>
      <xdr:rowOff>0</xdr:rowOff>
    </xdr:from>
    <xdr:ext cx="304800" cy="304800"/>
    <xdr:sp macro="" textlink="">
      <xdr:nvSpPr>
        <xdr:cNvPr id="12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191</xdr:row>
      <xdr:rowOff>0</xdr:rowOff>
    </xdr:from>
    <xdr:ext cx="304800" cy="306853"/>
    <xdr:sp macro="" textlink="">
      <xdr:nvSpPr>
        <xdr:cNvPr id="12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6853"/>
    <xdr:sp macro="" textlink="">
      <xdr:nvSpPr>
        <xdr:cNvPr id="124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4800"/>
    <xdr:sp macro="" textlink="">
      <xdr:nvSpPr>
        <xdr:cNvPr id="12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186</xdr:row>
      <xdr:rowOff>0</xdr:rowOff>
    </xdr:from>
    <xdr:ext cx="304800" cy="304800"/>
    <xdr:sp macro="" textlink="">
      <xdr:nvSpPr>
        <xdr:cNvPr id="124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8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4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4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4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A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5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0</xdr:rowOff>
    </xdr:from>
    <xdr:ext cx="304800" cy="304800"/>
    <xdr:sp macro="" textlink="">
      <xdr:nvSpPr>
        <xdr:cNvPr id="126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C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178</xdr:row>
      <xdr:rowOff>0</xdr:rowOff>
    </xdr:from>
    <xdr:ext cx="304800" cy="304801"/>
    <xdr:sp macro="" textlink="">
      <xdr:nvSpPr>
        <xdr:cNvPr id="126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9362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188</xdr:row>
      <xdr:rowOff>0</xdr:rowOff>
    </xdr:from>
    <xdr:ext cx="304800" cy="304801"/>
    <xdr:sp macro="" textlink="">
      <xdr:nvSpPr>
        <xdr:cNvPr id="12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E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267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190</xdr:row>
      <xdr:rowOff>0</xdr:rowOff>
    </xdr:from>
    <xdr:ext cx="304800" cy="304801"/>
    <xdr:sp macro="" textlink="">
      <xdr:nvSpPr>
        <xdr:cNvPr id="126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F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189</xdr:row>
      <xdr:rowOff>0</xdr:rowOff>
    </xdr:from>
    <xdr:ext cx="304800" cy="304800"/>
    <xdr:sp macro="" textlink="">
      <xdr:nvSpPr>
        <xdr:cNvPr id="12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0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4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190</xdr:row>
      <xdr:rowOff>0</xdr:rowOff>
    </xdr:from>
    <xdr:ext cx="304800" cy="304800"/>
    <xdr:sp macro="" textlink="">
      <xdr:nvSpPr>
        <xdr:cNvPr id="12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1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191</xdr:row>
      <xdr:rowOff>0</xdr:rowOff>
    </xdr:from>
    <xdr:ext cx="304800" cy="304800"/>
    <xdr:sp macro="" textlink="">
      <xdr:nvSpPr>
        <xdr:cNvPr id="12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2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191</xdr:row>
      <xdr:rowOff>0</xdr:rowOff>
    </xdr:from>
    <xdr:ext cx="304800" cy="304800"/>
    <xdr:sp macro="" textlink="">
      <xdr:nvSpPr>
        <xdr:cNvPr id="12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3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4800"/>
    <xdr:sp macro="" textlink="">
      <xdr:nvSpPr>
        <xdr:cNvPr id="12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4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192</xdr:row>
      <xdr:rowOff>0</xdr:rowOff>
    </xdr:from>
    <xdr:ext cx="304800" cy="304800"/>
    <xdr:sp macro="" textlink="">
      <xdr:nvSpPr>
        <xdr:cNvPr id="12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5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6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4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187</xdr:row>
      <xdr:rowOff>0</xdr:rowOff>
    </xdr:from>
    <xdr:ext cx="304800" cy="304800"/>
    <xdr:sp macro="" textlink="">
      <xdr:nvSpPr>
        <xdr:cNvPr id="127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8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07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182</xdr:row>
      <xdr:rowOff>0</xdr:rowOff>
    </xdr:from>
    <xdr:ext cx="304800" cy="304800"/>
    <xdr:sp macro="" textlink="">
      <xdr:nvSpPr>
        <xdr:cNvPr id="1273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9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184</xdr:row>
      <xdr:rowOff>0</xdr:rowOff>
    </xdr:from>
    <xdr:ext cx="304800" cy="304800"/>
    <xdr:sp macro="" textlink="">
      <xdr:nvSpPr>
        <xdr:cNvPr id="1274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184</xdr:row>
      <xdr:rowOff>0</xdr:rowOff>
    </xdr:from>
    <xdr:ext cx="304800" cy="304800"/>
    <xdr:sp macro="" textlink="">
      <xdr:nvSpPr>
        <xdr:cNvPr id="1275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B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191</xdr:row>
      <xdr:rowOff>0</xdr:rowOff>
    </xdr:from>
    <xdr:ext cx="304800" cy="304799"/>
    <xdr:sp macro="" textlink="">
      <xdr:nvSpPr>
        <xdr:cNvPr id="1276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C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8389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182</xdr:row>
      <xdr:rowOff>0</xdr:rowOff>
    </xdr:from>
    <xdr:ext cx="304800" cy="304800"/>
    <xdr:sp macro="" textlink="">
      <xdr:nvSpPr>
        <xdr:cNvPr id="1277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D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184</xdr:row>
      <xdr:rowOff>0</xdr:rowOff>
    </xdr:from>
    <xdr:ext cx="304800" cy="304800"/>
    <xdr:sp macro="" textlink="">
      <xdr:nvSpPr>
        <xdr:cNvPr id="1278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E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183</xdr:row>
      <xdr:rowOff>0</xdr:rowOff>
    </xdr:from>
    <xdr:ext cx="304800" cy="304800"/>
    <xdr:sp macro="" textlink="">
      <xdr:nvSpPr>
        <xdr:cNvPr id="1279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31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190</xdr:row>
      <xdr:rowOff>0</xdr:rowOff>
    </xdr:from>
    <xdr:ext cx="304800" cy="304800"/>
    <xdr:sp macro="" textlink="">
      <xdr:nvSpPr>
        <xdr:cNvPr id="1280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64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182</xdr:row>
      <xdr:rowOff>0</xdr:rowOff>
    </xdr:from>
    <xdr:ext cx="304800" cy="304800"/>
    <xdr:sp macro="" textlink="">
      <xdr:nvSpPr>
        <xdr:cNvPr id="1281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188</xdr:row>
      <xdr:rowOff>12700</xdr:rowOff>
    </xdr:from>
    <xdr:ext cx="304800" cy="304801"/>
    <xdr:sp macro="" textlink="">
      <xdr:nvSpPr>
        <xdr:cNvPr id="1282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SpPr>
          <a:spLocks noChangeAspect="1" noChangeArrowheads="1"/>
        </xdr:cNvSpPr>
      </xdr:nvSpPr>
      <xdr:spPr bwMode="auto">
        <a:xfrm>
          <a:off x="800100" y="312801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182</xdr:row>
      <xdr:rowOff>0</xdr:rowOff>
    </xdr:from>
    <xdr:ext cx="304800" cy="304800"/>
    <xdr:sp macro="" textlink="">
      <xdr:nvSpPr>
        <xdr:cNvPr id="1283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3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189</xdr:row>
      <xdr:rowOff>0</xdr:rowOff>
    </xdr:from>
    <xdr:ext cx="304800" cy="304801"/>
    <xdr:sp macro="" textlink="">
      <xdr:nvSpPr>
        <xdr:cNvPr id="128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4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457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182</xdr:row>
      <xdr:rowOff>0</xdr:rowOff>
    </xdr:from>
    <xdr:ext cx="304800" cy="304800"/>
    <xdr:sp macro="" textlink="">
      <xdr:nvSpPr>
        <xdr:cNvPr id="1285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5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189</xdr:row>
      <xdr:rowOff>0</xdr:rowOff>
    </xdr:from>
    <xdr:ext cx="304800" cy="304801"/>
    <xdr:sp macro="" textlink="">
      <xdr:nvSpPr>
        <xdr:cNvPr id="128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457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C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6853"/>
    <xdr:sp macro="" textlink="">
      <xdr:nvSpPr>
        <xdr:cNvPr id="129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2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194</xdr:row>
      <xdr:rowOff>0</xdr:rowOff>
    </xdr:from>
    <xdr:ext cx="304800" cy="304800"/>
    <xdr:sp macro="" textlink="">
      <xdr:nvSpPr>
        <xdr:cNvPr id="13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194</xdr:row>
      <xdr:rowOff>0</xdr:rowOff>
    </xdr:from>
    <xdr:ext cx="304800" cy="304800"/>
    <xdr:sp macro="" textlink="">
      <xdr:nvSpPr>
        <xdr:cNvPr id="13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D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195</xdr:row>
      <xdr:rowOff>0</xdr:rowOff>
    </xdr:from>
    <xdr:ext cx="304800" cy="304800"/>
    <xdr:sp macro="" textlink="">
      <xdr:nvSpPr>
        <xdr:cNvPr id="13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195</xdr:row>
      <xdr:rowOff>0</xdr:rowOff>
    </xdr:from>
    <xdr:ext cx="304800" cy="304800"/>
    <xdr:sp macro="" textlink="">
      <xdr:nvSpPr>
        <xdr:cNvPr id="13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4800"/>
    <xdr:sp macro="" textlink="">
      <xdr:nvSpPr>
        <xdr:cNvPr id="13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4800"/>
    <xdr:sp macro="" textlink="">
      <xdr:nvSpPr>
        <xdr:cNvPr id="13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1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2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6853"/>
    <xdr:sp macro="" textlink="">
      <xdr:nvSpPr>
        <xdr:cNvPr id="13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3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6853"/>
    <xdr:sp macro="" textlink="">
      <xdr:nvSpPr>
        <xdr:cNvPr id="1316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207</xdr:row>
      <xdr:rowOff>0</xdr:rowOff>
    </xdr:from>
    <xdr:ext cx="304800" cy="304800"/>
    <xdr:sp macro="" textlink="">
      <xdr:nvSpPr>
        <xdr:cNvPr id="13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4800"/>
    <xdr:sp macro="" textlink="">
      <xdr:nvSpPr>
        <xdr:cNvPr id="13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194</xdr:row>
      <xdr:rowOff>0</xdr:rowOff>
    </xdr:from>
    <xdr:ext cx="304800" cy="304800"/>
    <xdr:sp macro="" textlink="">
      <xdr:nvSpPr>
        <xdr:cNvPr id="13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194</xdr:row>
      <xdr:rowOff>0</xdr:rowOff>
    </xdr:from>
    <xdr:ext cx="304800" cy="304800"/>
    <xdr:sp macro="" textlink="">
      <xdr:nvSpPr>
        <xdr:cNvPr id="13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195</xdr:row>
      <xdr:rowOff>0</xdr:rowOff>
    </xdr:from>
    <xdr:ext cx="304800" cy="304800"/>
    <xdr:sp macro="" textlink="">
      <xdr:nvSpPr>
        <xdr:cNvPr id="13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195</xdr:row>
      <xdr:rowOff>0</xdr:rowOff>
    </xdr:from>
    <xdr:ext cx="304800" cy="304800"/>
    <xdr:sp macro="" textlink="">
      <xdr:nvSpPr>
        <xdr:cNvPr id="13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4800"/>
    <xdr:sp macro="" textlink="">
      <xdr:nvSpPr>
        <xdr:cNvPr id="13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1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4800"/>
    <xdr:sp macro="" textlink="">
      <xdr:nvSpPr>
        <xdr:cNvPr id="13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6853"/>
    <xdr:sp macro="" textlink="">
      <xdr:nvSpPr>
        <xdr:cNvPr id="13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6853"/>
    <xdr:sp macro="" textlink="">
      <xdr:nvSpPr>
        <xdr:cNvPr id="133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207</xdr:row>
      <xdr:rowOff>0</xdr:rowOff>
    </xdr:from>
    <xdr:ext cx="304800" cy="304800"/>
    <xdr:sp macro="" textlink="">
      <xdr:nvSpPr>
        <xdr:cNvPr id="13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4800"/>
    <xdr:sp macro="" textlink="">
      <xdr:nvSpPr>
        <xdr:cNvPr id="13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6853"/>
    <xdr:sp macro="" textlink="">
      <xdr:nvSpPr>
        <xdr:cNvPr id="13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6853"/>
    <xdr:sp macro="" textlink="">
      <xdr:nvSpPr>
        <xdr:cNvPr id="133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207</xdr:row>
      <xdr:rowOff>0</xdr:rowOff>
    </xdr:from>
    <xdr:ext cx="304800" cy="304800"/>
    <xdr:sp macro="" textlink="">
      <xdr:nvSpPr>
        <xdr:cNvPr id="13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4800"/>
    <xdr:sp macro="" textlink="">
      <xdr:nvSpPr>
        <xdr:cNvPr id="13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6853"/>
    <xdr:sp macro="" textlink="">
      <xdr:nvSpPr>
        <xdr:cNvPr id="134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0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1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2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193</xdr:row>
      <xdr:rowOff>0</xdr:rowOff>
    </xdr:from>
    <xdr:ext cx="304800" cy="304800"/>
    <xdr:sp macro="" textlink="">
      <xdr:nvSpPr>
        <xdr:cNvPr id="13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1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194</xdr:row>
      <xdr:rowOff>0</xdr:rowOff>
    </xdr:from>
    <xdr:ext cx="304800" cy="304800"/>
    <xdr:sp macro="" textlink="">
      <xdr:nvSpPr>
        <xdr:cNvPr id="13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194</xdr:row>
      <xdr:rowOff>0</xdr:rowOff>
    </xdr:from>
    <xdr:ext cx="304800" cy="304800"/>
    <xdr:sp macro="" textlink="">
      <xdr:nvSpPr>
        <xdr:cNvPr id="13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3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195</xdr:row>
      <xdr:rowOff>0</xdr:rowOff>
    </xdr:from>
    <xdr:ext cx="304800" cy="304800"/>
    <xdr:sp macro="" textlink="">
      <xdr:nvSpPr>
        <xdr:cNvPr id="13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195</xdr:row>
      <xdr:rowOff>0</xdr:rowOff>
    </xdr:from>
    <xdr:ext cx="304800" cy="304800"/>
    <xdr:sp macro="" textlink="">
      <xdr:nvSpPr>
        <xdr:cNvPr id="13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5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4800"/>
    <xdr:sp macro="" textlink="">
      <xdr:nvSpPr>
        <xdr:cNvPr id="13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196</xdr:row>
      <xdr:rowOff>0</xdr:rowOff>
    </xdr:from>
    <xdr:ext cx="304800" cy="304800"/>
    <xdr:sp macro="" textlink="">
      <xdr:nvSpPr>
        <xdr:cNvPr id="13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7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197</xdr:row>
      <xdr:rowOff>0</xdr:rowOff>
    </xdr:from>
    <xdr:ext cx="304800" cy="304800"/>
    <xdr:sp macro="" textlink="">
      <xdr:nvSpPr>
        <xdr:cNvPr id="13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29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198</xdr:row>
      <xdr:rowOff>0</xdr:rowOff>
    </xdr:from>
    <xdr:ext cx="304800" cy="304800"/>
    <xdr:sp macro="" textlink="">
      <xdr:nvSpPr>
        <xdr:cNvPr id="13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207</xdr:row>
      <xdr:rowOff>0</xdr:rowOff>
    </xdr:from>
    <xdr:ext cx="304800" cy="306853"/>
    <xdr:sp macro="" textlink="">
      <xdr:nvSpPr>
        <xdr:cNvPr id="13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6853"/>
    <xdr:sp macro="" textlink="">
      <xdr:nvSpPr>
        <xdr:cNvPr id="136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2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4800"/>
    <xdr:sp macro="" textlink="">
      <xdr:nvSpPr>
        <xdr:cNvPr id="13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3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202</xdr:row>
      <xdr:rowOff>0</xdr:rowOff>
    </xdr:from>
    <xdr:ext cx="304800" cy="304800"/>
    <xdr:sp macro="" textlink="">
      <xdr:nvSpPr>
        <xdr:cNvPr id="136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8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6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6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6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6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9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0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2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137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26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194</xdr:row>
      <xdr:rowOff>0</xdr:rowOff>
    </xdr:from>
    <xdr:ext cx="304800" cy="304801"/>
    <xdr:sp macro="" textlink="">
      <xdr:nvSpPr>
        <xdr:cNvPr id="138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9362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204</xdr:row>
      <xdr:rowOff>0</xdr:rowOff>
    </xdr:from>
    <xdr:ext cx="304800" cy="304801"/>
    <xdr:sp macro="" textlink="">
      <xdr:nvSpPr>
        <xdr:cNvPr id="13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5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267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1"/>
    <xdr:sp macro="" textlink="">
      <xdr:nvSpPr>
        <xdr:cNvPr id="138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6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205</xdr:row>
      <xdr:rowOff>0</xdr:rowOff>
    </xdr:from>
    <xdr:ext cx="304800" cy="304800"/>
    <xdr:sp macro="" textlink="">
      <xdr:nvSpPr>
        <xdr:cNvPr id="13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4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13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64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207</xdr:row>
      <xdr:rowOff>0</xdr:rowOff>
    </xdr:from>
    <xdr:ext cx="304800" cy="304800"/>
    <xdr:sp macro="" textlink="">
      <xdr:nvSpPr>
        <xdr:cNvPr id="13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207</xdr:row>
      <xdr:rowOff>0</xdr:rowOff>
    </xdr:from>
    <xdr:ext cx="304800" cy="304800"/>
    <xdr:sp macro="" textlink="">
      <xdr:nvSpPr>
        <xdr:cNvPr id="13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183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4800"/>
    <xdr:sp macro="" textlink="">
      <xdr:nvSpPr>
        <xdr:cNvPr id="13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208</xdr:row>
      <xdr:rowOff>0</xdr:rowOff>
    </xdr:from>
    <xdr:ext cx="304800" cy="304800"/>
    <xdr:sp macro="" textlink="">
      <xdr:nvSpPr>
        <xdr:cNvPr id="13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02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3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203</xdr:row>
      <xdr:rowOff>0</xdr:rowOff>
    </xdr:from>
    <xdr:ext cx="304800" cy="304800"/>
    <xdr:sp macro="" textlink="">
      <xdr:nvSpPr>
        <xdr:cNvPr id="1391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F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07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198</xdr:row>
      <xdr:rowOff>0</xdr:rowOff>
    </xdr:from>
    <xdr:ext cx="304800" cy="304800"/>
    <xdr:sp macro="" textlink="">
      <xdr:nvSpPr>
        <xdr:cNvPr id="1392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0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200</xdr:row>
      <xdr:rowOff>0</xdr:rowOff>
    </xdr:from>
    <xdr:ext cx="304800" cy="304800"/>
    <xdr:sp macro="" textlink="">
      <xdr:nvSpPr>
        <xdr:cNvPr id="1393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1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200</xdr:row>
      <xdr:rowOff>0</xdr:rowOff>
    </xdr:from>
    <xdr:ext cx="304800" cy="304800"/>
    <xdr:sp macro="" textlink="">
      <xdr:nvSpPr>
        <xdr:cNvPr id="1394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207</xdr:row>
      <xdr:rowOff>0</xdr:rowOff>
    </xdr:from>
    <xdr:ext cx="304800" cy="304799"/>
    <xdr:sp macro="" textlink="">
      <xdr:nvSpPr>
        <xdr:cNvPr id="1395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8389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198</xdr:row>
      <xdr:rowOff>0</xdr:rowOff>
    </xdr:from>
    <xdr:ext cx="304800" cy="304800"/>
    <xdr:sp macro="" textlink="">
      <xdr:nvSpPr>
        <xdr:cNvPr id="1396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4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200</xdr:row>
      <xdr:rowOff>0</xdr:rowOff>
    </xdr:from>
    <xdr:ext cx="304800" cy="304800"/>
    <xdr:sp macro="" textlink="">
      <xdr:nvSpPr>
        <xdr:cNvPr id="1397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5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50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199</xdr:row>
      <xdr:rowOff>0</xdr:rowOff>
    </xdr:from>
    <xdr:ext cx="304800" cy="304800"/>
    <xdr:sp macro="" textlink="">
      <xdr:nvSpPr>
        <xdr:cNvPr id="1398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31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206</xdr:row>
      <xdr:rowOff>0</xdr:rowOff>
    </xdr:from>
    <xdr:ext cx="304800" cy="304800"/>
    <xdr:sp macro="" textlink="">
      <xdr:nvSpPr>
        <xdr:cNvPr id="1399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7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64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198</xdr:row>
      <xdr:rowOff>0</xdr:rowOff>
    </xdr:from>
    <xdr:ext cx="304800" cy="304800"/>
    <xdr:sp macro="" textlink="">
      <xdr:nvSpPr>
        <xdr:cNvPr id="1400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1"/>
    <xdr:sp macro="" textlink="">
      <xdr:nvSpPr>
        <xdr:cNvPr id="1401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198</xdr:row>
      <xdr:rowOff>0</xdr:rowOff>
    </xdr:from>
    <xdr:ext cx="304800" cy="304800"/>
    <xdr:sp macro="" textlink="">
      <xdr:nvSpPr>
        <xdr:cNvPr id="140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A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205</xdr:row>
      <xdr:rowOff>0</xdr:rowOff>
    </xdr:from>
    <xdr:ext cx="304800" cy="304801"/>
    <xdr:sp macro="" textlink="">
      <xdr:nvSpPr>
        <xdr:cNvPr id="140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B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457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198</xdr:row>
      <xdr:rowOff>0</xdr:rowOff>
    </xdr:from>
    <xdr:ext cx="304800" cy="304800"/>
    <xdr:sp macro="" textlink="">
      <xdr:nvSpPr>
        <xdr:cNvPr id="140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C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1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205</xdr:row>
      <xdr:rowOff>0</xdr:rowOff>
    </xdr:from>
    <xdr:ext cx="304800" cy="304801"/>
    <xdr:sp macro="" textlink="">
      <xdr:nvSpPr>
        <xdr:cNvPr id="140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5000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1457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E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F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1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6853"/>
    <xdr:sp macro="" textlink="">
      <xdr:nvSpPr>
        <xdr:cNvPr id="141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4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6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9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14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50000}"/>
            </a:ext>
          </a:extLst>
        </xdr:cNvPr>
        <xdr:cNvSpPr>
          <a:spLocks noChangeAspect="1" noChangeArrowheads="1"/>
        </xdr:cNvSpPr>
      </xdr:nvSpPr>
      <xdr:spPr bwMode="auto">
        <a:xfrm>
          <a:off x="10579100" y="3221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D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F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1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304800" cy="304800"/>
    <xdr:sp macro="" textlink="">
      <xdr:nvSpPr>
        <xdr:cNvPr id="142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190500</xdr:rowOff>
    </xdr:from>
    <xdr:ext cx="304800" cy="304800"/>
    <xdr:sp macro="" textlink="">
      <xdr:nvSpPr>
        <xdr:cNvPr id="1428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00000000-0008-0000-0700-000094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337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1429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1430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6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19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190500</xdr:rowOff>
    </xdr:from>
    <xdr:ext cx="304800" cy="304800"/>
    <xdr:sp macro="" textlink="">
      <xdr:nvSpPr>
        <xdr:cNvPr id="1431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15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143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8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1433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9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143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A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177800</xdr:rowOff>
    </xdr:from>
    <xdr:ext cx="304800" cy="304800"/>
    <xdr:sp macro="" textlink="">
      <xdr:nvSpPr>
        <xdr:cNvPr id="1435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B05000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8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36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3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D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3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E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3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F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4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0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4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4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144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50000}"/>
            </a:ext>
          </a:extLst>
        </xdr:cNvPr>
        <xdr:cNvSpPr>
          <a:spLocks noChangeAspect="1" noChangeArrowheads="1"/>
        </xdr:cNvSpPr>
      </xdr:nvSpPr>
      <xdr:spPr bwMode="auto">
        <a:xfrm>
          <a:off x="13779500" y="278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4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4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5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4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4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7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4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4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5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304800" cy="304800"/>
    <xdr:sp macro="" textlink="">
      <xdr:nvSpPr>
        <xdr:cNvPr id="145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4</xdr:row>
      <xdr:rowOff>190500</xdr:rowOff>
    </xdr:from>
    <xdr:ext cx="304800" cy="304800"/>
    <xdr:sp macro="" textlink="">
      <xdr:nvSpPr>
        <xdr:cNvPr id="1452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00000000-0008-0000-0700-0000AC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5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11</xdr:col>
      <xdr:colOff>0</xdr:colOff>
      <xdr:row>5</xdr:row>
      <xdr:rowOff>0</xdr:rowOff>
    </xdr:from>
    <xdr:ext cx="304800" cy="304800"/>
    <xdr:sp macro="" textlink="">
      <xdr:nvSpPr>
        <xdr:cNvPr id="1453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D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56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6</xdr:row>
      <xdr:rowOff>0</xdr:rowOff>
    </xdr:from>
    <xdr:ext cx="304800" cy="304800"/>
    <xdr:sp macro="" textlink="">
      <xdr:nvSpPr>
        <xdr:cNvPr id="1454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E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6</xdr:row>
      <xdr:rowOff>190500</xdr:rowOff>
    </xdr:from>
    <xdr:ext cx="304800" cy="304800"/>
    <xdr:sp macro="" textlink="">
      <xdr:nvSpPr>
        <xdr:cNvPr id="1455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195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11</xdr:col>
      <xdr:colOff>0</xdr:colOff>
      <xdr:row>8</xdr:row>
      <xdr:rowOff>0</xdr:rowOff>
    </xdr:from>
    <xdr:ext cx="304800" cy="304800"/>
    <xdr:sp macro="" textlink="">
      <xdr:nvSpPr>
        <xdr:cNvPr id="145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0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304800" cy="304800"/>
    <xdr:sp macro="" textlink="">
      <xdr:nvSpPr>
        <xdr:cNvPr id="1457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1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298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16</xdr:row>
      <xdr:rowOff>0</xdr:rowOff>
    </xdr:from>
    <xdr:ext cx="304800" cy="304800"/>
    <xdr:sp macro="" textlink="">
      <xdr:nvSpPr>
        <xdr:cNvPr id="1458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2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379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15</xdr:row>
      <xdr:rowOff>0</xdr:rowOff>
    </xdr:from>
    <xdr:ext cx="304800" cy="304800"/>
    <xdr:sp macro="" textlink="">
      <xdr:nvSpPr>
        <xdr:cNvPr id="1459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3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359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0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6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8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9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</xdr:col>
      <xdr:colOff>0</xdr:colOff>
      <xdr:row>17</xdr:row>
      <xdr:rowOff>0</xdr:rowOff>
    </xdr:from>
    <xdr:ext cx="304800" cy="304800"/>
    <xdr:sp macro="" textlink="">
      <xdr:nvSpPr>
        <xdr:cNvPr id="146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B050000}"/>
            </a:ext>
          </a:extLst>
        </xdr:cNvPr>
        <xdr:cNvSpPr>
          <a:spLocks noChangeAspect="1" noChangeArrowheads="1"/>
        </xdr:cNvSpPr>
      </xdr:nvSpPr>
      <xdr:spPr bwMode="auto">
        <a:xfrm>
          <a:off x="15417800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6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C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6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E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0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1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304800" cy="304800"/>
    <xdr:sp macro="" textlink="">
      <xdr:nvSpPr>
        <xdr:cNvPr id="147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7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7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7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7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8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8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9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8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A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8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B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8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C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4</xdr:row>
      <xdr:rowOff>0</xdr:rowOff>
    </xdr:from>
    <xdr:ext cx="304800" cy="304800"/>
    <xdr:sp macro="" textlink="">
      <xdr:nvSpPr>
        <xdr:cNvPr id="148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8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E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8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8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0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8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9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2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9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9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9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5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5</xdr:row>
      <xdr:rowOff>0</xdr:rowOff>
    </xdr:from>
    <xdr:ext cx="304800" cy="304800"/>
    <xdr:sp macro="" textlink="">
      <xdr:nvSpPr>
        <xdr:cNvPr id="149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49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7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49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49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9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49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49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B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50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50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50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6</xdr:row>
      <xdr:rowOff>0</xdr:rowOff>
    </xdr:from>
    <xdr:ext cx="304800" cy="304800"/>
    <xdr:sp macro="" textlink="">
      <xdr:nvSpPr>
        <xdr:cNvPr id="150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F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0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0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0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0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2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0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0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4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0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1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1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7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151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8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9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A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B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C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D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E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1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F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2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0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152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1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2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3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4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5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6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8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2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9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153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A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B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C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D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E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F05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0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2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</xdr:row>
      <xdr:rowOff>0</xdr:rowOff>
    </xdr:from>
    <xdr:ext cx="304800" cy="304800"/>
    <xdr:sp macro="" textlink="">
      <xdr:nvSpPr>
        <xdr:cNvPr id="153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3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4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5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6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8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A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B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C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4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D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F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0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1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2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4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</xdr:row>
      <xdr:rowOff>0</xdr:rowOff>
    </xdr:from>
    <xdr:ext cx="304800" cy="304800"/>
    <xdr:sp macro="" textlink="">
      <xdr:nvSpPr>
        <xdr:cNvPr id="155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5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6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5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8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A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D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6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6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F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6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6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1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7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2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7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3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7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4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7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5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7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6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4800"/>
    <xdr:sp macro="" textlink="">
      <xdr:nvSpPr>
        <xdr:cNvPr id="157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7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8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7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9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7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A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7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B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C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D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F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1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3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8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5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9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9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9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8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59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60000}"/>
            </a:ext>
          </a:extLst>
        </xdr:cNvPr>
        <xdr:cNvSpPr>
          <a:spLocks noChangeAspect="1" noChangeArrowheads="1"/>
        </xdr:cNvSpPr>
      </xdr:nvSpPr>
      <xdr:spPr bwMode="auto">
        <a:xfrm>
          <a:off x="140208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59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59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59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59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59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59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0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1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161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1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162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3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4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5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6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6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6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6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6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166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6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6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6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6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7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8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69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70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19</xdr:row>
      <xdr:rowOff>0</xdr:rowOff>
    </xdr:from>
    <xdr:ext cx="304800" cy="304800"/>
    <xdr:sp macro="" textlink="">
      <xdr:nvSpPr>
        <xdr:cNvPr id="170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0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1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2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173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3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3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4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5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6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7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7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7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177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7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7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7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0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7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1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7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2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7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6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8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9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A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FB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C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8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D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E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FF06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79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0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0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180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1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1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1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2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2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3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2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4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4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4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4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4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23</xdr:row>
      <xdr:rowOff>0</xdr:rowOff>
    </xdr:from>
    <xdr:ext cx="304800" cy="304800"/>
    <xdr:sp macro="" textlink="">
      <xdr:nvSpPr>
        <xdr:cNvPr id="184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4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4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4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4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3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3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5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4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6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4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7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8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24</xdr:row>
      <xdr:rowOff>0</xdr:rowOff>
    </xdr:from>
    <xdr:ext cx="304800" cy="304800"/>
    <xdr:sp macro="" textlink="">
      <xdr:nvSpPr>
        <xdr:cNvPr id="188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5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8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89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6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0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7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25</xdr:row>
      <xdr:rowOff>0</xdr:rowOff>
    </xdr:from>
    <xdr:ext cx="304800" cy="304800"/>
    <xdr:sp macro="" textlink="">
      <xdr:nvSpPr>
        <xdr:cNvPr id="191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1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1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7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5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2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8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8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6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7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8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39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0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1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2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3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4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9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5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5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9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5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26</xdr:row>
      <xdr:rowOff>0</xdr:rowOff>
    </xdr:from>
    <xdr:ext cx="304800" cy="304800"/>
    <xdr:sp macro="" textlink="">
      <xdr:nvSpPr>
        <xdr:cNvPr id="195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54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55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56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57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58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59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0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1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A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A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6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2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7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B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B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4800"/>
    <xdr:sp macro="" textlink="">
      <xdr:nvSpPr>
        <xdr:cNvPr id="198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1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7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2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8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3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9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4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CA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5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B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6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C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D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8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E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199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CF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0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1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2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3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4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5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28</xdr:row>
      <xdr:rowOff>0</xdr:rowOff>
    </xdr:from>
    <xdr:ext cx="304800" cy="304800"/>
    <xdr:sp macro="" textlink="">
      <xdr:nvSpPr>
        <xdr:cNvPr id="200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6070000}"/>
            </a:ext>
          </a:extLst>
        </xdr:cNvPr>
        <xdr:cNvSpPr>
          <a:spLocks noChangeAspect="1" noChangeArrowheads="1"/>
        </xdr:cNvSpPr>
      </xdr:nvSpPr>
      <xdr:spPr bwMode="auto">
        <a:xfrm>
          <a:off x="215646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165100</xdr:rowOff>
    </xdr:from>
    <xdr:ext cx="304800" cy="304800"/>
    <xdr:sp macro="" textlink="">
      <xdr:nvSpPr>
        <xdr:cNvPr id="200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7070000}"/>
            </a:ext>
          </a:extLst>
        </xdr:cNvPr>
        <xdr:cNvSpPr>
          <a:spLocks noChangeAspect="1" noChangeArrowheads="1"/>
        </xdr:cNvSpPr>
      </xdr:nvSpPr>
      <xdr:spPr bwMode="auto">
        <a:xfrm>
          <a:off x="21539200" y="544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0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8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0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9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1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A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1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B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1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C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</xdr:row>
      <xdr:rowOff>0</xdr:rowOff>
    </xdr:from>
    <xdr:ext cx="304800" cy="304800"/>
    <xdr:sp macro="" textlink="">
      <xdr:nvSpPr>
        <xdr:cNvPr id="2013" name="AutoShape 2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D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14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DE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2015" name="AutoShape 2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DF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7</xdr:row>
      <xdr:rowOff>0</xdr:rowOff>
    </xdr:from>
    <xdr:ext cx="304800" cy="304800"/>
    <xdr:sp macro="" textlink="">
      <xdr:nvSpPr>
        <xdr:cNvPr id="201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0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</xdr:row>
      <xdr:rowOff>0</xdr:rowOff>
    </xdr:from>
    <xdr:ext cx="304800" cy="304800"/>
    <xdr:sp macro="" textlink="">
      <xdr:nvSpPr>
        <xdr:cNvPr id="2017" name="AutoShape 3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1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</xdr:row>
      <xdr:rowOff>0</xdr:rowOff>
    </xdr:from>
    <xdr:ext cx="304800" cy="306852"/>
    <xdr:sp macro="" textlink="">
      <xdr:nvSpPr>
        <xdr:cNvPr id="2018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2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2641600"/>
          <a:ext cx="304800" cy="306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19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3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20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4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21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5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22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6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23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7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21</xdr:row>
      <xdr:rowOff>0</xdr:rowOff>
    </xdr:from>
    <xdr:ext cx="304800" cy="304800"/>
    <xdr:sp macro="" textlink="">
      <xdr:nvSpPr>
        <xdr:cNvPr id="2024" name="AutoShape 2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8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2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9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2026" name="AutoShape 2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A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20</xdr:row>
      <xdr:rowOff>0</xdr:rowOff>
    </xdr:from>
    <xdr:ext cx="304800" cy="304800"/>
    <xdr:sp macro="" textlink="">
      <xdr:nvSpPr>
        <xdr:cNvPr id="2027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B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22</xdr:row>
      <xdr:rowOff>0</xdr:rowOff>
    </xdr:from>
    <xdr:ext cx="304800" cy="304800"/>
    <xdr:sp macro="" textlink="">
      <xdr:nvSpPr>
        <xdr:cNvPr id="2028" name="AutoShape 3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700-0000EC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27</xdr:row>
      <xdr:rowOff>0</xdr:rowOff>
    </xdr:from>
    <xdr:ext cx="304800" cy="306852"/>
    <xdr:sp macro="" textlink="">
      <xdr:nvSpPr>
        <xdr:cNvPr id="2029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700-0000ED070000}"/>
            </a:ext>
          </a:extLst>
        </xdr:cNvPr>
        <xdr:cNvSpPr>
          <a:spLocks noChangeAspect="1" noChangeArrowheads="1"/>
        </xdr:cNvSpPr>
      </xdr:nvSpPr>
      <xdr:spPr bwMode="auto">
        <a:xfrm>
          <a:off x="13195300" y="2641600"/>
          <a:ext cx="304800" cy="306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2030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B6C0B6BF-8BF5-7C41-9EEA-7BD840DE0749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144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2B85F6E-A5B1-8048-8641-5259165E0264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7975"/>
    <xdr:sp macro="" textlink="">
      <xdr:nvSpPr>
        <xdr:cNvPr id="2032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91C0AE7-6C1D-CD4C-B8C7-E6744E3EC329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1031875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7975"/>
    <xdr:sp macro="" textlink="">
      <xdr:nvSpPr>
        <xdr:cNvPr id="2033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293B7F5-2261-A847-B12E-CBF24BCFFABE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1238250"/>
          <a:ext cx="30480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0B24C3-FAB7-FB43-AD42-8322C36F3E1A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44A1CA3-AD29-EB44-BBE4-35577915FB70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A0971E0-0B0E-EE45-BDB1-5017B3ED4DB1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6C708711-DF7D-D14A-BF32-BE3DC01A4592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0EE55D5-7086-A24E-840E-7BB81393851D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3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08F127D-FBE2-974A-AD90-E0992FD731E9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6B48A01-0A26-D846-8CB6-C76CA8CD7628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06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190500</xdr:rowOff>
    </xdr:from>
    <xdr:ext cx="304800" cy="311150"/>
    <xdr:sp macro="" textlink="">
      <xdr:nvSpPr>
        <xdr:cNvPr id="2041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E37E4F6-9F96-E845-A4E4-05C886090E42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809625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12</xdr:col>
      <xdr:colOff>0</xdr:colOff>
      <xdr:row>31</xdr:row>
      <xdr:rowOff>190500</xdr:rowOff>
    </xdr:from>
    <xdr:ext cx="304800" cy="311150"/>
    <xdr:sp macro="" textlink="">
      <xdr:nvSpPr>
        <xdr:cNvPr id="2042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18215201-3A13-C440-8044-CFA093BF7715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667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E68D3A2-353A-A94C-AD57-15994915F808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5B0347F-412D-B846-AFC9-3CB39F8E2B06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C32A315-58B4-764C-9632-282C53B40596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CC4FA7C-ACE7-454B-AA9F-8A57450AD383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A692F9F-0F81-664D-AAEC-5B2B56972156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63F4E93-04E2-0441-9B0E-F30EA7BA9B8E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4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E418897-F981-8B41-848C-18106AFF49AE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05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5C3C754-BDCB-D545-BCDC-3064C7B96D6C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41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190500</xdr:rowOff>
    </xdr:from>
    <xdr:ext cx="304800" cy="304800"/>
    <xdr:sp macro="" textlink="">
      <xdr:nvSpPr>
        <xdr:cNvPr id="2051" name="AutoShape 2" descr="/var/folders/cw/gkltk2nx2ggb2gsf87nk0vyr0000gp/T/com.microsoft.Excel/WebArchiveCopyPasteTempFiles/At_The_Stadium_07.svg">
          <a:extLst>
            <a:ext uri="{FF2B5EF4-FFF2-40B4-BE49-F238E27FC236}">
              <a16:creationId xmlns:a16="http://schemas.microsoft.com/office/drawing/2014/main" id="{588FF3CF-5AF0-6D46-9DF2-4F53AC73FE7B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2052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7A2B247-7A9C-6B47-93D8-41914896C654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82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2053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A44D556-29B3-A348-BD50-1FF83569304F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103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190500</xdr:rowOff>
    </xdr:from>
    <xdr:ext cx="304800" cy="304800"/>
    <xdr:sp macro="" textlink="">
      <xdr:nvSpPr>
        <xdr:cNvPr id="2054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6CEFECF-7C19-5847-9885-F1D64A62B754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122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205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D8AD8C9-022C-0942-956B-0E18A29F36BA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144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056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F5286529-28A6-6F4D-8C84-0F98817FFD41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27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34</xdr:row>
      <xdr:rowOff>0</xdr:rowOff>
    </xdr:from>
    <xdr:ext cx="304800" cy="304800"/>
    <xdr:sp macro="" textlink="">
      <xdr:nvSpPr>
        <xdr:cNvPr id="2057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66C53BE-199C-DB44-8F14-E070C4FFFA22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11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33</xdr:row>
      <xdr:rowOff>0</xdr:rowOff>
    </xdr:from>
    <xdr:ext cx="304800" cy="304800"/>
    <xdr:sp macro="" textlink="">
      <xdr:nvSpPr>
        <xdr:cNvPr id="2058" name="AutoShape 20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606E6129-A2B8-404F-B907-DD8E3BBF540D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288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59" name="AutoShape 1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42ADE4F-C442-F34B-927E-9BB5DD87ECB7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87F86FF-A23A-F140-AD88-8B02E4A6810D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2EC4953D-A096-EC45-B51A-7FAAE9823B6C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C4D5ECA-7343-5846-B3E9-0A7E699C0B08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236BD7EA-EE30-7C4A-86A8-AEB5362F70BF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C6FD119-D4A0-3342-BB51-905BE47212B8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63FCA32-488B-6647-A30C-6E9AC81E9C3D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35</xdr:row>
      <xdr:rowOff>0</xdr:rowOff>
    </xdr:from>
    <xdr:ext cx="304800" cy="304800"/>
    <xdr:sp macro="" textlink="">
      <xdr:nvSpPr>
        <xdr:cNvPr id="206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4215350-B679-5441-BA0D-A9DBECF4C7A7}"/>
            </a:ext>
          </a:extLst>
        </xdr:cNvPr>
        <xdr:cNvSpPr>
          <a:spLocks noChangeAspect="1" noChangeArrowheads="1"/>
        </xdr:cNvSpPr>
      </xdr:nvSpPr>
      <xdr:spPr bwMode="auto">
        <a:xfrm>
          <a:off x="14001750" y="331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40B197E-85FE-AF42-893E-E5A714B98C3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89C6C3E-FC7D-1B45-8DF8-7BEEED91C0E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253B9DD-74A4-B548-AE99-0850373079B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A9D8D7B-EA14-2746-A838-483A0CB2A37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95B86C8-AC74-DA49-A35C-5A95DD98F90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3F8E96B-D653-B440-B414-601A38E365F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ECA87B1-3677-8644-A92D-32B5D69C2A1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E603EA8-BA9D-A94C-9219-591E4E7A696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20D9AF6-1375-1C45-8DAF-6F0EEE65FAE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0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42BB363-A24F-D84F-B139-2824DF455DE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381714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07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D7214395-0785-6D4A-A153-E1D488E63D9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F870908-F5A4-B245-8E41-30F7DF9A6D5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581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A303257-A8AE-8C46-A692-2443F50AD23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A83B5C2-CB23-2549-A461-B0AEF52410A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C905DFC-A8C1-3141-85CA-00460CACE5A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87D21E6-73B0-654F-B40F-A959A001E01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829D8F8-FAD9-1D4E-B728-DC5B788904D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F20C612-68A6-C34E-BAFE-24B8855F946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FBE0B1D-CF3D-7C4A-B9A7-981988B77B1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78F38C0-7A1A-B64F-A11F-DD5B57D57B3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80086DE-8373-7341-A3B3-B54C21DAEF9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55B3A05-0A60-A143-8D95-7AC1F77EF43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AC60F5D-F792-014D-95CF-34CA85EADC5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38CFA4B-D796-E44F-854B-3A2FC9C8EC6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9257E5E-A669-F84E-87C7-465FE271CB3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3ADC8E3-1F58-3548-AEF3-ED214A973E0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2627553-06F2-1D4F-85C1-14F21FDFBAA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FB34134-7388-1140-B153-EC85FC36E76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17FDB47-86F7-8F41-B446-AF32AB2BAA9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CEF4CBA-8BA9-8F4E-AB19-8D0CFA2C6B2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0938A11-F6AC-764F-9BA2-DAB5E3927C7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32270F7-85DA-8640-A8C0-15FFD14C33F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0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BD7E7A8-556F-7A43-BBEF-6538BE31442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FCE0EB1-FD5B-484A-B173-0D767C35BB0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381714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01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D6729E50-FC89-C94F-AC1D-0F00303276F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9A45727-FD44-6940-9777-51B234AD57C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581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6AE28F2-CD25-BA49-9237-AACD2B30C42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F5F12FF-B88B-2846-90C2-40B54E9AB57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C8A42C-BED6-CD4C-B71C-4CF989EE27D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119F22A-CE55-1749-B2F2-1850133DCD3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94082ED-8948-4747-8C83-E14DE7D0384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DF7C574-2C16-6040-A101-C499605F054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4CE224D-275D-E044-B3DE-8BFD9010242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FAA2DEF-8057-7147-AE65-A013799849F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11324DA-8D10-554F-8116-3C8D50B02FA6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131EB1C-B8D5-C449-A7EE-93648803FF9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08EA748-B214-C143-810A-AA106111698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83C188E-8E86-964F-A325-3421DF0E8BC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3A4AD6F-18B7-CC4A-A264-B7772AAB46C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5B5CCA-A91C-6A41-A6A8-1DD10FA965B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C01B51D-B74C-1641-BFC6-8401FB8075D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76FF939-62AD-484C-B888-2A484DCE1F7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4E68071-F8DE-F541-AC4C-267D32B0A15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38DC97A-6D87-1843-BAB8-B1B268CAE5F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D18064C-D5F8-704B-8740-C1B7B42BF37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381714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2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D83469AA-EF71-AB40-9968-EC72369B59A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F14BF5D-E62B-3D46-BB00-5CD6D4CCFF5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581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D999D71-9C12-2B49-9DA4-AF762895797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9888C35-2274-4646-9695-0B1501224D4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AEC45CE-73D1-B44E-A6F7-0449B271137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06A3F46-790B-A242-B575-582C7E15EF56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0EC45CB-BC42-C54E-BF27-364A8A829896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D012523-CCD1-CD4B-9F68-A0E647EA119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93F8572-76CC-7E41-A283-CEC8A6C4C8A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66F2F87-93E6-214D-AC5B-61AB2103394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94A93DE-C7D5-FC48-871C-6447239E8D8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83F0F22-DD7D-0B45-9939-51FB3C7416B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944EA76-2A0E-0F43-94CC-196C6443BAC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26D905D-5AEC-2041-8653-9B0929A0299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37E2667-8B0F-BF4C-9EB1-45E383B1696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75B7571-3C5B-F740-836E-610FE84EF86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686F796-F1B1-BA46-8C8B-7A6D0755684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FF4C394-CE54-BC4A-8F37-D78EC37363F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59D3706-AE2C-1545-A153-FA3033BDEDE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9C9124A-CA72-034B-B7B3-03CDC96479D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4CA8720-7311-A041-AEFC-431FFD678EE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EB7DCCA-1AFF-934D-B568-F00FD89C757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40D1522-7139-404D-BA05-9B4F68C7BD9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C01B6C2-E022-954E-B390-18347FC6F4D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46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96B96DA-6140-7249-BB29-3FE42C5DABB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9543EA0-CCA6-F146-8850-79615167A07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7970BD9-295C-3C47-90C5-2638AA6E1BD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42F3F06-9304-2741-824A-2BBEF1D18AC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866A694-A536-5842-AAC1-D79C42654C9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0E5FB04-4AAD-9240-82DC-CAE77BBA33B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9274B61-8728-984F-87A5-9059C7E5300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D220825-4466-B748-8785-DF89E4F7039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32CC981-BBE4-7A4B-BC31-7BA4DD3FA5D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24BE126-1917-C84F-AD46-C3C71B665D3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56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B9620960-35D5-4546-B2C1-5A0BDABB815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A31B9FC-CB47-D842-A8D2-18C542B2F06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04BD43C-A0F8-1547-9284-A80F6D26F22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FC1C254-8394-E544-8526-3A22BE5AC14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2C00ACE-6E0F-3748-9B13-F615EF320AA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7CA57DA-7B96-6D4C-AF63-5C1C20DF247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AA73EA4-1392-2D4C-88AD-CC73227FC4A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432739C-81CC-E94F-B5A9-B3593A880E2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5658559-6B4D-D149-B435-F572E1BA448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D3828EF-F7F9-2449-B26F-C976FB7130E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68C6398-1D12-3D4E-8BD2-74BB4092BE0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9D8FA6C-A890-3A4C-874E-AFC78A70DA6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577B542-83F0-4845-AF17-F15B05B3FFF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1DC7B4D-DEDA-3F49-9BFC-EC74B2BF8C7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396A8F6-DF74-7642-B2F5-7B5971B0866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B7B0CC2-9144-424D-B731-5EDAFFFBCAB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B8FEFDB-7EB3-A748-B6DA-3C0BA172A89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E486E8B-9D20-614F-9A76-0E4A94BA953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381714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7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F946EEAE-10FF-C04D-825C-3AEBAA79385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C37D1A-F844-F34D-9510-77EC44E8548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581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4691157-00D4-6149-8B2A-325CB3FA873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0507AD1-C322-1C4B-B36F-B8E4BDCB10C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4FB66FB-F36D-A447-97F8-9D95A4A1216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F0E7581-6EF7-2A4F-B225-EAD8669B72B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6D4D130-FD40-194C-9477-CAD43561DC6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92AF03C-556E-AF4D-B1E9-4C1D504A3A0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6025C5B-900E-F64C-855A-B7853C43F14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6A49B55-B514-5B4E-A2F7-8288C1CE5B1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2E9531F-D65E-9A4D-A14E-BA2BE7C2DF3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31078F3-022A-2045-AAF5-CAB0545302F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00C75D0-005D-0144-9674-993F44A7EBE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D2FBA8C-02D7-154A-BE9A-C686DDEDB6A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A61DDB6-1411-2F46-A2C8-8CC3B009A9F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3B5A6A6-EDAC-7F49-96B4-96BECF7A257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F117F38-E068-6F40-AAF2-3024BFAACF8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D7FED48-A7EE-3447-A0ED-64D7DF9F19A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DF1D9D7-B910-2C4C-81E6-641478FBA2C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DD9177E-6B02-584C-AFF9-32357DF066D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C4A3240-FFC7-0041-8B8A-73AF064EE46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2D2A1B2-3D20-3A40-9774-482C2D7D28A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E7769DC-EE12-A04C-BC29-EA7F678F6BE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4569656-CEAC-D549-9424-A9EDC93AB20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381714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198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6CA076F-EE34-1640-82DD-E182922CFC5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1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38259F9-4EE3-8442-B01C-1422BFB84F0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581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A2D1027-232B-B147-8F4C-F88182B811B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6073794-23B1-404A-9BB7-8CED905ABD1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578EF95-FD47-6B4A-8232-F372418FDA4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C1A6474-6E14-C24A-B336-AB5CE94CA16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E7C832D-2548-DC4A-AC06-748D2BBD607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9A9F148-2155-784E-BD87-0290CD8A7396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A5FBC00-3944-4F4C-B292-1DCC34650AC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8B2DD08-0154-9146-96FA-04FBDEC3951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30C34D3-7224-294D-91B4-B8C251A13D1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484AB20-05AE-404E-8929-D94072E423E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E5D36E0-CA4D-284F-A37A-87262A1FAE36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3DA6BA0-B5DA-5943-9D8A-B792ACDD3B9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49DDFBB-997F-C34E-B717-F33C227BC9E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4E36F95-1CD4-874B-8F41-F3F9B76FC40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EEA4BAC-0E7A-E741-847C-F1CDC634CFD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0462303-616B-8D47-AA5E-61273BC1075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60129EE-6C9F-7441-8E3B-9693D4CB486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1DBDD71-AB7B-7F46-95A7-B07EE8DC4EA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2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BE77DDE-C2A0-EA49-8C55-15F1B6082C76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381714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21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CAA617D9-3E29-7141-B9C2-970BC683DA1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CC24DF3-820A-534A-85E4-0E27ADC7FD9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581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0924036-9371-4E43-AF74-D6440BB55F7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780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09F27AB-998B-DA42-B572-93F4C4642DD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5CE808B-14B8-204F-A1E4-C212209D41F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2980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07DC36C-C936-054C-87A2-50B8921FEF0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D165EEF-125E-404B-A3D1-D2911AA28D2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1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71B9E61-E4C2-AA4A-BAF6-B2ED9926F6D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7F70CB0-7121-F346-830C-047E566DFB5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379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B5DBAA7-7643-D04D-93EE-E4BCDABD965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85A51F7-6DB9-5841-B3BF-7D90AD844BE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579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1DED46F-0402-B145-8559-CC21C9CF9BC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229E91B-AD64-2746-9A94-3924575A6C3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77871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9DCC5CF-E880-374C-AF2A-29BB64D3C84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2768249-E823-1F4D-954F-479ECDD201A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39782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B8D73A2-005D-DF40-BDCF-9FCBE62A648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52A78A6-86A8-2249-A7EE-2641D707285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17785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B765296-CA64-8E45-BE3B-BDCB1D5C71E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377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9B05305-9D56-7748-8021-AA7F1F9659D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61598B2-250F-4947-938E-126537CAFFE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2A6EFFA-AD53-D642-A9B2-DA629F1805A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A0B256-6AD3-2049-B070-1212A78D688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B2F632F-1ADB-A64B-98D0-2FB697FFCCD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AE07662-6316-B643-9ACA-C0C4B0E81CE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24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C0C22DB7-5939-9243-BB94-677E50ED081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0EBDC37-99DC-B448-A4CC-EC907B17AB3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E5EB91E-2696-2842-9F3F-7BCBA60DFA7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CBEF410-CD5C-D44A-B034-23692F2EB14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C5972E4-8A66-BA46-80E9-5573554D720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72F4B88-03A9-DB45-BCDF-4FEAB103DA5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E1F4506-98BB-8949-BD88-6E269D7882C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C8A3203-5B6B-E649-B417-D19E00BA6A0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182723-7BA0-C346-8F59-8A8D97096DF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9B9AA88-D867-B84F-83DD-90D99DDD43E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25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DD014AF-6406-EC4A-A238-01DFCAAB60F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093BB7-A1D5-D34A-94EA-BA930F13169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BDBC259-E175-5047-A6A8-C615B4141461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5CB97A3-F8B8-FC4F-8E28-0EEBB69C010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BAE1923-8489-6346-A1EB-B106160388F3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D28EAE1-3757-E346-8334-9E2CD7E4B972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27664A0-5735-5942-8C2F-678CFAC502A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A455EC0-4C1D-C54F-84AD-CF8A117AA94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158342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D383109-3658-D047-9E2F-6482EB4C6B2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0EE5DA0-F910-DD48-B947-C079BC4125A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FE1B59E-2D77-224A-B4C8-4737233C7D4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903CB43-3BB7-3E46-A641-95C65F95C6F4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20FEA14-791A-B745-A821-497D79FDF62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6B81931-B4E4-BC4B-AE49-8B945237E99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26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1A16B49E-B92C-9A41-BD02-E1D01B069678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6843AC4-9DBD-7545-ADA6-5FA2653940F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82E20A5-7FE4-7D4D-9C1D-1024A369AE5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687A85-D5C0-054D-AA96-5F28DA359CD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7FEE8C9-AE36-F24C-BC89-DC25A74FA84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25FC495-E4F0-5845-BA9D-DFAD9B4B4069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5E4BE33-2259-AB4B-BE3A-17465C6B8C1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8A2F4F8-7E02-724B-BC4E-E824C770AFED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9C5B1AB-C20D-9C4F-95BA-6DA4F22AF38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1B5E8FE-A649-8742-B6F9-6D8F80305C7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6853"/>
    <xdr:sp macro="" textlink="">
      <xdr:nvSpPr>
        <xdr:cNvPr id="2277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B8204A9-BA19-C049-B31C-935E8615AAFA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430E47C-B837-DE4B-87CF-189AF977FE45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B37F8CC-B3F9-BC40-9528-2469645A6BDC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FF7EB42-BC31-854D-BA2F-6DD8FB01E327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5DD37C9-DD98-714A-A221-C5B1AD3E8010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2469DAF-CDF5-1643-9F06-DA7D8155849E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5B824BA-3A30-0A43-85C7-54CF25AAC74B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2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1DCE7D5-85D9-A044-ADDC-B464E85A89EF}"/>
            </a:ext>
          </a:extLst>
        </xdr:cNvPr>
        <xdr:cNvSpPr>
          <a:spLocks noChangeAspect="1" noChangeArrowheads="1"/>
        </xdr:cNvSpPr>
      </xdr:nvSpPr>
      <xdr:spPr bwMode="auto">
        <a:xfrm>
          <a:off x="7565571" y="4477657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F6A23E5-040D-F244-9D44-62B160D9E896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4295587-FD56-2147-B43C-7DC9EF71BA3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7C12443-5CDA-4D4B-820D-7AB6FB808C5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16098AC-AB53-844D-BBA6-6953DDE5E77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F5E72FB-DE92-4B42-8949-DE67EAA73A2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297989F-9BED-9347-91E2-0213726AE0A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51E2177-2559-254B-8FAE-B5E764B9443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2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139803E-7E7E-F94C-869A-806A3BD0D83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6853"/>
    <xdr:sp macro="" textlink="">
      <xdr:nvSpPr>
        <xdr:cNvPr id="22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7B3A4F0-ADF2-B846-884C-56358D77B3D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6853"/>
    <xdr:sp macro="" textlink="">
      <xdr:nvSpPr>
        <xdr:cNvPr id="229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7ABD38-50C8-A448-92BB-7B433C91A01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2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620F330-52AD-5A46-9B2E-5978D113B60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4800"/>
    <xdr:sp macro="" textlink="">
      <xdr:nvSpPr>
        <xdr:cNvPr id="22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9CC2082-BAF8-824C-AF0D-BB259120701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215</xdr:row>
      <xdr:rowOff>0</xdr:rowOff>
    </xdr:from>
    <xdr:ext cx="304800" cy="304800"/>
    <xdr:sp macro="" textlink="">
      <xdr:nvSpPr>
        <xdr:cNvPr id="22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41F001F-2490-4046-8C8C-38DD3A206BB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215</xdr:row>
      <xdr:rowOff>0</xdr:rowOff>
    </xdr:from>
    <xdr:ext cx="304800" cy="304800"/>
    <xdr:sp macro="" textlink="">
      <xdr:nvSpPr>
        <xdr:cNvPr id="22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1BD0D97-0495-1448-86A7-8305AC64DC66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216</xdr:row>
      <xdr:rowOff>0</xdr:rowOff>
    </xdr:from>
    <xdr:ext cx="304800" cy="304800"/>
    <xdr:sp macro="" textlink="">
      <xdr:nvSpPr>
        <xdr:cNvPr id="22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CA54F1E-323E-0F4A-8B61-31ECACAAAD5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216</xdr:row>
      <xdr:rowOff>0</xdr:rowOff>
    </xdr:from>
    <xdr:ext cx="304800" cy="304800"/>
    <xdr:sp macro="" textlink="">
      <xdr:nvSpPr>
        <xdr:cNvPr id="23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908EBAB-6F6E-6C4C-B3C5-4C200B954A7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23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80ED4AB-37E4-164B-BADA-C015170DC96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23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27361ED-3C04-9846-A582-F3768365C26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218</xdr:row>
      <xdr:rowOff>0</xdr:rowOff>
    </xdr:from>
    <xdr:ext cx="304800" cy="304800"/>
    <xdr:sp macro="" textlink="">
      <xdr:nvSpPr>
        <xdr:cNvPr id="23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2C7A012-8713-464F-9411-4E49212AD78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218</xdr:row>
      <xdr:rowOff>0</xdr:rowOff>
    </xdr:from>
    <xdr:ext cx="304800" cy="304800"/>
    <xdr:sp macro="" textlink="">
      <xdr:nvSpPr>
        <xdr:cNvPr id="23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C60EA29-7025-8546-A2C0-C2BBC13CE48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219</xdr:row>
      <xdr:rowOff>0</xdr:rowOff>
    </xdr:from>
    <xdr:ext cx="304800" cy="304800"/>
    <xdr:sp macro="" textlink="">
      <xdr:nvSpPr>
        <xdr:cNvPr id="23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08C8A22-0E71-5F42-8382-6852DBFF2BB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219</xdr:row>
      <xdr:rowOff>0</xdr:rowOff>
    </xdr:from>
    <xdr:ext cx="304800" cy="304800"/>
    <xdr:sp macro="" textlink="">
      <xdr:nvSpPr>
        <xdr:cNvPr id="23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3D3F6EA-CE11-7C47-906F-4CE27E60541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0"/>
    <xdr:sp macro="" textlink="">
      <xdr:nvSpPr>
        <xdr:cNvPr id="23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5C1FC81-57AE-6245-9FD3-A8A67643E5D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0"/>
    <xdr:sp macro="" textlink="">
      <xdr:nvSpPr>
        <xdr:cNvPr id="23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29327B5-44BE-1741-A881-03FA7E22965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3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B53B10C-6A4D-BF4E-84D8-07C34BCA1B3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3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EF1737-AF23-7F48-979F-2098044411E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4993050-5211-1049-963F-450C5C6639A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26130F4-1047-DE4E-9A91-3A3F4065799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1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F7F3F4C-ED01-C74C-9A92-67FA0A1279B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C386DDA-0529-1A42-A0C6-B1817086108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3BE632-00F0-3045-9E1B-75B7737745B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8F18008-A0F4-B146-966E-C323017D233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6853"/>
    <xdr:sp macro="" textlink="">
      <xdr:nvSpPr>
        <xdr:cNvPr id="23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C4B60FF-546C-1947-AC19-64749CE49D1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6853"/>
    <xdr:sp macro="" textlink="">
      <xdr:nvSpPr>
        <xdr:cNvPr id="2318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6DA5D38-1125-594E-82A8-69F93931542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1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2D3B8F5-0CCD-834E-A973-E7F614C8266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4800"/>
    <xdr:sp macro="" textlink="">
      <xdr:nvSpPr>
        <xdr:cNvPr id="23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295120A-9FDF-FD47-B9CD-8B35FA7235E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215</xdr:row>
      <xdr:rowOff>0</xdr:rowOff>
    </xdr:from>
    <xdr:ext cx="304800" cy="304800"/>
    <xdr:sp macro="" textlink="">
      <xdr:nvSpPr>
        <xdr:cNvPr id="23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E049AFF-4D23-AF4F-A4FF-592A122C713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215</xdr:row>
      <xdr:rowOff>0</xdr:rowOff>
    </xdr:from>
    <xdr:ext cx="304800" cy="304800"/>
    <xdr:sp macro="" textlink="">
      <xdr:nvSpPr>
        <xdr:cNvPr id="23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5E5D083-1D02-1F40-B8A5-417B85B5254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216</xdr:row>
      <xdr:rowOff>0</xdr:rowOff>
    </xdr:from>
    <xdr:ext cx="304800" cy="304800"/>
    <xdr:sp macro="" textlink="">
      <xdr:nvSpPr>
        <xdr:cNvPr id="23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BDB0576-F47A-2445-8431-C4A4FDCB29D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216</xdr:row>
      <xdr:rowOff>0</xdr:rowOff>
    </xdr:from>
    <xdr:ext cx="304800" cy="304800"/>
    <xdr:sp macro="" textlink="">
      <xdr:nvSpPr>
        <xdr:cNvPr id="232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BD54F7B-0411-1449-B9B1-CA42FE02D81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23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8763230-39D6-9646-8627-7059285A1BD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23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DE19F56-F2DF-1543-8EB2-4919609850B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218</xdr:row>
      <xdr:rowOff>0</xdr:rowOff>
    </xdr:from>
    <xdr:ext cx="304800" cy="304800"/>
    <xdr:sp macro="" textlink="">
      <xdr:nvSpPr>
        <xdr:cNvPr id="23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7F08509-FDDB-FB46-87B2-7DD80CB15B3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218</xdr:row>
      <xdr:rowOff>0</xdr:rowOff>
    </xdr:from>
    <xdr:ext cx="304800" cy="304800"/>
    <xdr:sp macro="" textlink="">
      <xdr:nvSpPr>
        <xdr:cNvPr id="23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D82DC2A-81C5-644C-AD23-EC1A2048F32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219</xdr:row>
      <xdr:rowOff>0</xdr:rowOff>
    </xdr:from>
    <xdr:ext cx="304800" cy="304800"/>
    <xdr:sp macro="" textlink="">
      <xdr:nvSpPr>
        <xdr:cNvPr id="23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4C2A83-EAAF-FA4F-B37F-60B5D7FEA03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219</xdr:row>
      <xdr:rowOff>0</xdr:rowOff>
    </xdr:from>
    <xdr:ext cx="304800" cy="304800"/>
    <xdr:sp macro="" textlink="">
      <xdr:nvSpPr>
        <xdr:cNvPr id="23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1D7F617-6610-C64D-8E94-27F93D85631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0"/>
    <xdr:sp macro="" textlink="">
      <xdr:nvSpPr>
        <xdr:cNvPr id="23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C54E4E7-B9C7-7B4F-ADAC-42E2DB8199A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0"/>
    <xdr:sp macro="" textlink="">
      <xdr:nvSpPr>
        <xdr:cNvPr id="23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97D268A-9220-E443-BA14-6B638753DD4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3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4C8FE3E-DCE0-7746-A2F8-868C95AEAF6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3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FA0C4D4-0D1E-E94B-A251-0009683D41C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39B0A54-7E51-D040-8A18-ECCC72056C6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DA6EFB0-16DF-8147-8F47-5253342CBB7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D56B148-0106-CF44-AFDA-74C0D6B0D82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6853"/>
    <xdr:sp macro="" textlink="">
      <xdr:nvSpPr>
        <xdr:cNvPr id="23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C96F997-5399-BD48-A21F-8A72C89FFFC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6853"/>
    <xdr:sp macro="" textlink="">
      <xdr:nvSpPr>
        <xdr:cNvPr id="233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F413001-C021-3945-9003-74C08FE06F6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DC289BD-8CA9-584E-90CD-E875E35A448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4800"/>
    <xdr:sp macro="" textlink="">
      <xdr:nvSpPr>
        <xdr:cNvPr id="23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605225E-FD0E-6F41-B244-5D3054F2C20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215</xdr:row>
      <xdr:rowOff>0</xdr:rowOff>
    </xdr:from>
    <xdr:ext cx="304800" cy="304800"/>
    <xdr:sp macro="" textlink="">
      <xdr:nvSpPr>
        <xdr:cNvPr id="234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64D7467-8F12-B34A-83D8-93BB071733D6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215</xdr:row>
      <xdr:rowOff>0</xdr:rowOff>
    </xdr:from>
    <xdr:ext cx="304800" cy="304800"/>
    <xdr:sp macro="" textlink="">
      <xdr:nvSpPr>
        <xdr:cNvPr id="23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0AABDE0-211C-BD42-AFE9-9FC6BB6A831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216</xdr:row>
      <xdr:rowOff>0</xdr:rowOff>
    </xdr:from>
    <xdr:ext cx="304800" cy="304800"/>
    <xdr:sp macro="" textlink="">
      <xdr:nvSpPr>
        <xdr:cNvPr id="23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FAA0A9C-FBC7-1B47-A343-F03539A55BC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216</xdr:row>
      <xdr:rowOff>0</xdr:rowOff>
    </xdr:from>
    <xdr:ext cx="304800" cy="304800"/>
    <xdr:sp macro="" textlink="">
      <xdr:nvSpPr>
        <xdr:cNvPr id="234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2369348-DD1C-9048-98EE-70CBADF7D16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234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2ECFCC9-EE9B-F44A-ABF9-C9E041AC8CA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234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56F6EBE-0FAF-6B44-B96B-2B0FE26F307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218</xdr:row>
      <xdr:rowOff>0</xdr:rowOff>
    </xdr:from>
    <xdr:ext cx="304800" cy="304800"/>
    <xdr:sp macro="" textlink="">
      <xdr:nvSpPr>
        <xdr:cNvPr id="234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220D094-F47F-C840-B54B-8B2A0C69D10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218</xdr:row>
      <xdr:rowOff>0</xdr:rowOff>
    </xdr:from>
    <xdr:ext cx="304800" cy="304800"/>
    <xdr:sp macro="" textlink="">
      <xdr:nvSpPr>
        <xdr:cNvPr id="234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FB1CA26-C9D4-E742-A10C-E0DFD2047BD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219</xdr:row>
      <xdr:rowOff>0</xdr:rowOff>
    </xdr:from>
    <xdr:ext cx="304800" cy="304800"/>
    <xdr:sp macro="" textlink="">
      <xdr:nvSpPr>
        <xdr:cNvPr id="235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F8140F1-FC34-C04F-8128-6836F600704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219</xdr:row>
      <xdr:rowOff>0</xdr:rowOff>
    </xdr:from>
    <xdr:ext cx="304800" cy="304800"/>
    <xdr:sp macro="" textlink="">
      <xdr:nvSpPr>
        <xdr:cNvPr id="235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8B8B208-0019-3D4A-B872-9FCA85BF0C5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0"/>
    <xdr:sp macro="" textlink="">
      <xdr:nvSpPr>
        <xdr:cNvPr id="235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EEFACA2-4398-9D44-B561-7486D87FAC9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0"/>
    <xdr:sp macro="" textlink="">
      <xdr:nvSpPr>
        <xdr:cNvPr id="235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CF09943-3EAD-5745-8715-2E5CE3CA6A9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35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F3EB4A-3BC3-BE48-9C16-9F9EB2598BE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35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8639BA6-B86F-9244-8414-39697B22C1B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35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8E5BE51-C850-2940-BD46-DD6E69D43DF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5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2D0EA23-8CC9-1B46-80FF-1304F7B8476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5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FE17BFC-54E0-3F47-9403-D0AA6A26F4D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5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20DF09E-5E85-344F-83FD-9F3B4B18F646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C8D54F4-2707-DA4F-8F63-7827E2F6F20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E3F431F-C0EF-9846-9F04-3D37BD6FB5E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6FC0044-5CFA-274A-9E38-801FE7EB916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6853"/>
    <xdr:sp macro="" textlink="">
      <xdr:nvSpPr>
        <xdr:cNvPr id="236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75CCF95-283E-5048-870E-F79397DA529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2A6B0C7-0451-3149-A771-CD6303C5928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80AEEA-4888-2843-B0FB-96D56D09FAD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F62B4AB-0903-AC4C-B1CC-59FF35EE263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601A419-0072-D245-85CD-11C2FC3C596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75B76B5-511F-794D-A585-E39E3940E5B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0AF9424-DA81-5E4A-A59A-E8C93B556F3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7E9121C-11D2-2846-A2E1-AF0293BD3CD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C829B9E-4B19-6045-AA49-A2C4D62F4C6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027A60F-7E72-1C42-B172-780B83726C7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6853"/>
    <xdr:sp macro="" textlink="">
      <xdr:nvSpPr>
        <xdr:cNvPr id="237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AF81E7A-A926-CD4C-B2BC-07E4A5EF1B1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F9D70A5-CD70-F143-AE3F-9983A67C0B8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06CCD8E-7A7E-3C4A-BC64-F7313421111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DEA3BDF-8A6D-1D49-AAF5-50A131631C2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518777E-6CDD-384C-842B-6F5615B6E4F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C7EC6C6-96A0-4E4F-9DB7-4DCFE5E81C9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7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0EAF02B-B9BB-BC46-B27B-898F4687AE3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8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D14B0E1-702F-9F44-9BCF-79AE317B328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8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99C6429-ED7A-964C-B941-B9B753A226C6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8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FD21872-B8C9-3C41-9182-CCA7181029E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8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EBDA69C-B2F4-1048-8282-EF7539CB6E0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8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5198033-93F7-C64C-B69C-1815140C984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8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C54827A-221D-BB43-A617-149BA0AE0FD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84568FC-7844-6D44-A3AF-63899A8C2AC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3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7BEBEE2-270A-244A-A0C6-F0C99B642D6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3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050A137-E736-D440-97E2-D58507A8C98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3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604682E-CE93-7844-850D-1D5CF20E0C7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211</xdr:row>
      <xdr:rowOff>0</xdr:rowOff>
    </xdr:from>
    <xdr:ext cx="304800" cy="304800"/>
    <xdr:sp macro="" textlink="">
      <xdr:nvSpPr>
        <xdr:cNvPr id="23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CCACD56-2897-5E45-AA82-2C5091222DD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98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211</xdr:row>
      <xdr:rowOff>0</xdr:rowOff>
    </xdr:from>
    <xdr:ext cx="304800" cy="304800"/>
    <xdr:sp macro="" textlink="">
      <xdr:nvSpPr>
        <xdr:cNvPr id="23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EEF91E8-6377-A449-B534-50C894EC0846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98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4800"/>
    <xdr:sp macro="" textlink="">
      <xdr:nvSpPr>
        <xdr:cNvPr id="239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4B72B33-E12F-8445-9091-EA354E53551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4800"/>
    <xdr:sp macro="" textlink="">
      <xdr:nvSpPr>
        <xdr:cNvPr id="23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51053C7-4B11-0D4E-9BCF-461ABECE84A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3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7134451-CA70-EB48-8D77-EC1F2E29A2D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6853"/>
    <xdr:sp macro="" textlink="">
      <xdr:nvSpPr>
        <xdr:cNvPr id="23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CCF680F-F889-8048-81AF-D52949E39C7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6853"/>
    <xdr:sp macro="" textlink="">
      <xdr:nvSpPr>
        <xdr:cNvPr id="2396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C377B234-B094-A24B-AC86-75660E420ED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223</xdr:row>
      <xdr:rowOff>0</xdr:rowOff>
    </xdr:from>
    <xdr:ext cx="304800" cy="304800"/>
    <xdr:sp macro="" textlink="">
      <xdr:nvSpPr>
        <xdr:cNvPr id="23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512C91C-C789-B94F-AB0C-C6B7A9BFD94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2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4800"/>
    <xdr:sp macro="" textlink="">
      <xdr:nvSpPr>
        <xdr:cNvPr id="23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DEC00CD-B3B8-934A-9CF0-32B8F39D419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3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F87D117-075B-0F41-816F-4F82760EAEE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0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BF09D93-6E0B-D24B-A30D-8FDC0CCA866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40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546134A-C664-104E-826D-D087FEA45B5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40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68F5ECB-ECB7-694F-821F-5980EDA0C80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0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6DAE962-B3C4-3D4E-8367-4150129C9F3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0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10E2BC6-56CD-C74E-9BA5-FDAA47B8330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40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1D03F22-7B0D-1E41-BC25-5BA3E618991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40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9AED1E4-DDDF-D14B-B86A-0D70368D277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211</xdr:row>
      <xdr:rowOff>0</xdr:rowOff>
    </xdr:from>
    <xdr:ext cx="304800" cy="304800"/>
    <xdr:sp macro="" textlink="">
      <xdr:nvSpPr>
        <xdr:cNvPr id="240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3D6BE6C-3C1F-334D-9239-8EC0076E17C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98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211</xdr:row>
      <xdr:rowOff>0</xdr:rowOff>
    </xdr:from>
    <xdr:ext cx="304800" cy="304800"/>
    <xdr:sp macro="" textlink="">
      <xdr:nvSpPr>
        <xdr:cNvPr id="240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595B159-0AAC-8344-AA73-4C4844D5315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98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4800"/>
    <xdr:sp macro="" textlink="">
      <xdr:nvSpPr>
        <xdr:cNvPr id="240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75081A7-5A38-C549-97EE-796FD022194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4800"/>
    <xdr:sp macro="" textlink="">
      <xdr:nvSpPr>
        <xdr:cNvPr id="241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8886A15-43C7-1E44-9DAB-F0EFF2920B7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41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6112063-7EC6-784E-ABA5-D2C8F9DB347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6853"/>
    <xdr:sp macro="" textlink="">
      <xdr:nvSpPr>
        <xdr:cNvPr id="241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08F38A5-6FA4-5A4A-9B80-49E1A6CAA28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6853"/>
    <xdr:sp macro="" textlink="">
      <xdr:nvSpPr>
        <xdr:cNvPr id="2413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09D0F5C-CBA6-9B4D-81B8-16F3AB0DFE2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223</xdr:row>
      <xdr:rowOff>0</xdr:rowOff>
    </xdr:from>
    <xdr:ext cx="304800" cy="304800"/>
    <xdr:sp macro="" textlink="">
      <xdr:nvSpPr>
        <xdr:cNvPr id="241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30F92CD-07E6-CD49-9148-A007C27F571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2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4800"/>
    <xdr:sp macro="" textlink="">
      <xdr:nvSpPr>
        <xdr:cNvPr id="241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6F6B2E4-46E6-884B-943D-C7375B0A4F2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1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6144BB7-7FB7-9146-AB56-DDD7FC5EEA1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1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244DB67-EC8D-BB44-B316-08C40FDE008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6853"/>
    <xdr:sp macro="" textlink="">
      <xdr:nvSpPr>
        <xdr:cNvPr id="241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A089B63-8287-5E46-B2C5-50D5A9D955D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6853"/>
    <xdr:sp macro="" textlink="">
      <xdr:nvSpPr>
        <xdr:cNvPr id="2419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6DABDC9F-A1F0-714A-9B38-CDD714E1B5B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223</xdr:row>
      <xdr:rowOff>0</xdr:rowOff>
    </xdr:from>
    <xdr:ext cx="304800" cy="304800"/>
    <xdr:sp macro="" textlink="">
      <xdr:nvSpPr>
        <xdr:cNvPr id="242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CF5F820-6F98-B545-AFC1-A9FC4490006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2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4800"/>
    <xdr:sp macro="" textlink="">
      <xdr:nvSpPr>
        <xdr:cNvPr id="242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004DA8E-9875-9B40-8865-B77473AFC32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2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D130BC3-5DB8-7045-8DA7-F4E8623D7EC4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2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355BD8D-513C-AD4B-ACE2-302C710DA7B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6853"/>
    <xdr:sp macro="" textlink="">
      <xdr:nvSpPr>
        <xdr:cNvPr id="2424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BCBA41C-AAAE-0843-8252-3D03F4CA3E1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2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AF09A50-2F53-5C41-8336-D68A7740698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2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18B25E3-583B-F44A-843C-704A37F33AA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2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4702BF0-9638-9D44-BB4A-2B4BE21AF34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2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ECA3387-71A0-C340-87CD-013AC37D627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2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1679321-B1A1-3B47-92F8-D560A26861C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3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9A153A0-AB29-7840-91E1-24160E0E07F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209</xdr:row>
      <xdr:rowOff>0</xdr:rowOff>
    </xdr:from>
    <xdr:ext cx="304800" cy="304800"/>
    <xdr:sp macro="" textlink="">
      <xdr:nvSpPr>
        <xdr:cNvPr id="243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6B778D9-1C3C-DC42-B512-4A4D2202A7A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432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D8DD334-780B-E143-AE51-85BED12CEDD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210</xdr:row>
      <xdr:rowOff>0</xdr:rowOff>
    </xdr:from>
    <xdr:ext cx="304800" cy="304800"/>
    <xdr:sp macro="" textlink="">
      <xdr:nvSpPr>
        <xdr:cNvPr id="243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4D594EE-72D6-4446-B169-88FE0CBFAD1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211</xdr:row>
      <xdr:rowOff>0</xdr:rowOff>
    </xdr:from>
    <xdr:ext cx="304800" cy="304800"/>
    <xdr:sp macro="" textlink="">
      <xdr:nvSpPr>
        <xdr:cNvPr id="243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7ACBAAD-65AE-F64E-BF74-51458EBE5C8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98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211</xdr:row>
      <xdr:rowOff>0</xdr:rowOff>
    </xdr:from>
    <xdr:ext cx="304800" cy="304800"/>
    <xdr:sp macro="" textlink="">
      <xdr:nvSpPr>
        <xdr:cNvPr id="243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16DA32C-E3C2-5045-B96E-BA1C7A151C5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798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4800"/>
    <xdr:sp macro="" textlink="">
      <xdr:nvSpPr>
        <xdr:cNvPr id="243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B43868-ACB3-0A48-9A17-4E8DBABD724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212</xdr:row>
      <xdr:rowOff>0</xdr:rowOff>
    </xdr:from>
    <xdr:ext cx="304800" cy="304800"/>
    <xdr:sp macro="" textlink="">
      <xdr:nvSpPr>
        <xdr:cNvPr id="243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63A158A-5FDA-3345-A29F-F48CB57BD7CF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17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43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35E1473-DDAB-BF45-AF54-2409F761996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213</xdr:row>
      <xdr:rowOff>0</xdr:rowOff>
    </xdr:from>
    <xdr:ext cx="304800" cy="304800"/>
    <xdr:sp macro="" textlink="">
      <xdr:nvSpPr>
        <xdr:cNvPr id="243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2475C4F-FD6C-CB4E-8A60-290116C18F1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214</xdr:row>
      <xdr:rowOff>0</xdr:rowOff>
    </xdr:from>
    <xdr:ext cx="304800" cy="304800"/>
    <xdr:sp macro="" textlink="">
      <xdr:nvSpPr>
        <xdr:cNvPr id="244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6D3E4E0-AAFE-BC40-BCD1-FB28A8CA4FA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223</xdr:row>
      <xdr:rowOff>0</xdr:rowOff>
    </xdr:from>
    <xdr:ext cx="304800" cy="306853"/>
    <xdr:sp macro="" textlink="">
      <xdr:nvSpPr>
        <xdr:cNvPr id="244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DEFAF09-BD92-0444-9F59-17F0E8AD5E1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2717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6853"/>
    <xdr:sp macro="" textlink="">
      <xdr:nvSpPr>
        <xdr:cNvPr id="244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43C2974-412D-FA4D-A6FF-F1D7B4929330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4800"/>
    <xdr:sp macro="" textlink="">
      <xdr:nvSpPr>
        <xdr:cNvPr id="244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76E94B3-BF53-794E-93EB-97D15CFCFD9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4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DAE63DA-6788-D644-BA76-540D227A26A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244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216D6AD-C5FD-BA4F-BDA7-09FBB37A2660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3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4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28E4294-7A88-8344-9C88-928924083234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4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0B81C1A-9B31-DF40-B58A-EDCDC7B11186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4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7A686F2-E2FA-F14E-921D-6AC09671812A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4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DEF384EB-5C30-B74A-84EF-DD6B85D173B4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97081FE-B116-A44A-82B3-5BFDB881A129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E428414-C15F-644D-AEE5-2F8D9E3E99AD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D5F32DF-BC2A-3749-B3A8-E46DF2EB16FA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3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2F7A216-B79E-1F4A-8880-D5DD586C85B6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4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AC0FCF40-E2EB-964B-986C-4753DC7CBDAB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5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73EE7CA-A22C-2A42-AC54-34B37A76BF44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6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6C5C4F7-1D2D-D847-B87F-9D26E60793F7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7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0549386-8931-A54E-BD3C-8543428C0C2E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8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8FF85A8-9D3D-AA4B-8BA6-531A663B13B2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2459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A341723-2D7D-3E4A-94A9-456959202D6B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210</xdr:row>
      <xdr:rowOff>0</xdr:rowOff>
    </xdr:from>
    <xdr:ext cx="304800" cy="304801"/>
    <xdr:sp macro="" textlink="">
      <xdr:nvSpPr>
        <xdr:cNvPr id="2460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A8052A9-8AE2-F747-AB60-BF3B03BDAEE5}"/>
            </a:ext>
          </a:extLst>
        </xdr:cNvPr>
        <xdr:cNvSpPr>
          <a:spLocks noChangeAspect="1" noChangeArrowheads="1"/>
        </xdr:cNvSpPr>
      </xdr:nvSpPr>
      <xdr:spPr bwMode="auto">
        <a:xfrm>
          <a:off x="482600" y="37795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220</xdr:row>
      <xdr:rowOff>0</xdr:rowOff>
    </xdr:from>
    <xdr:ext cx="304800" cy="304801"/>
    <xdr:sp macro="" textlink="">
      <xdr:nvSpPr>
        <xdr:cNvPr id="246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0CBFF4A-C396-BE49-9116-31C5C6AD7888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700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1"/>
    <xdr:sp macro="" textlink="">
      <xdr:nvSpPr>
        <xdr:cNvPr id="246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784D9A8-DA39-C045-923C-D47B0188BB33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221</xdr:row>
      <xdr:rowOff>0</xdr:rowOff>
    </xdr:from>
    <xdr:ext cx="304800" cy="304800"/>
    <xdr:sp macro="" textlink="">
      <xdr:nvSpPr>
        <xdr:cNvPr id="246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C2BEE5E-4C81-3E43-9CDB-EE7EA9BB367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398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222</xdr:row>
      <xdr:rowOff>0</xdr:rowOff>
    </xdr:from>
    <xdr:ext cx="304800" cy="304800"/>
    <xdr:sp macro="" textlink="">
      <xdr:nvSpPr>
        <xdr:cNvPr id="246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FFF01DE-4027-AD45-986E-ADB4D86CFE91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223</xdr:row>
      <xdr:rowOff>0</xdr:rowOff>
    </xdr:from>
    <xdr:ext cx="304800" cy="304800"/>
    <xdr:sp macro="" textlink="">
      <xdr:nvSpPr>
        <xdr:cNvPr id="246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8B5E239-5DB1-9D47-92F1-2F333C4AE9E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2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223</xdr:row>
      <xdr:rowOff>0</xdr:rowOff>
    </xdr:from>
    <xdr:ext cx="304800" cy="304800"/>
    <xdr:sp macro="" textlink="">
      <xdr:nvSpPr>
        <xdr:cNvPr id="246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D9D80D5-E99B-974F-ABA5-463F175F2E0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2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4800"/>
    <xdr:sp macro="" textlink="">
      <xdr:nvSpPr>
        <xdr:cNvPr id="246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EF282D4-176C-3141-B5C1-2572F5CF71C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224</xdr:row>
      <xdr:rowOff>0</xdr:rowOff>
    </xdr:from>
    <xdr:ext cx="304800" cy="304800"/>
    <xdr:sp macro="" textlink="">
      <xdr:nvSpPr>
        <xdr:cNvPr id="246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C43591B-ED6E-EE45-B307-F3C675D6AD3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4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6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7C8A993-18E1-2546-B1AD-F8E62BCACF29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7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ECE9BAE-71DD-5940-B537-06A61329DAF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219</xdr:row>
      <xdr:rowOff>0</xdr:rowOff>
    </xdr:from>
    <xdr:ext cx="304800" cy="304800"/>
    <xdr:sp macro="" textlink="">
      <xdr:nvSpPr>
        <xdr:cNvPr id="2471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6BD9AC73-0760-DA4A-9243-42D8934BC528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214</xdr:row>
      <xdr:rowOff>0</xdr:rowOff>
    </xdr:from>
    <xdr:ext cx="304800" cy="304800"/>
    <xdr:sp macro="" textlink="">
      <xdr:nvSpPr>
        <xdr:cNvPr id="2472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AED75A9-976C-6943-90FF-884B76136A0E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216</xdr:row>
      <xdr:rowOff>0</xdr:rowOff>
    </xdr:from>
    <xdr:ext cx="304800" cy="304800"/>
    <xdr:sp macro="" textlink="">
      <xdr:nvSpPr>
        <xdr:cNvPr id="2473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9DF7A5E-5A41-A244-9E73-A499AB4D8BDE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216</xdr:row>
      <xdr:rowOff>0</xdr:rowOff>
    </xdr:from>
    <xdr:ext cx="304800" cy="304800"/>
    <xdr:sp macro="" textlink="">
      <xdr:nvSpPr>
        <xdr:cNvPr id="2474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270ED6D-CE65-1C43-9F57-2F9E243F28E2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223</xdr:row>
      <xdr:rowOff>0</xdr:rowOff>
    </xdr:from>
    <xdr:ext cx="304800" cy="304799"/>
    <xdr:sp macro="" textlink="">
      <xdr:nvSpPr>
        <xdr:cNvPr id="2475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8F733A9-7360-E349-A451-3EA736A87790}"/>
            </a:ext>
          </a:extLst>
        </xdr:cNvPr>
        <xdr:cNvSpPr>
          <a:spLocks noChangeAspect="1" noChangeArrowheads="1"/>
        </xdr:cNvSpPr>
      </xdr:nvSpPr>
      <xdr:spPr bwMode="auto">
        <a:xfrm>
          <a:off x="482600" y="402717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214</xdr:row>
      <xdr:rowOff>0</xdr:rowOff>
    </xdr:from>
    <xdr:ext cx="304800" cy="304800"/>
    <xdr:sp macro="" textlink="">
      <xdr:nvSpPr>
        <xdr:cNvPr id="2476" name="AutoShape 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1290E86-7354-7446-A2C8-8475BAF5E83C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216</xdr:row>
      <xdr:rowOff>0</xdr:rowOff>
    </xdr:from>
    <xdr:ext cx="304800" cy="304800"/>
    <xdr:sp macro="" textlink="">
      <xdr:nvSpPr>
        <xdr:cNvPr id="2477" name="AutoShape 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65A82B6-34BE-7345-9EDD-3637FD99B350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9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215</xdr:row>
      <xdr:rowOff>0</xdr:rowOff>
    </xdr:from>
    <xdr:ext cx="304800" cy="304800"/>
    <xdr:sp macro="" textlink="">
      <xdr:nvSpPr>
        <xdr:cNvPr id="2478" name="AutoShape 1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FE1539F-0563-D746-A813-CD466D54BFEC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7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222</xdr:row>
      <xdr:rowOff>0</xdr:rowOff>
    </xdr:from>
    <xdr:ext cx="304800" cy="304800"/>
    <xdr:sp macro="" textlink="">
      <xdr:nvSpPr>
        <xdr:cNvPr id="2479" name="AutoShape 1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E186541-CB99-EE40-990C-8FE0DDD0C480}"/>
            </a:ext>
          </a:extLst>
        </xdr:cNvPr>
        <xdr:cNvSpPr>
          <a:spLocks noChangeAspect="1" noChangeArrowheads="1"/>
        </xdr:cNvSpPr>
      </xdr:nvSpPr>
      <xdr:spPr bwMode="auto">
        <a:xfrm>
          <a:off x="482600" y="4008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214</xdr:row>
      <xdr:rowOff>0</xdr:rowOff>
    </xdr:from>
    <xdr:ext cx="304800" cy="304800"/>
    <xdr:sp macro="" textlink="">
      <xdr:nvSpPr>
        <xdr:cNvPr id="2480" name="AutoShape 1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7200DF2-E4CF-8F47-902D-0536E10FB70F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12700</xdr:rowOff>
    </xdr:from>
    <xdr:ext cx="304800" cy="304801"/>
    <xdr:sp macro="" textlink="">
      <xdr:nvSpPr>
        <xdr:cNvPr id="2481" name="AutoShape 16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2CB6A20F-982B-E144-B16C-10FA2D6B6640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7129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214</xdr:row>
      <xdr:rowOff>0</xdr:rowOff>
    </xdr:from>
    <xdr:ext cx="304800" cy="304800"/>
    <xdr:sp macro="" textlink="">
      <xdr:nvSpPr>
        <xdr:cNvPr id="248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FAA2E2C5-1BFF-644F-9148-A5485AD3798C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221</xdr:row>
      <xdr:rowOff>0</xdr:rowOff>
    </xdr:from>
    <xdr:ext cx="304800" cy="304801"/>
    <xdr:sp macro="" textlink="">
      <xdr:nvSpPr>
        <xdr:cNvPr id="248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589F2F3-788D-C24B-8EF2-7654AF76CF21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890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214</xdr:row>
      <xdr:rowOff>0</xdr:rowOff>
    </xdr:from>
    <xdr:ext cx="304800" cy="304800"/>
    <xdr:sp macro="" textlink="">
      <xdr:nvSpPr>
        <xdr:cNvPr id="2484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034FA62-F0D9-D947-AD2F-F9D515B683CB}"/>
            </a:ext>
          </a:extLst>
        </xdr:cNvPr>
        <xdr:cNvSpPr>
          <a:spLocks noChangeAspect="1" noChangeArrowheads="1"/>
        </xdr:cNvSpPr>
      </xdr:nvSpPr>
      <xdr:spPr bwMode="auto">
        <a:xfrm>
          <a:off x="482600" y="3855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221</xdr:row>
      <xdr:rowOff>0</xdr:rowOff>
    </xdr:from>
    <xdr:ext cx="304800" cy="304801"/>
    <xdr:sp macro="" textlink="">
      <xdr:nvSpPr>
        <xdr:cNvPr id="248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864799C-EBE3-EC48-8D58-78ED39890F6B}"/>
            </a:ext>
          </a:extLst>
        </xdr:cNvPr>
        <xdr:cNvSpPr>
          <a:spLocks noChangeAspect="1" noChangeArrowheads="1"/>
        </xdr:cNvSpPr>
      </xdr:nvSpPr>
      <xdr:spPr bwMode="auto">
        <a:xfrm>
          <a:off x="482600" y="39890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8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E337EA4-BDDF-7643-B1A6-7612FFD136C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8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EC09E2C-9FCD-7148-AD8B-65FB38ABC67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8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0566F81-E02A-4149-A47F-1835654F32C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8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103ED74-8F2C-D845-ABF0-39FEE3234BCB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0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4D3C8BD-2F4E-B24B-8A9C-E7D87BAB906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1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07758D3-CC0E-3942-9367-47BBFA3DCCB5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6853"/>
    <xdr:sp macro="" textlink="">
      <xdr:nvSpPr>
        <xdr:cNvPr id="2492" name="AutoShape 18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2FBEBF54-1675-6A45-8C95-AE98B26F6B02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6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3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79DE20E-15EE-8D4B-B14C-BF3C4F0B8E3A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4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78C8E76-08BD-D845-9277-CC4D318CCAD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5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FB99EB8-00FA-F949-A9ED-58581E7568E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6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A8CC6D4-4F63-8847-B64A-1B1F8153487C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7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B2EF71D-183F-004B-A599-A3D7B6E6C0B7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8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4C07035-586A-684D-8850-D92DEE296B0D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225</xdr:row>
      <xdr:rowOff>0</xdr:rowOff>
    </xdr:from>
    <xdr:ext cx="304800" cy="304800"/>
    <xdr:sp macro="" textlink="">
      <xdr:nvSpPr>
        <xdr:cNvPr id="2499" name="AutoShape 1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398C183-9B86-1F43-AF2B-1E816451D03E}"/>
            </a:ext>
          </a:extLst>
        </xdr:cNvPr>
        <xdr:cNvSpPr>
          <a:spLocks noChangeAspect="1" noChangeArrowheads="1"/>
        </xdr:cNvSpPr>
      </xdr:nvSpPr>
      <xdr:spPr bwMode="auto">
        <a:xfrm>
          <a:off x="7531100" y="4065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2CD2762-897E-A546-B250-A0F0A55C4F5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863A127-13C5-D747-AC0A-E9819ACE7B2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3CB44D3-6CC7-3848-BA98-41CF071E736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4D20F4E-42A8-D040-8453-6E91AC92066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5A081EE-7BED-994B-AA0F-9B9EE141115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EF53B92-8905-E74E-BB47-EBA09ECFA15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86C2111-9990-2A48-99F6-FEE63E22D344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304800" cy="304800"/>
    <xdr:sp macro="" textlink="">
      <xdr:nvSpPr>
        <xdr:cNvPr id="250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F0AC0BA-6D6E-7244-886F-9D27C63B7E6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0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9798B2E-5EC0-F847-ABCD-24395EF870B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0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100F2DAC-5E70-BF40-828A-B8B2707114A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1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8D28FF7-37A8-764E-9710-EAECE8F7FEF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1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4FA90BB-3789-924C-94B4-1FE1CB856AF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1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3B9F747-7366-6448-B107-D2EC8F26068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1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EA9250F-8940-5442-999A-305BAB9FA92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1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D2F9DE0-D58B-8A4B-A550-769A75E3204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5</xdr:row>
      <xdr:rowOff>0</xdr:rowOff>
    </xdr:from>
    <xdr:ext cx="304800" cy="304800"/>
    <xdr:sp macro="" textlink="">
      <xdr:nvSpPr>
        <xdr:cNvPr id="251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4F8DBC6-356A-464F-8448-DB58E38D221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1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7CE3912-4067-E547-92FF-48994332A3F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1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1F3351D3-1E4B-F64A-BF11-7330553D1D2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1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ED11295-407A-A342-AD7C-103DBCF2AF8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1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3C3A7D0-624A-B946-BCD0-707659F8E6EB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2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DDB42-1708-364F-AEEE-F1879D9D34D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2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74329B6-7DE4-E442-9253-A2550BCBD1A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2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BFF4A7A-CC03-6A4A-A1BE-1B2C53BDEE9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6</xdr:row>
      <xdr:rowOff>0</xdr:rowOff>
    </xdr:from>
    <xdr:ext cx="304800" cy="304800"/>
    <xdr:sp macro="" textlink="">
      <xdr:nvSpPr>
        <xdr:cNvPr id="252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6D0F997-634E-8149-AC11-BA542C37B0E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2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7D81552-B9D3-7C4C-AF08-1EF31023266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2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9825812-13CA-E349-BC16-5FC88A84B90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2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08D1AB0-A718-D64C-9279-5A390394401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2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FADBDC1A-CDED-BA4D-99AC-3F5A89E893F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2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5DFE258-DC43-E84F-AC6C-9DA7D274798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2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5F1C493-F127-4C41-823B-765698D6BC7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3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DDFD521-B275-8645-A8AF-8FF8C7ED65D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304800" cy="304800"/>
    <xdr:sp macro="" textlink="">
      <xdr:nvSpPr>
        <xdr:cNvPr id="253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7D905A3-024B-E642-AB3D-72185B8EB83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562375D-DF96-9A48-A4E2-72E9F8919C5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5CCF6A4-CCBA-D94F-A0B1-82FBDF38BA0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E772CB9-426A-2249-8251-5B6DC1B6B2D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CF7CDE22-AA66-A94B-9C4E-D3EB4C9BF4C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84CA070-98CE-8F4B-B736-38B3F0946C0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2AF31C9-FC4D-774A-98FE-353E19EA918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52D1099-7B2E-C84A-A197-214D09861F1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304800" cy="304800"/>
    <xdr:sp macro="" textlink="">
      <xdr:nvSpPr>
        <xdr:cNvPr id="253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EB678D4-F5BB-B34E-8FFC-7EF376622C5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2B1C84C-CFD2-204C-B25C-FD084E6B43D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EDDE4C0-714C-8249-9406-EEF52EEE166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85EC465-A209-9943-A622-34C2FACF4274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B58DC2D-0A97-F846-845A-DA5CF3741FC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176A6C2-F2E0-7B48-86D0-7800C721F31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43C8B09-055D-FD46-8D01-263CDA12A20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5E6D761-7369-8140-A114-5A1EE88035F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304800" cy="304800"/>
    <xdr:sp macro="" textlink="">
      <xdr:nvSpPr>
        <xdr:cNvPr id="254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6772C06-FE3B-2A49-9D2B-049820976764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4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609F3CD-DBAE-664E-8277-AE8C5AFC5CF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4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545BBB4-3713-8348-ADE6-0D6B6513464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5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F5596CC-3BEC-BB4B-9135-EDB83D6601E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5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455E467-D95F-6B48-9980-31F69AE7C04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5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1D07203-B55C-5745-BEAA-1704E48FD16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5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1626D86-CFA3-D745-8F62-F16C1DF80FA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5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744476C-F805-BA49-9AA5-3A577CAD340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304800" cy="304800"/>
    <xdr:sp macro="" textlink="">
      <xdr:nvSpPr>
        <xdr:cNvPr id="255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64D3DDF-31BF-6A45-AF33-7B0FAD78572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39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5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BDAC524-B08F-3543-B550-53F58581084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5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F8848FB-07FF-004C-80B7-A05BC2785F8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5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FDDE41A-EA22-AE4B-9C5E-1241B1078EB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5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448A003-FC7F-8D4D-A40E-519F1BFCD14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6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1B1ED69-6275-294C-97AF-83E757FD4F0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6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BB81A92-11B5-8746-B90F-15F10590B37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6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F50C382-9BA0-4545-B5ED-6526C18EEA8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304800" cy="304800"/>
    <xdr:sp macro="" textlink="">
      <xdr:nvSpPr>
        <xdr:cNvPr id="256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0270EF0-C1D2-2342-9FDA-DD81B79464E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6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4A07D74-9342-EF4B-92E3-B9447662B88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6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3C82BB3-4622-C74B-8565-6D3C0105393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6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5842D84-B61B-1D4E-AAF7-110B40CCDA9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6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0C82250-F5F4-B049-A1CF-C8B814C9810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6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284C614-4FE7-9E45-A7B5-63D486AF975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6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7D82EF4-2BBD-A94C-9EFE-293977F18F0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7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CCC44D6-351A-DB40-85BD-020B4F071A5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304800" cy="304800"/>
    <xdr:sp macro="" textlink="">
      <xdr:nvSpPr>
        <xdr:cNvPr id="257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B3D7FBA-A87A-3C41-AA6C-261C404EF66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3598CBA-8CD0-BD42-BF69-8FE90C475F1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3383C90C-6E46-F74C-98C6-0983B409FEB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D6E99F6-EE76-5749-AE49-DBE785FACDD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CC220D77-2BA7-2848-8D11-57D0660E55B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93E7E5B-61B6-9B4D-B94A-BADC55EA16A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F2864C0-7E80-3347-B8B2-7BEC29708CB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65EE9AD-6C52-0843-839C-65985EB877F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7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41F7B0C-8261-954D-9973-7D0DAC69066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95CC1528-65E8-0F42-AB1A-54407B7BB17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E8991C4-8A98-1F43-B1B5-56D8F628100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5E2E34C-6859-E948-9106-0657278A1B0B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212D7AF-8053-4D4D-A4AF-3174F2772654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903A04B-55A8-B94D-90B9-CB466C272DB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E9AC89C-A461-D843-BAA5-490B842F6AC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DB8480E-DC29-7B42-90A5-638FF22E259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258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D84DA8F-EB06-984B-B82A-7B5C79700E1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8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05A64B5-32AD-BC4F-BF26-11900C7028A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8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8488607-0553-AB42-9D3B-BFEB5A17297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2663ADF-C355-FA41-9370-E4A9685C3A3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3F579F9-0DC4-1B4D-9AA0-8533194417B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2F9227F-6390-4047-AA48-41E1C844631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ED7F54A-97C6-D443-9369-E00C414281A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4C432DD-CFAB-A143-93A5-70218737F32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1DA12FE-635A-9745-9458-6931B78E08C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8AEA7B7-72D0-7547-BBD3-6872E068CFC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E416BF3-4060-CC47-A8A2-ABAF070909D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9A0C783-9B92-C34B-9F5F-A6A70622E3A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59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D65D5114-581D-C646-9F64-AAE06629D12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60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F443349-8070-1C4A-AC58-56B1A3D5668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60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87AEA05-54A8-1644-8528-D3BDCC15468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60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0C87C95-7FDB-654A-821F-71D0CE0E7D8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260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AC75B102-53BB-2647-953E-28BA281F081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0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019CE41-4135-EC42-BD52-98299FB00324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0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54A55E9F-6378-764E-8BE3-96DA652DAAA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0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985C2AB-DC00-7C43-93D8-4B20AB6EB61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0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1FA7586F-10F2-AA4E-9E4B-77DAF2120CAB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0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389A8F2-692B-114B-983B-96B19578400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0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616F050-FAC7-CD49-8802-9A8BD16A704B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5703039-19B1-DA42-A2C5-29DB0F914FC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AAF91EC-DE4D-814D-9BC3-C0887026E52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E89F153-1C50-874A-AB0A-D6DA7FA6E34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A043782-A26E-704E-AF34-4C4991F0449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C783AEF-B5BE-B644-BF42-75AC5F1FEB1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B26C7054-BD8B-D14C-AFD5-1FB1FA6973E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67FC30E-9CBB-A64C-BA04-E5D851087A3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016DE1E-B096-F944-AF99-991892E8C54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97D04F3-284B-6348-9525-E2B8A44EF87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261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EF9FDCA8-87DC-314C-848F-226FC49DFEC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0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CFE1A7D-A0A7-A841-93E2-A4BE47DCECD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1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9AB54786-5A90-AD48-9FA7-480B87E22B3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2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32B9A5F-28E1-9F4E-ADF1-17D9F47C626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3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483D1F7-E71C-2C45-A856-865B0CC4469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4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B91924C-6B5C-5B49-A22B-CE7BE5CA7CB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5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5A1838F6-7950-A542-AAF4-2580DFAF4FEA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6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67CC88B-3DF8-A548-98C3-3E0A1E32749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7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7DDA989-AE9A-DF41-B02E-87A7D82991C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8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6F26C0B-BB7B-CA49-AC16-32057E456E2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29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AE83A1E8-2D16-3F46-8C9B-FE41B39D5CE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30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7589ED6-7907-4F48-95A5-FC00D1B3C06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31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6270EF57-B22A-254E-8D98-0A1C643B760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32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291F0FC-1C96-3C45-8CF1-EEC117DC465B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33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A32ADCB-3950-174D-8268-F733EBBC38B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34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3E69A85-771D-644E-9E0F-A6D695D38BF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2635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EE3DE3E-C808-A548-8ADB-18F0D596DC25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36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BA373E8-1D53-1B41-9CCB-EAF3B3A0984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37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40FF04CD-3711-6A4F-8D37-AF9E684390C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38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682AAE5-FBB6-B743-8333-D3214C63798E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39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D213648-B720-514E-884A-29A8AF868DDB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0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6E1374A-DF9D-A44A-AF04-C7434C5737D2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1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C01BCCA-0DF6-F34E-98C7-DA9097B2061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2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BC03E501-6CCD-F84B-AA81-0BD839C82571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FA9FFA3B-BB63-E740-894A-280F4ECC60E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4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B6879AB-8885-734E-B4B2-1510890319DF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5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8C30285F-8A08-D045-9784-57CB97E79CB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6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EF2142E-9217-C840-BFB5-0650A994970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7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7914C6DD-1EE4-024B-8F73-FB2D5FC6ACCD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8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9221B02-5489-7D48-BD2D-0DC57A5D1DF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49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CC9D2194-C7AE-FC4B-8E6E-2A6F6BF8355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50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4BCE982-0B2F-9649-9EF6-E9234B7D0713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2651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30BAA849-36E7-7843-8B18-79FE2089353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181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2" name="AutoShape 21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D1343008-E63D-5843-945F-11127476CC10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3" name="AutoShape 22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D047A5FD-9025-E044-9DF0-7B320FA55E87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4" name="AutoShape 23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2EAA8BD4-1993-0848-A61B-5EBB7226819C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5" name="AutoShape 24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F14137AA-2B7E-2A4E-9B3F-20CB9699227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6" name="AutoShape 25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6BA7499F-22C0-2642-AA04-33F61C0BF966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7" name="AutoShape 27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1C0D903E-6FBE-DD44-AD83-A3636344B0E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8" name="AutoShape 29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7FC29C08-7B3C-674D-BCBE-688A94C46129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2659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4976402E-37CF-0B4C-B635-E7C8713FF388}"/>
            </a:ext>
          </a:extLst>
        </xdr:cNvPr>
        <xdr:cNvSpPr>
          <a:spLocks noChangeAspect="1" noChangeArrowheads="1"/>
        </xdr:cNvSpPr>
      </xdr:nvSpPr>
      <xdr:spPr bwMode="auto">
        <a:xfrm>
          <a:off x="13220700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12</xdr:row>
      <xdr:rowOff>114300</xdr:rowOff>
    </xdr:to>
    <xdr:sp macro="" textlink="">
      <xdr:nvSpPr>
        <xdr:cNvPr id="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E1735EFC-C8B9-CC41-90B9-77804AEF6815}"/>
            </a:ext>
          </a:extLst>
        </xdr:cNvPr>
        <xdr:cNvSpPr>
          <a:spLocks noChangeAspect="1" noChangeArrowheads="1"/>
        </xdr:cNvSpPr>
      </xdr:nvSpPr>
      <xdr:spPr bwMode="auto">
        <a:xfrm>
          <a:off x="1181100" y="11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15</xdr:row>
      <xdr:rowOff>114301</xdr:rowOff>
    </xdr:to>
    <xdr:sp macro="" textlink="">
      <xdr:nvSpPr>
        <xdr:cNvPr id="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8F6BCA79-B062-A54B-B8EA-1DFEC091285C}"/>
            </a:ext>
          </a:extLst>
        </xdr:cNvPr>
        <xdr:cNvSpPr>
          <a:spLocks noChangeAspect="1" noChangeArrowheads="1"/>
        </xdr:cNvSpPr>
      </xdr:nvSpPr>
      <xdr:spPr bwMode="auto">
        <a:xfrm>
          <a:off x="1181100" y="24892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114300</xdr:rowOff>
    </xdr:to>
    <xdr:sp macro="" textlink="">
      <xdr:nvSpPr>
        <xdr:cNvPr id="2" name="AutoShape 1" descr="/var/folders/cw/gkltk2nx2ggb2gsf87nk0vyr0000gp/T/com.microsoft.Excel/WebArchiveCopyPasteTempFiles/stadium-foods_corn-dog.sv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6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114301</xdr:rowOff>
    </xdr:to>
    <xdr:sp macro="" textlink="">
      <xdr:nvSpPr>
        <xdr:cNvPr id="3" name="AutoShape 2" descr="/var/folders/cw/gkltk2nx2ggb2gsf87nk0vyr0000gp/T/com.microsoft.Excel/WebArchiveCopyPasteTempFiles/Helmet-T.sv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187700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%20Files%20/scor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%20Files%20/FAAB_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B2">
            <v>1</v>
          </cell>
          <cell r="C2" t="str">
            <v>Team 12</v>
          </cell>
          <cell r="D2" t="str">
            <v>Team 7</v>
          </cell>
          <cell r="E2">
            <v>97.6</v>
          </cell>
          <cell r="F2">
            <v>103.56</v>
          </cell>
        </row>
        <row r="3">
          <cell r="B3">
            <v>1</v>
          </cell>
          <cell r="C3" t="str">
            <v>Team 4</v>
          </cell>
          <cell r="D3" t="str">
            <v>Team 16</v>
          </cell>
          <cell r="E3">
            <v>88.33</v>
          </cell>
          <cell r="F3">
            <v>84.93</v>
          </cell>
        </row>
        <row r="4">
          <cell r="B4">
            <v>1</v>
          </cell>
          <cell r="C4" t="str">
            <v>Team 10</v>
          </cell>
          <cell r="D4" t="str">
            <v>Team 2</v>
          </cell>
          <cell r="E4">
            <v>95.97</v>
          </cell>
          <cell r="F4">
            <v>101.04</v>
          </cell>
        </row>
        <row r="5">
          <cell r="B5">
            <v>1</v>
          </cell>
          <cell r="C5" t="str">
            <v>Team 6</v>
          </cell>
          <cell r="D5" t="str">
            <v>Team 1</v>
          </cell>
          <cell r="E5">
            <v>111.33</v>
          </cell>
          <cell r="F5">
            <v>106.84</v>
          </cell>
        </row>
        <row r="6">
          <cell r="B6">
            <v>1</v>
          </cell>
          <cell r="C6" t="str">
            <v>Team 5</v>
          </cell>
          <cell r="D6" t="str">
            <v>Team 11</v>
          </cell>
          <cell r="E6">
            <v>96.78</v>
          </cell>
          <cell r="F6">
            <v>123.72</v>
          </cell>
        </row>
        <row r="7">
          <cell r="B7">
            <v>1</v>
          </cell>
          <cell r="C7" t="str">
            <v>Team 13</v>
          </cell>
          <cell r="D7" t="str">
            <v>Team 14</v>
          </cell>
          <cell r="E7">
            <v>90.29</v>
          </cell>
          <cell r="F7">
            <v>114.11</v>
          </cell>
        </row>
        <row r="8">
          <cell r="B8">
            <v>1</v>
          </cell>
          <cell r="C8" t="str">
            <v>Team 8</v>
          </cell>
          <cell r="D8" t="str">
            <v>Team 3</v>
          </cell>
          <cell r="E8">
            <v>115.37</v>
          </cell>
          <cell r="F8">
            <v>103.84</v>
          </cell>
        </row>
        <row r="9">
          <cell r="B9">
            <v>1</v>
          </cell>
          <cell r="C9" t="str">
            <v>Team 9</v>
          </cell>
          <cell r="D9" t="str">
            <v>Team 15</v>
          </cell>
          <cell r="E9">
            <v>150.91999999999999</v>
          </cell>
          <cell r="F9">
            <v>114.82</v>
          </cell>
        </row>
        <row r="10">
          <cell r="B10">
            <v>2</v>
          </cell>
          <cell r="C10" t="str">
            <v>Team 4</v>
          </cell>
          <cell r="D10" t="str">
            <v>Team 5</v>
          </cell>
          <cell r="E10">
            <v>89.02</v>
          </cell>
          <cell r="F10">
            <v>98.65</v>
          </cell>
        </row>
        <row r="11">
          <cell r="B11">
            <v>2</v>
          </cell>
          <cell r="C11" t="str">
            <v>Team 9</v>
          </cell>
          <cell r="D11" t="str">
            <v>Team 8</v>
          </cell>
          <cell r="E11">
            <v>144.41999999999999</v>
          </cell>
          <cell r="F11">
            <v>111.67</v>
          </cell>
        </row>
        <row r="12">
          <cell r="B12">
            <v>2</v>
          </cell>
          <cell r="C12" t="str">
            <v>Team 10</v>
          </cell>
          <cell r="D12" t="str">
            <v>Team 12</v>
          </cell>
          <cell r="E12">
            <v>100.51</v>
          </cell>
          <cell r="F12">
            <v>123.72</v>
          </cell>
        </row>
        <row r="13">
          <cell r="B13">
            <v>2</v>
          </cell>
          <cell r="C13" t="str">
            <v>Team 1</v>
          </cell>
          <cell r="D13" t="str">
            <v>Team 11</v>
          </cell>
          <cell r="E13">
            <v>94.86</v>
          </cell>
          <cell r="F13">
            <v>101.32</v>
          </cell>
        </row>
        <row r="14">
          <cell r="B14">
            <v>2</v>
          </cell>
          <cell r="C14" t="str">
            <v>Team 7</v>
          </cell>
          <cell r="D14" t="str">
            <v>Team 3</v>
          </cell>
          <cell r="E14">
            <v>117.67</v>
          </cell>
          <cell r="F14">
            <v>110.03</v>
          </cell>
        </row>
        <row r="15">
          <cell r="B15">
            <v>2</v>
          </cell>
          <cell r="C15" t="str">
            <v>Team 14</v>
          </cell>
          <cell r="D15" t="str">
            <v>Team 16</v>
          </cell>
          <cell r="E15">
            <v>131.12</v>
          </cell>
          <cell r="F15">
            <v>108.89</v>
          </cell>
        </row>
        <row r="16">
          <cell r="B16">
            <v>2</v>
          </cell>
          <cell r="C16" t="str">
            <v>Team 6</v>
          </cell>
          <cell r="D16" t="str">
            <v>Team 2</v>
          </cell>
          <cell r="E16">
            <v>111.23</v>
          </cell>
          <cell r="F16">
            <v>116.04</v>
          </cell>
        </row>
        <row r="17">
          <cell r="B17">
            <v>2</v>
          </cell>
          <cell r="C17" t="str">
            <v>Team 13</v>
          </cell>
          <cell r="D17" t="str">
            <v>Team 15</v>
          </cell>
          <cell r="E17">
            <v>79.11</v>
          </cell>
          <cell r="F17">
            <v>148.19</v>
          </cell>
        </row>
        <row r="18">
          <cell r="B18">
            <v>3</v>
          </cell>
          <cell r="C18" t="str">
            <v>Team 9</v>
          </cell>
          <cell r="D18" t="str">
            <v>Team 6</v>
          </cell>
          <cell r="E18">
            <v>96.08</v>
          </cell>
          <cell r="F18">
            <v>101.93</v>
          </cell>
        </row>
        <row r="19">
          <cell r="B19">
            <v>3</v>
          </cell>
          <cell r="C19" t="str">
            <v>Team 2</v>
          </cell>
          <cell r="D19" t="str">
            <v>Team 14</v>
          </cell>
          <cell r="E19">
            <v>86.82</v>
          </cell>
          <cell r="F19">
            <v>120.14</v>
          </cell>
        </row>
        <row r="20">
          <cell r="B20">
            <v>3</v>
          </cell>
          <cell r="C20" t="str">
            <v>Team 11</v>
          </cell>
          <cell r="D20" t="str">
            <v>Team 3</v>
          </cell>
          <cell r="E20">
            <v>107.92</v>
          </cell>
          <cell r="F20">
            <v>75.260000000000005</v>
          </cell>
        </row>
        <row r="21">
          <cell r="B21">
            <v>3</v>
          </cell>
          <cell r="C21" t="str">
            <v>Team 16</v>
          </cell>
          <cell r="D21" t="str">
            <v>Team 7</v>
          </cell>
          <cell r="E21">
            <v>102.88</v>
          </cell>
          <cell r="F21">
            <v>139.19</v>
          </cell>
        </row>
        <row r="22">
          <cell r="B22">
            <v>3</v>
          </cell>
          <cell r="C22" t="str">
            <v>Team 5</v>
          </cell>
          <cell r="D22" t="str">
            <v>Team 8</v>
          </cell>
          <cell r="E22">
            <v>155.85</v>
          </cell>
          <cell r="F22">
            <v>133.66</v>
          </cell>
        </row>
        <row r="23">
          <cell r="B23">
            <v>3</v>
          </cell>
          <cell r="C23" t="str">
            <v>Team 1</v>
          </cell>
          <cell r="D23" t="str">
            <v>Team 15</v>
          </cell>
          <cell r="E23">
            <v>113.11</v>
          </cell>
          <cell r="F23">
            <v>108.7</v>
          </cell>
        </row>
        <row r="24">
          <cell r="B24">
            <v>3</v>
          </cell>
          <cell r="C24" t="str">
            <v>Team 10</v>
          </cell>
          <cell r="D24" t="str">
            <v>Team 13</v>
          </cell>
          <cell r="E24">
            <v>122.66</v>
          </cell>
          <cell r="F24">
            <v>88.72</v>
          </cell>
        </row>
        <row r="25">
          <cell r="B25">
            <v>3</v>
          </cell>
          <cell r="C25" t="str">
            <v>Team 12</v>
          </cell>
          <cell r="D25" t="str">
            <v>Team 4</v>
          </cell>
          <cell r="E25">
            <v>84.94</v>
          </cell>
          <cell r="F25">
            <v>121.5</v>
          </cell>
        </row>
        <row r="26">
          <cell r="B26">
            <v>4</v>
          </cell>
          <cell r="C26" t="str">
            <v>Team 15</v>
          </cell>
          <cell r="D26" t="str">
            <v>Team 3</v>
          </cell>
          <cell r="E26">
            <v>109.16</v>
          </cell>
          <cell r="F26">
            <v>92.02</v>
          </cell>
        </row>
        <row r="27">
          <cell r="B27">
            <v>4</v>
          </cell>
          <cell r="C27" t="str">
            <v>Team 4</v>
          </cell>
          <cell r="D27" t="str">
            <v>Team 13</v>
          </cell>
          <cell r="E27">
            <v>84.76</v>
          </cell>
          <cell r="F27">
            <v>121.54</v>
          </cell>
        </row>
        <row r="28">
          <cell r="B28">
            <v>4</v>
          </cell>
          <cell r="C28" t="str">
            <v>Team 8</v>
          </cell>
          <cell r="D28" t="str">
            <v>Team 12</v>
          </cell>
          <cell r="E28">
            <v>115.05</v>
          </cell>
          <cell r="F28">
            <v>108.26</v>
          </cell>
        </row>
        <row r="29">
          <cell r="B29">
            <v>4</v>
          </cell>
          <cell r="C29" t="str">
            <v>Team 7</v>
          </cell>
          <cell r="D29" t="str">
            <v>Team 2</v>
          </cell>
          <cell r="E29">
            <v>87.35</v>
          </cell>
          <cell r="F29">
            <v>121.29</v>
          </cell>
        </row>
        <row r="30">
          <cell r="B30">
            <v>4</v>
          </cell>
          <cell r="C30" t="str">
            <v>Team 5</v>
          </cell>
          <cell r="D30" t="str">
            <v>Team 6</v>
          </cell>
          <cell r="E30">
            <v>114.82</v>
          </cell>
          <cell r="F30">
            <v>93.77</v>
          </cell>
        </row>
        <row r="31">
          <cell r="B31">
            <v>4</v>
          </cell>
          <cell r="C31" t="str">
            <v>Team 16</v>
          </cell>
          <cell r="D31" t="str">
            <v>Team 11</v>
          </cell>
          <cell r="E31">
            <v>99.49</v>
          </cell>
          <cell r="F31">
            <v>53.05</v>
          </cell>
        </row>
        <row r="32">
          <cell r="B32">
            <v>4</v>
          </cell>
          <cell r="C32" t="str">
            <v>Team 10</v>
          </cell>
          <cell r="D32" t="str">
            <v>Team 1</v>
          </cell>
          <cell r="E32">
            <v>121.55</v>
          </cell>
          <cell r="F32">
            <v>97.92</v>
          </cell>
        </row>
        <row r="33">
          <cell r="B33">
            <v>4</v>
          </cell>
          <cell r="C33" t="str">
            <v>Team 9</v>
          </cell>
          <cell r="D33" t="str">
            <v>Team 14</v>
          </cell>
          <cell r="E33">
            <v>108.47</v>
          </cell>
          <cell r="F33">
            <v>106.32</v>
          </cell>
        </row>
        <row r="34">
          <cell r="B34">
            <v>5</v>
          </cell>
          <cell r="C34" t="str">
            <v>Team 10</v>
          </cell>
          <cell r="D34" t="str">
            <v>Team 3</v>
          </cell>
          <cell r="E34">
            <v>103.25</v>
          </cell>
          <cell r="F34">
            <v>118.5</v>
          </cell>
        </row>
        <row r="35">
          <cell r="B35">
            <v>5</v>
          </cell>
          <cell r="C35" t="str">
            <v>Team 1</v>
          </cell>
          <cell r="D35" t="str">
            <v>Team 4</v>
          </cell>
          <cell r="E35">
            <v>66.3</v>
          </cell>
          <cell r="F35">
            <v>93.88</v>
          </cell>
        </row>
        <row r="36">
          <cell r="B36">
            <v>5</v>
          </cell>
          <cell r="C36" t="str">
            <v>Team 2</v>
          </cell>
          <cell r="D36" t="str">
            <v>Team 11</v>
          </cell>
          <cell r="E36">
            <v>138.77000000000001</v>
          </cell>
          <cell r="F36">
            <v>137.59</v>
          </cell>
        </row>
        <row r="37">
          <cell r="B37">
            <v>5</v>
          </cell>
          <cell r="C37" t="str">
            <v>Team 5</v>
          </cell>
          <cell r="D37" t="str">
            <v>Team 14</v>
          </cell>
          <cell r="E37">
            <v>105.79</v>
          </cell>
          <cell r="F37">
            <v>99.27</v>
          </cell>
        </row>
        <row r="38">
          <cell r="B38">
            <v>5</v>
          </cell>
          <cell r="C38" t="str">
            <v>Team 9</v>
          </cell>
          <cell r="D38" t="str">
            <v>Team 7</v>
          </cell>
          <cell r="E38">
            <v>137.87</v>
          </cell>
          <cell r="F38">
            <v>113.92</v>
          </cell>
        </row>
        <row r="39">
          <cell r="B39">
            <v>5</v>
          </cell>
          <cell r="C39" t="str">
            <v>Team 12</v>
          </cell>
          <cell r="D39" t="str">
            <v>Team 6</v>
          </cell>
          <cell r="E39">
            <v>84.54</v>
          </cell>
          <cell r="F39">
            <v>92.34</v>
          </cell>
        </row>
        <row r="40">
          <cell r="B40">
            <v>5</v>
          </cell>
          <cell r="C40" t="str">
            <v>Team 15</v>
          </cell>
          <cell r="D40" t="str">
            <v>Team 16</v>
          </cell>
          <cell r="E40">
            <v>105.13</v>
          </cell>
          <cell r="F40">
            <v>133.30000000000001</v>
          </cell>
        </row>
        <row r="41">
          <cell r="B41">
            <v>5</v>
          </cell>
          <cell r="C41" t="str">
            <v>Team 13</v>
          </cell>
          <cell r="D41" t="str">
            <v>Team 8</v>
          </cell>
          <cell r="E41">
            <v>54.24</v>
          </cell>
          <cell r="F41">
            <v>81.97</v>
          </cell>
        </row>
        <row r="42">
          <cell r="B42">
            <v>6</v>
          </cell>
          <cell r="C42" t="str">
            <v>Team 1</v>
          </cell>
          <cell r="D42" t="str">
            <v>Team 8</v>
          </cell>
          <cell r="E42">
            <v>74.430000000000007</v>
          </cell>
          <cell r="F42">
            <v>108.9</v>
          </cell>
        </row>
        <row r="43">
          <cell r="B43">
            <v>6</v>
          </cell>
          <cell r="C43" t="str">
            <v>Team 4</v>
          </cell>
          <cell r="D43" t="str">
            <v>Team 3</v>
          </cell>
          <cell r="E43">
            <v>133.94999999999999</v>
          </cell>
          <cell r="F43">
            <v>67.37</v>
          </cell>
        </row>
        <row r="44">
          <cell r="B44">
            <v>6</v>
          </cell>
          <cell r="C44" t="str">
            <v>Team 10</v>
          </cell>
          <cell r="D44" t="str">
            <v>Team 16</v>
          </cell>
          <cell r="E44">
            <v>113.1</v>
          </cell>
          <cell r="F44">
            <v>98.77</v>
          </cell>
        </row>
        <row r="45">
          <cell r="B45">
            <v>6</v>
          </cell>
          <cell r="C45" t="str">
            <v>Team 9</v>
          </cell>
          <cell r="D45" t="str">
            <v>Team 11</v>
          </cell>
          <cell r="E45">
            <v>98.25</v>
          </cell>
          <cell r="F45">
            <v>113.54</v>
          </cell>
        </row>
        <row r="46">
          <cell r="B46">
            <v>6</v>
          </cell>
          <cell r="C46" t="str">
            <v>Team 14</v>
          </cell>
          <cell r="D46" t="str">
            <v>Team 12</v>
          </cell>
          <cell r="E46">
            <v>68.94</v>
          </cell>
          <cell r="F46">
            <v>84.33</v>
          </cell>
        </row>
        <row r="47">
          <cell r="B47">
            <v>6</v>
          </cell>
          <cell r="C47" t="str">
            <v>Team 6</v>
          </cell>
          <cell r="D47" t="str">
            <v>Team 13</v>
          </cell>
          <cell r="E47">
            <v>91.59</v>
          </cell>
          <cell r="F47">
            <v>118.5</v>
          </cell>
        </row>
        <row r="48">
          <cell r="B48">
            <v>6</v>
          </cell>
          <cell r="C48" t="str">
            <v>Team 5</v>
          </cell>
          <cell r="D48" t="str">
            <v>Team 7</v>
          </cell>
          <cell r="E48">
            <v>94.69</v>
          </cell>
          <cell r="F48">
            <v>113.46</v>
          </cell>
        </row>
        <row r="49">
          <cell r="B49">
            <v>6</v>
          </cell>
          <cell r="C49" t="str">
            <v>Team 2</v>
          </cell>
          <cell r="D49" t="str">
            <v>Team 15</v>
          </cell>
          <cell r="E49">
            <v>97.96</v>
          </cell>
          <cell r="F49">
            <v>73.25</v>
          </cell>
        </row>
        <row r="50">
          <cell r="B50">
            <v>7</v>
          </cell>
          <cell r="C50" t="str">
            <v>Team 9</v>
          </cell>
          <cell r="D50" t="str">
            <v>Team 5</v>
          </cell>
          <cell r="E50">
            <v>119.96</v>
          </cell>
          <cell r="F50">
            <v>154.35</v>
          </cell>
        </row>
        <row r="51">
          <cell r="B51">
            <v>7</v>
          </cell>
          <cell r="C51" t="str">
            <v>Team 10</v>
          </cell>
          <cell r="D51" t="str">
            <v>Team 7</v>
          </cell>
          <cell r="E51">
            <v>68.06</v>
          </cell>
          <cell r="F51">
            <v>143.06</v>
          </cell>
        </row>
        <row r="52">
          <cell r="B52">
            <v>7</v>
          </cell>
          <cell r="C52" t="str">
            <v>Team 12</v>
          </cell>
          <cell r="D52" t="str">
            <v>Team 2</v>
          </cell>
          <cell r="E52">
            <v>75.430000000000007</v>
          </cell>
          <cell r="F52">
            <v>90.52</v>
          </cell>
        </row>
        <row r="53">
          <cell r="B53">
            <v>7</v>
          </cell>
          <cell r="C53" t="str">
            <v>Team 3</v>
          </cell>
          <cell r="D53" t="str">
            <v>Team 1</v>
          </cell>
          <cell r="E53">
            <v>121.81</v>
          </cell>
          <cell r="F53">
            <v>96.84</v>
          </cell>
        </row>
        <row r="54">
          <cell r="B54">
            <v>7</v>
          </cell>
          <cell r="C54" t="str">
            <v>Team 15</v>
          </cell>
          <cell r="D54" t="str">
            <v>Team 11</v>
          </cell>
          <cell r="E54">
            <v>93.71</v>
          </cell>
          <cell r="F54">
            <v>96.92</v>
          </cell>
        </row>
        <row r="55">
          <cell r="B55">
            <v>7</v>
          </cell>
          <cell r="C55" t="str">
            <v>Team 8</v>
          </cell>
          <cell r="D55" t="str">
            <v>Team 6</v>
          </cell>
          <cell r="E55">
            <v>95.12</v>
          </cell>
          <cell r="F55">
            <v>113.68</v>
          </cell>
        </row>
        <row r="56">
          <cell r="B56">
            <v>7</v>
          </cell>
          <cell r="C56" t="str">
            <v>Team 16</v>
          </cell>
          <cell r="D56" t="str">
            <v>Team 13</v>
          </cell>
          <cell r="E56">
            <v>66.319999999999993</v>
          </cell>
          <cell r="F56">
            <v>104.38</v>
          </cell>
        </row>
        <row r="57">
          <cell r="B57">
            <v>7</v>
          </cell>
          <cell r="C57" t="str">
            <v>Team 14</v>
          </cell>
          <cell r="D57" t="str">
            <v>Team 4</v>
          </cell>
          <cell r="E57">
            <v>90.17</v>
          </cell>
          <cell r="F57">
            <v>123.84</v>
          </cell>
        </row>
        <row r="58">
          <cell r="B58">
            <v>8</v>
          </cell>
          <cell r="C58" t="str">
            <v>Team 13</v>
          </cell>
          <cell r="D58" t="str">
            <v>Team 3</v>
          </cell>
          <cell r="E58">
            <v>73.22</v>
          </cell>
          <cell r="F58">
            <v>80.22</v>
          </cell>
        </row>
        <row r="59">
          <cell r="B59">
            <v>8</v>
          </cell>
          <cell r="C59" t="str">
            <v>Team 2</v>
          </cell>
          <cell r="D59" t="str">
            <v>Team 5</v>
          </cell>
          <cell r="E59">
            <v>87.31</v>
          </cell>
          <cell r="F59">
            <v>121.81</v>
          </cell>
        </row>
        <row r="60">
          <cell r="B60">
            <v>8</v>
          </cell>
          <cell r="C60" t="str">
            <v>Team 7</v>
          </cell>
          <cell r="D60" t="str">
            <v>Team 15</v>
          </cell>
          <cell r="E60">
            <v>90.03</v>
          </cell>
          <cell r="F60">
            <v>118.52</v>
          </cell>
        </row>
        <row r="61">
          <cell r="B61">
            <v>8</v>
          </cell>
          <cell r="C61" t="str">
            <v>Team 14</v>
          </cell>
          <cell r="D61" t="str">
            <v>Team 8</v>
          </cell>
          <cell r="E61">
            <v>131.43</v>
          </cell>
          <cell r="F61">
            <v>88.93</v>
          </cell>
        </row>
        <row r="62">
          <cell r="B62">
            <v>8</v>
          </cell>
          <cell r="C62" t="str">
            <v>Team 6</v>
          </cell>
          <cell r="D62" t="str">
            <v>Team 4</v>
          </cell>
          <cell r="E62">
            <v>96.07</v>
          </cell>
          <cell r="F62">
            <v>92.41</v>
          </cell>
        </row>
        <row r="63">
          <cell r="B63">
            <v>8</v>
          </cell>
          <cell r="C63" t="str">
            <v>Team 9</v>
          </cell>
          <cell r="D63" t="str">
            <v>Team 12</v>
          </cell>
          <cell r="E63">
            <v>82.72</v>
          </cell>
          <cell r="F63">
            <v>129.93</v>
          </cell>
        </row>
        <row r="64">
          <cell r="B64">
            <v>8</v>
          </cell>
          <cell r="C64" t="str">
            <v>Team 10</v>
          </cell>
          <cell r="D64" t="str">
            <v>Team 11</v>
          </cell>
          <cell r="E64">
            <v>81.650000000000006</v>
          </cell>
          <cell r="F64">
            <v>70.75</v>
          </cell>
        </row>
        <row r="65">
          <cell r="B65">
            <v>8</v>
          </cell>
          <cell r="C65" t="str">
            <v>Team 1</v>
          </cell>
          <cell r="D65" t="str">
            <v>Team 16</v>
          </cell>
          <cell r="E65">
            <v>67.86</v>
          </cell>
          <cell r="F65">
            <v>67.62</v>
          </cell>
        </row>
        <row r="66">
          <cell r="B66">
            <v>9</v>
          </cell>
          <cell r="C66" t="str">
            <v>Team 4</v>
          </cell>
          <cell r="D66" t="str">
            <v>Team 11</v>
          </cell>
          <cell r="E66">
            <v>56.32</v>
          </cell>
          <cell r="F66">
            <v>95.29</v>
          </cell>
        </row>
        <row r="67">
          <cell r="B67">
            <v>9</v>
          </cell>
          <cell r="C67" t="str">
            <v>Team 1</v>
          </cell>
          <cell r="D67" t="str">
            <v>Team 2</v>
          </cell>
          <cell r="E67">
            <v>76.75</v>
          </cell>
          <cell r="F67">
            <v>105.85</v>
          </cell>
        </row>
        <row r="68">
          <cell r="B68">
            <v>9</v>
          </cell>
          <cell r="C68" t="str">
            <v>Team 3</v>
          </cell>
          <cell r="D68" t="str">
            <v>Team 12</v>
          </cell>
          <cell r="E68">
            <v>87.41</v>
          </cell>
          <cell r="F68">
            <v>87.25</v>
          </cell>
        </row>
        <row r="69">
          <cell r="B69">
            <v>9</v>
          </cell>
          <cell r="C69" t="str">
            <v>Team 6</v>
          </cell>
          <cell r="D69" t="str">
            <v>Team 10</v>
          </cell>
          <cell r="E69">
            <v>73.540000000000006</v>
          </cell>
          <cell r="F69">
            <v>117.32</v>
          </cell>
        </row>
        <row r="70">
          <cell r="B70">
            <v>9</v>
          </cell>
          <cell r="C70" t="str">
            <v>Team 9</v>
          </cell>
          <cell r="D70" t="str">
            <v>Team 13</v>
          </cell>
          <cell r="E70">
            <v>117.03</v>
          </cell>
          <cell r="F70">
            <v>90.79</v>
          </cell>
        </row>
        <row r="71">
          <cell r="B71">
            <v>9</v>
          </cell>
          <cell r="C71" t="str">
            <v>Team 16</v>
          </cell>
          <cell r="D71" t="str">
            <v>Team 5</v>
          </cell>
          <cell r="E71">
            <v>87.91</v>
          </cell>
          <cell r="F71">
            <v>157.65</v>
          </cell>
        </row>
        <row r="72">
          <cell r="B72">
            <v>9</v>
          </cell>
          <cell r="C72" t="str">
            <v>Team 8</v>
          </cell>
          <cell r="D72" t="str">
            <v>Team 7</v>
          </cell>
          <cell r="E72">
            <v>132.35</v>
          </cell>
          <cell r="F72">
            <v>90.25</v>
          </cell>
        </row>
        <row r="73">
          <cell r="B73">
            <v>9</v>
          </cell>
          <cell r="C73" t="str">
            <v>Team 14</v>
          </cell>
          <cell r="D73" t="str">
            <v>Team 15</v>
          </cell>
          <cell r="E73">
            <v>135.29</v>
          </cell>
          <cell r="F73">
            <v>82.36</v>
          </cell>
        </row>
        <row r="74">
          <cell r="B74">
            <v>10</v>
          </cell>
          <cell r="C74" t="str">
            <v>Team 3</v>
          </cell>
          <cell r="D74" t="str">
            <v>Team 5</v>
          </cell>
          <cell r="E74">
            <v>71.05</v>
          </cell>
          <cell r="F74">
            <v>112.46</v>
          </cell>
        </row>
        <row r="75">
          <cell r="B75">
            <v>10</v>
          </cell>
          <cell r="C75" t="str">
            <v>Team 10</v>
          </cell>
          <cell r="D75" t="str">
            <v>Team 14</v>
          </cell>
          <cell r="E75">
            <v>59.04</v>
          </cell>
          <cell r="F75">
            <v>128.22</v>
          </cell>
        </row>
        <row r="76">
          <cell r="B76">
            <v>10</v>
          </cell>
          <cell r="C76" t="str">
            <v>Team 13</v>
          </cell>
          <cell r="D76" t="str">
            <v>Team 2</v>
          </cell>
          <cell r="E76">
            <v>85.59</v>
          </cell>
          <cell r="F76">
            <v>72.900000000000006</v>
          </cell>
        </row>
        <row r="77">
          <cell r="B77">
            <v>10</v>
          </cell>
          <cell r="C77" t="str">
            <v>Team 4</v>
          </cell>
          <cell r="D77" t="str">
            <v>Team 7</v>
          </cell>
          <cell r="E77">
            <v>100.87</v>
          </cell>
          <cell r="F77">
            <v>104.01</v>
          </cell>
        </row>
        <row r="78">
          <cell r="B78">
            <v>10</v>
          </cell>
          <cell r="C78" t="str">
            <v>Team 6</v>
          </cell>
          <cell r="D78" t="str">
            <v>Team 15</v>
          </cell>
          <cell r="E78">
            <v>128.55000000000001</v>
          </cell>
          <cell r="F78">
            <v>103.51</v>
          </cell>
        </row>
        <row r="79">
          <cell r="B79">
            <v>10</v>
          </cell>
          <cell r="C79" t="str">
            <v>Team 12</v>
          </cell>
          <cell r="D79" t="str">
            <v>Team 16</v>
          </cell>
          <cell r="E79">
            <v>77.27</v>
          </cell>
          <cell r="F79">
            <v>83.44</v>
          </cell>
        </row>
        <row r="80">
          <cell r="B80">
            <v>10</v>
          </cell>
          <cell r="C80" t="str">
            <v>Team 11</v>
          </cell>
          <cell r="D80" t="str">
            <v>Team 8</v>
          </cell>
          <cell r="E80">
            <v>75.64</v>
          </cell>
          <cell r="F80">
            <v>89.63</v>
          </cell>
        </row>
        <row r="81">
          <cell r="B81">
            <v>10</v>
          </cell>
          <cell r="C81" t="str">
            <v>Team 9</v>
          </cell>
          <cell r="D81" t="str">
            <v>Team 1</v>
          </cell>
          <cell r="E81">
            <v>124.62</v>
          </cell>
          <cell r="F81">
            <v>73.91</v>
          </cell>
        </row>
        <row r="82">
          <cell r="B82">
            <v>11</v>
          </cell>
          <cell r="C82" t="str">
            <v>Team 7</v>
          </cell>
          <cell r="D82" t="str">
            <v>Team 14</v>
          </cell>
          <cell r="E82">
            <v>121.21</v>
          </cell>
          <cell r="F82">
            <v>120.56</v>
          </cell>
        </row>
        <row r="83">
          <cell r="B83">
            <v>11</v>
          </cell>
          <cell r="C83" t="str">
            <v>Team 3</v>
          </cell>
          <cell r="D83" t="str">
            <v>Team 9</v>
          </cell>
          <cell r="E83">
            <v>112.3</v>
          </cell>
          <cell r="F83">
            <v>129.88</v>
          </cell>
        </row>
        <row r="84">
          <cell r="B84">
            <v>11</v>
          </cell>
          <cell r="C84" t="str">
            <v>Team 12</v>
          </cell>
          <cell r="D84" t="str">
            <v>Team 13</v>
          </cell>
          <cell r="E84">
            <v>69.319999999999993</v>
          </cell>
          <cell r="F84">
            <v>85.8</v>
          </cell>
        </row>
        <row r="85">
          <cell r="B85">
            <v>11</v>
          </cell>
          <cell r="C85" t="str">
            <v>Team 4</v>
          </cell>
          <cell r="D85" t="str">
            <v>Team 10</v>
          </cell>
          <cell r="E85">
            <v>91.73</v>
          </cell>
          <cell r="F85">
            <v>91.31</v>
          </cell>
        </row>
        <row r="86">
          <cell r="B86">
            <v>11</v>
          </cell>
          <cell r="C86" t="str">
            <v>Team 8</v>
          </cell>
          <cell r="D86" t="str">
            <v>Team 15</v>
          </cell>
          <cell r="E86">
            <v>104.72</v>
          </cell>
          <cell r="F86">
            <v>114.22</v>
          </cell>
        </row>
        <row r="87">
          <cell r="B87">
            <v>11</v>
          </cell>
          <cell r="C87" t="str">
            <v>Team 6</v>
          </cell>
          <cell r="D87" t="str">
            <v>Team 11</v>
          </cell>
          <cell r="E87">
            <v>83.37</v>
          </cell>
          <cell r="F87">
            <v>79.53</v>
          </cell>
        </row>
        <row r="88">
          <cell r="B88">
            <v>11</v>
          </cell>
          <cell r="C88" t="str">
            <v>Team 2</v>
          </cell>
          <cell r="D88" t="str">
            <v>Team 16</v>
          </cell>
          <cell r="E88">
            <v>92.94</v>
          </cell>
          <cell r="F88">
            <v>99.54</v>
          </cell>
        </row>
        <row r="89">
          <cell r="B89">
            <v>11</v>
          </cell>
          <cell r="C89" t="str">
            <v>Team 5</v>
          </cell>
          <cell r="D89" t="str">
            <v>Team 1</v>
          </cell>
          <cell r="E89">
            <v>127.2</v>
          </cell>
          <cell r="F89">
            <v>100.09</v>
          </cell>
        </row>
        <row r="90">
          <cell r="B90">
            <v>12</v>
          </cell>
          <cell r="C90" t="str">
            <v>Team 2</v>
          </cell>
          <cell r="D90" t="str">
            <v>Team 3</v>
          </cell>
          <cell r="E90">
            <v>97.24</v>
          </cell>
          <cell r="F90">
            <v>87.75</v>
          </cell>
        </row>
        <row r="91">
          <cell r="B91">
            <v>12</v>
          </cell>
          <cell r="C91" t="str">
            <v>Team 14</v>
          </cell>
          <cell r="D91" t="str">
            <v>Team 11</v>
          </cell>
          <cell r="E91">
            <v>106.11</v>
          </cell>
          <cell r="F91">
            <v>116.15</v>
          </cell>
        </row>
        <row r="92">
          <cell r="B92">
            <v>12</v>
          </cell>
          <cell r="C92" t="str">
            <v>Team 8</v>
          </cell>
          <cell r="D92" t="str">
            <v>Team 10</v>
          </cell>
          <cell r="E92">
            <v>140.47999999999999</v>
          </cell>
          <cell r="F92">
            <v>51.3</v>
          </cell>
        </row>
        <row r="93">
          <cell r="B93">
            <v>12</v>
          </cell>
          <cell r="C93" t="str">
            <v>Team 7</v>
          </cell>
          <cell r="D93" t="str">
            <v>Team 6</v>
          </cell>
          <cell r="E93">
            <v>98.78</v>
          </cell>
          <cell r="F93">
            <v>112.45</v>
          </cell>
        </row>
        <row r="94">
          <cell r="B94">
            <v>12</v>
          </cell>
          <cell r="C94" t="str">
            <v>Team 13</v>
          </cell>
          <cell r="D94" t="str">
            <v>Team 5</v>
          </cell>
          <cell r="E94">
            <v>72.25</v>
          </cell>
          <cell r="F94">
            <v>88.25</v>
          </cell>
        </row>
        <row r="95">
          <cell r="B95">
            <v>12</v>
          </cell>
          <cell r="C95" t="str">
            <v>Team 15</v>
          </cell>
          <cell r="D95" t="str">
            <v>Team 4</v>
          </cell>
          <cell r="E95">
            <v>64.040000000000006</v>
          </cell>
          <cell r="F95">
            <v>117.48</v>
          </cell>
        </row>
        <row r="96">
          <cell r="B96">
            <v>12</v>
          </cell>
          <cell r="C96" t="str">
            <v>Team 1</v>
          </cell>
          <cell r="D96" t="str">
            <v>Team 12</v>
          </cell>
          <cell r="E96">
            <v>98.98</v>
          </cell>
          <cell r="F96">
            <v>85.52</v>
          </cell>
        </row>
        <row r="97">
          <cell r="B97">
            <v>12</v>
          </cell>
          <cell r="C97" t="str">
            <v>Team 16</v>
          </cell>
          <cell r="D97" t="str">
            <v>Team 9</v>
          </cell>
          <cell r="E97">
            <v>113.41</v>
          </cell>
          <cell r="F97">
            <v>137.66</v>
          </cell>
        </row>
        <row r="98">
          <cell r="B98">
            <v>13</v>
          </cell>
          <cell r="C98" t="str">
            <v>Team 12</v>
          </cell>
          <cell r="D98" t="str">
            <v>Team 5</v>
          </cell>
          <cell r="E98">
            <v>90.95</v>
          </cell>
          <cell r="F98">
            <v>90.68</v>
          </cell>
        </row>
        <row r="99">
          <cell r="B99">
            <v>13</v>
          </cell>
          <cell r="C99" t="str">
            <v>Team 4</v>
          </cell>
          <cell r="D99" t="str">
            <v>Team 8</v>
          </cell>
          <cell r="E99">
            <v>104.84</v>
          </cell>
          <cell r="F99">
            <v>102.1</v>
          </cell>
        </row>
        <row r="100">
          <cell r="B100">
            <v>13</v>
          </cell>
          <cell r="C100" t="str">
            <v>Team 9</v>
          </cell>
          <cell r="D100" t="str">
            <v>Team 2</v>
          </cell>
          <cell r="E100">
            <v>144.69</v>
          </cell>
          <cell r="F100">
            <v>90.75</v>
          </cell>
        </row>
        <row r="101">
          <cell r="B101">
            <v>13</v>
          </cell>
          <cell r="C101" t="str">
            <v>Team 16</v>
          </cell>
          <cell r="D101" t="str">
            <v>Team 3</v>
          </cell>
          <cell r="E101">
            <v>83.64</v>
          </cell>
          <cell r="F101">
            <v>105.17</v>
          </cell>
        </row>
        <row r="102">
          <cell r="B102">
            <v>13</v>
          </cell>
          <cell r="C102" t="str">
            <v>Team 10</v>
          </cell>
          <cell r="D102" t="str">
            <v>Team 15</v>
          </cell>
          <cell r="E102">
            <v>84.35</v>
          </cell>
          <cell r="F102">
            <v>184.43</v>
          </cell>
        </row>
        <row r="103">
          <cell r="B103">
            <v>13</v>
          </cell>
          <cell r="C103" t="str">
            <v>Team 13</v>
          </cell>
          <cell r="D103" t="str">
            <v>Team 1</v>
          </cell>
          <cell r="E103">
            <v>72.98</v>
          </cell>
          <cell r="F103">
            <v>95.1</v>
          </cell>
        </row>
        <row r="104">
          <cell r="B104">
            <v>13</v>
          </cell>
          <cell r="C104" t="str">
            <v>Team 6</v>
          </cell>
          <cell r="D104" t="str">
            <v>Team 14</v>
          </cell>
          <cell r="E104">
            <v>101.68</v>
          </cell>
          <cell r="F104">
            <v>114.13</v>
          </cell>
        </row>
        <row r="105">
          <cell r="B105">
            <v>13</v>
          </cell>
          <cell r="C105" t="str">
            <v>Team 11</v>
          </cell>
          <cell r="D105" t="str">
            <v>Team 7</v>
          </cell>
          <cell r="E105">
            <v>110.41</v>
          </cell>
          <cell r="F105">
            <v>84.18</v>
          </cell>
        </row>
        <row r="106">
          <cell r="B106">
            <v>14</v>
          </cell>
          <cell r="C106" t="str">
            <v>Team 12</v>
          </cell>
          <cell r="D106" t="str">
            <v>Team 5</v>
          </cell>
          <cell r="E106">
            <v>90.95</v>
          </cell>
          <cell r="F106">
            <v>90.68</v>
          </cell>
        </row>
        <row r="107">
          <cell r="B107">
            <v>14</v>
          </cell>
          <cell r="C107" t="str">
            <v>Team 4</v>
          </cell>
          <cell r="D107" t="str">
            <v>Team 8</v>
          </cell>
          <cell r="E107">
            <v>104.84</v>
          </cell>
          <cell r="F107">
            <v>102.1</v>
          </cell>
        </row>
        <row r="108">
          <cell r="B108">
            <v>14</v>
          </cell>
          <cell r="C108" t="str">
            <v>Team 9</v>
          </cell>
          <cell r="D108" t="str">
            <v>Team 2</v>
          </cell>
          <cell r="E108">
            <v>144.69</v>
          </cell>
          <cell r="F108">
            <v>90.75</v>
          </cell>
        </row>
        <row r="109">
          <cell r="B109">
            <v>14</v>
          </cell>
          <cell r="C109" t="str">
            <v>Team 16</v>
          </cell>
          <cell r="D109" t="str">
            <v>Team 3</v>
          </cell>
          <cell r="E109">
            <v>83.64</v>
          </cell>
          <cell r="F109">
            <v>105.17</v>
          </cell>
        </row>
        <row r="110">
          <cell r="B110">
            <v>14</v>
          </cell>
          <cell r="C110" t="str">
            <v>Team 10</v>
          </cell>
          <cell r="D110" t="str">
            <v>Team 15</v>
          </cell>
          <cell r="E110">
            <v>84.35</v>
          </cell>
          <cell r="F110">
            <v>184.43</v>
          </cell>
        </row>
        <row r="111">
          <cell r="B111">
            <v>14</v>
          </cell>
          <cell r="C111" t="str">
            <v>Team 13</v>
          </cell>
          <cell r="D111" t="str">
            <v>Team 1</v>
          </cell>
          <cell r="E111">
            <v>72.98</v>
          </cell>
          <cell r="F111">
            <v>95.1</v>
          </cell>
        </row>
        <row r="112">
          <cell r="B112">
            <v>14</v>
          </cell>
          <cell r="C112" t="str">
            <v>Team 6</v>
          </cell>
          <cell r="D112" t="str">
            <v>Team 14</v>
          </cell>
          <cell r="E112">
            <v>101.68</v>
          </cell>
          <cell r="F112">
            <v>114.13</v>
          </cell>
        </row>
        <row r="113">
          <cell r="B113">
            <v>14</v>
          </cell>
          <cell r="C113" t="str">
            <v>Team 11</v>
          </cell>
          <cell r="D113" t="str">
            <v>Team 7</v>
          </cell>
          <cell r="E113">
            <v>110.41</v>
          </cell>
          <cell r="F113">
            <v>84.18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 1 "/>
      <sheetName val="Week 2"/>
      <sheetName val="Week 3 "/>
      <sheetName val="Week 4 "/>
      <sheetName val="Week 5 "/>
      <sheetName val="Week 6"/>
      <sheetName val="Week 7 "/>
      <sheetName val="Week 8 "/>
      <sheetName val="Week 9 "/>
      <sheetName val="Week 10 "/>
      <sheetName val="Week 11"/>
      <sheetName val="Week 12"/>
      <sheetName val="Week 13"/>
      <sheetName val="Week 14"/>
    </sheetNames>
    <sheetDataSet>
      <sheetData sheetId="0">
        <row r="2">
          <cell r="B2" t="str">
            <v>Team 1</v>
          </cell>
          <cell r="C2">
            <v>3</v>
          </cell>
        </row>
        <row r="3">
          <cell r="B3" t="str">
            <v>Team 2</v>
          </cell>
          <cell r="C3">
            <v>0</v>
          </cell>
        </row>
        <row r="4">
          <cell r="B4" t="str">
            <v>Team 3</v>
          </cell>
          <cell r="C4">
            <v>0</v>
          </cell>
        </row>
        <row r="5">
          <cell r="B5" t="str">
            <v>Team 4</v>
          </cell>
          <cell r="C5">
            <v>0</v>
          </cell>
        </row>
        <row r="6">
          <cell r="B6" t="str">
            <v>Team 5</v>
          </cell>
          <cell r="C6">
            <v>0</v>
          </cell>
        </row>
        <row r="7">
          <cell r="B7" t="str">
            <v>Team 6</v>
          </cell>
          <cell r="C7">
            <v>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0</v>
          </cell>
        </row>
        <row r="10">
          <cell r="B10" t="str">
            <v>Team 9</v>
          </cell>
          <cell r="C10">
            <v>0</v>
          </cell>
        </row>
        <row r="11">
          <cell r="B11" t="str">
            <v>Team 10</v>
          </cell>
          <cell r="C11">
            <v>0</v>
          </cell>
        </row>
        <row r="12">
          <cell r="B12" t="str">
            <v>Team 11</v>
          </cell>
          <cell r="C12">
            <v>0</v>
          </cell>
        </row>
        <row r="13">
          <cell r="B13" t="str">
            <v>Team 12</v>
          </cell>
          <cell r="C13">
            <v>0</v>
          </cell>
        </row>
        <row r="14">
          <cell r="B14" t="str">
            <v>Team 13</v>
          </cell>
          <cell r="C14">
            <v>0</v>
          </cell>
        </row>
        <row r="15">
          <cell r="B15" t="str">
            <v>Team 14</v>
          </cell>
          <cell r="C15">
            <v>0</v>
          </cell>
        </row>
        <row r="16">
          <cell r="B16" t="str">
            <v>Team 15</v>
          </cell>
          <cell r="C16">
            <v>0</v>
          </cell>
        </row>
        <row r="17">
          <cell r="B17" t="str">
            <v>Team 16</v>
          </cell>
          <cell r="C17">
            <v>0</v>
          </cell>
        </row>
      </sheetData>
      <sheetData sheetId="1">
        <row r="2">
          <cell r="B2" t="str">
            <v>Team 1</v>
          </cell>
          <cell r="C2">
            <v>9</v>
          </cell>
        </row>
        <row r="3">
          <cell r="B3" t="str">
            <v>Team 2</v>
          </cell>
          <cell r="C3">
            <v>9</v>
          </cell>
        </row>
        <row r="4">
          <cell r="B4" t="str">
            <v>Team 3</v>
          </cell>
          <cell r="C4">
            <v>0</v>
          </cell>
        </row>
        <row r="5">
          <cell r="B5" t="str">
            <v>Team 4</v>
          </cell>
          <cell r="C5">
            <v>0</v>
          </cell>
        </row>
        <row r="6">
          <cell r="B6" t="str">
            <v>Team 5</v>
          </cell>
          <cell r="C6">
            <v>25</v>
          </cell>
        </row>
        <row r="7">
          <cell r="B7" t="str">
            <v>Team 6</v>
          </cell>
          <cell r="C7">
            <v>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</v>
          </cell>
        </row>
        <row r="10">
          <cell r="B10" t="str">
            <v>Team 9</v>
          </cell>
          <cell r="C10">
            <v>0</v>
          </cell>
        </row>
        <row r="11">
          <cell r="B11" t="str">
            <v>Team 10</v>
          </cell>
          <cell r="C11">
            <v>0</v>
          </cell>
        </row>
        <row r="12">
          <cell r="B12" t="str">
            <v>Team 11</v>
          </cell>
          <cell r="C12">
            <v>20</v>
          </cell>
        </row>
        <row r="13">
          <cell r="B13" t="str">
            <v>Team 12</v>
          </cell>
          <cell r="C13">
            <v>9</v>
          </cell>
        </row>
        <row r="14">
          <cell r="B14" t="str">
            <v>Team 13</v>
          </cell>
          <cell r="C14">
            <v>0</v>
          </cell>
        </row>
        <row r="15">
          <cell r="B15" t="str">
            <v>Team 14</v>
          </cell>
          <cell r="C15">
            <v>0</v>
          </cell>
        </row>
        <row r="16">
          <cell r="B16" t="str">
            <v>Team 15</v>
          </cell>
          <cell r="C16">
            <v>0</v>
          </cell>
        </row>
        <row r="17">
          <cell r="B17" t="str">
            <v>Team 16</v>
          </cell>
          <cell r="C17">
            <v>0</v>
          </cell>
        </row>
      </sheetData>
      <sheetData sheetId="2">
        <row r="2">
          <cell r="B2" t="str">
            <v>Team 1</v>
          </cell>
          <cell r="C2">
            <v>9</v>
          </cell>
        </row>
        <row r="3">
          <cell r="B3" t="str">
            <v>Team 2</v>
          </cell>
          <cell r="C3">
            <v>9</v>
          </cell>
        </row>
        <row r="4">
          <cell r="B4" t="str">
            <v>Team 3</v>
          </cell>
          <cell r="C4">
            <v>0</v>
          </cell>
        </row>
        <row r="5">
          <cell r="B5" t="str">
            <v>Team 4</v>
          </cell>
          <cell r="C5">
            <v>9</v>
          </cell>
        </row>
        <row r="6">
          <cell r="B6" t="str">
            <v>Team 5</v>
          </cell>
          <cell r="C6">
            <v>36</v>
          </cell>
        </row>
        <row r="7">
          <cell r="B7" t="str">
            <v>Team 6</v>
          </cell>
          <cell r="C7">
            <v>5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</v>
          </cell>
        </row>
        <row r="10">
          <cell r="B10" t="str">
            <v>Team 9</v>
          </cell>
          <cell r="C10">
            <v>0</v>
          </cell>
        </row>
        <row r="11">
          <cell r="B11" t="str">
            <v>Team 10</v>
          </cell>
          <cell r="C11">
            <v>0</v>
          </cell>
        </row>
        <row r="12">
          <cell r="B12" t="str">
            <v>Team 11</v>
          </cell>
          <cell r="C12">
            <v>26</v>
          </cell>
        </row>
        <row r="13">
          <cell r="B13" t="str">
            <v>Team 12</v>
          </cell>
          <cell r="C13">
            <v>49</v>
          </cell>
        </row>
        <row r="14">
          <cell r="B14" t="str">
            <v>Team 13</v>
          </cell>
          <cell r="C14">
            <v>0</v>
          </cell>
        </row>
        <row r="15">
          <cell r="B15" t="str">
            <v>Team 14</v>
          </cell>
          <cell r="C15">
            <v>0</v>
          </cell>
        </row>
        <row r="16">
          <cell r="B16" t="str">
            <v>Team 15</v>
          </cell>
          <cell r="C16">
            <v>39</v>
          </cell>
        </row>
        <row r="17">
          <cell r="B17" t="str">
            <v>Team 16</v>
          </cell>
          <cell r="C17">
            <v>100</v>
          </cell>
        </row>
      </sheetData>
      <sheetData sheetId="3">
        <row r="2">
          <cell r="B2" t="str">
            <v>Team 1</v>
          </cell>
          <cell r="C2">
            <v>66</v>
          </cell>
        </row>
        <row r="3">
          <cell r="B3" t="str">
            <v>Team 2</v>
          </cell>
          <cell r="C3">
            <v>60</v>
          </cell>
        </row>
        <row r="4">
          <cell r="B4" t="str">
            <v>Team 3</v>
          </cell>
          <cell r="C4">
            <v>0</v>
          </cell>
        </row>
        <row r="5">
          <cell r="B5" t="str">
            <v>Team 4</v>
          </cell>
          <cell r="C5">
            <v>19</v>
          </cell>
        </row>
        <row r="6">
          <cell r="B6" t="str">
            <v>Team 5</v>
          </cell>
          <cell r="C6">
            <v>54</v>
          </cell>
        </row>
        <row r="7">
          <cell r="B7" t="str">
            <v>Team 6</v>
          </cell>
          <cell r="C7">
            <v>30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</v>
          </cell>
        </row>
        <row r="10">
          <cell r="B10" t="str">
            <v>Team 9</v>
          </cell>
          <cell r="C10">
            <v>0</v>
          </cell>
        </row>
        <row r="11">
          <cell r="B11" t="str">
            <v>Team 10</v>
          </cell>
          <cell r="C11">
            <v>0</v>
          </cell>
        </row>
        <row r="12">
          <cell r="B12" t="str">
            <v>Team 11</v>
          </cell>
          <cell r="C12">
            <v>26</v>
          </cell>
        </row>
        <row r="13">
          <cell r="B13" t="str">
            <v>Team 12</v>
          </cell>
          <cell r="C13">
            <v>49</v>
          </cell>
        </row>
        <row r="14">
          <cell r="B14" t="str">
            <v>Team 13</v>
          </cell>
          <cell r="C14">
            <v>5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39</v>
          </cell>
        </row>
        <row r="17">
          <cell r="B17" t="str">
            <v>Team 16</v>
          </cell>
          <cell r="C17">
            <v>100</v>
          </cell>
        </row>
      </sheetData>
      <sheetData sheetId="4">
        <row r="2">
          <cell r="B2" t="str">
            <v>Team 1</v>
          </cell>
          <cell r="C2">
            <v>69</v>
          </cell>
        </row>
        <row r="3">
          <cell r="B3" t="str">
            <v>Team 2</v>
          </cell>
          <cell r="C3">
            <v>71</v>
          </cell>
        </row>
        <row r="4">
          <cell r="B4" t="str">
            <v>Team 3</v>
          </cell>
          <cell r="C4">
            <v>5</v>
          </cell>
        </row>
        <row r="5">
          <cell r="B5" t="str">
            <v>Team 4</v>
          </cell>
          <cell r="C5">
            <v>19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30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</v>
          </cell>
        </row>
        <row r="10">
          <cell r="B10" t="str">
            <v>Team 9</v>
          </cell>
          <cell r="C10">
            <v>0</v>
          </cell>
        </row>
        <row r="11">
          <cell r="B11" t="str">
            <v>Team 10</v>
          </cell>
          <cell r="C11">
            <v>19</v>
          </cell>
        </row>
        <row r="12">
          <cell r="B12" t="str">
            <v>Team 11</v>
          </cell>
          <cell r="C12">
            <v>41</v>
          </cell>
        </row>
        <row r="13">
          <cell r="B13" t="str">
            <v>Team 12</v>
          </cell>
          <cell r="C13">
            <v>49</v>
          </cell>
        </row>
        <row r="14">
          <cell r="B14" t="str">
            <v>Team 13</v>
          </cell>
          <cell r="C14">
            <v>10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39</v>
          </cell>
        </row>
        <row r="17">
          <cell r="B17" t="str">
            <v>Team 16</v>
          </cell>
          <cell r="C17">
            <v>100</v>
          </cell>
        </row>
      </sheetData>
      <sheetData sheetId="5">
        <row r="2">
          <cell r="B2" t="str">
            <v>Team 1</v>
          </cell>
          <cell r="C2">
            <v>69</v>
          </cell>
        </row>
        <row r="3">
          <cell r="B3" t="str">
            <v>Team 2</v>
          </cell>
          <cell r="C3">
            <v>71</v>
          </cell>
        </row>
        <row r="4">
          <cell r="B4" t="str">
            <v>Team 3</v>
          </cell>
          <cell r="C4">
            <v>65</v>
          </cell>
        </row>
        <row r="5">
          <cell r="B5" t="str">
            <v>Team 4</v>
          </cell>
          <cell r="C5">
            <v>31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30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0</v>
          </cell>
        </row>
        <row r="11">
          <cell r="B11" t="str">
            <v>Team 10</v>
          </cell>
          <cell r="C11">
            <v>36</v>
          </cell>
        </row>
        <row r="12">
          <cell r="B12" t="str">
            <v>Team 11</v>
          </cell>
          <cell r="C12">
            <v>76</v>
          </cell>
        </row>
        <row r="13">
          <cell r="B13" t="str">
            <v>Team 12</v>
          </cell>
          <cell r="C13">
            <v>49</v>
          </cell>
        </row>
        <row r="14">
          <cell r="B14" t="str">
            <v>Team 13</v>
          </cell>
          <cell r="C14">
            <v>10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54</v>
          </cell>
        </row>
        <row r="17">
          <cell r="B17" t="str">
            <v>Team 16</v>
          </cell>
          <cell r="C17">
            <v>100</v>
          </cell>
        </row>
      </sheetData>
      <sheetData sheetId="6">
        <row r="2">
          <cell r="B2" t="str">
            <v>Team 1</v>
          </cell>
          <cell r="C2">
            <v>85</v>
          </cell>
        </row>
        <row r="3">
          <cell r="B3" t="str">
            <v>Team 2</v>
          </cell>
          <cell r="C3">
            <v>71</v>
          </cell>
        </row>
        <row r="4">
          <cell r="B4" t="str">
            <v>Team 3</v>
          </cell>
          <cell r="C4">
            <v>65</v>
          </cell>
        </row>
        <row r="5">
          <cell r="B5" t="str">
            <v>Team 4</v>
          </cell>
          <cell r="C5">
            <v>33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40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47</v>
          </cell>
        </row>
        <row r="11">
          <cell r="B11" t="str">
            <v>Team 10</v>
          </cell>
          <cell r="C11">
            <v>36</v>
          </cell>
        </row>
        <row r="12">
          <cell r="B12" t="str">
            <v>Team 11</v>
          </cell>
          <cell r="C12">
            <v>84</v>
          </cell>
        </row>
        <row r="13">
          <cell r="B13" t="str">
            <v>Team 12</v>
          </cell>
          <cell r="C13">
            <v>50</v>
          </cell>
        </row>
        <row r="14">
          <cell r="B14" t="str">
            <v>Team 13</v>
          </cell>
          <cell r="C14">
            <v>88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60</v>
          </cell>
        </row>
        <row r="17">
          <cell r="B17" t="str">
            <v>Team 16</v>
          </cell>
          <cell r="C17">
            <v>100</v>
          </cell>
        </row>
      </sheetData>
      <sheetData sheetId="7">
        <row r="2">
          <cell r="B2" t="str">
            <v>Team 1</v>
          </cell>
          <cell r="C2">
            <v>85</v>
          </cell>
        </row>
        <row r="3">
          <cell r="B3" t="str">
            <v>Team 2</v>
          </cell>
          <cell r="C3">
            <v>71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48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40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47</v>
          </cell>
        </row>
        <row r="11">
          <cell r="B11" t="str">
            <v>Team 10</v>
          </cell>
          <cell r="C11">
            <v>73</v>
          </cell>
        </row>
        <row r="12">
          <cell r="B12" t="str">
            <v>Team 11</v>
          </cell>
          <cell r="C12">
            <v>91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94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60</v>
          </cell>
        </row>
        <row r="17">
          <cell r="B17" t="str">
            <v>Team 16</v>
          </cell>
          <cell r="C17">
            <v>100</v>
          </cell>
        </row>
      </sheetData>
      <sheetData sheetId="8">
        <row r="2">
          <cell r="B2" t="str">
            <v>Team 1</v>
          </cell>
          <cell r="C2">
            <v>85</v>
          </cell>
        </row>
        <row r="3">
          <cell r="B3" t="str">
            <v>Team 2</v>
          </cell>
          <cell r="C3">
            <v>82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48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64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47</v>
          </cell>
        </row>
        <row r="11">
          <cell r="B11" t="str">
            <v>Team 10</v>
          </cell>
          <cell r="C11">
            <v>73</v>
          </cell>
        </row>
        <row r="12">
          <cell r="B12" t="str">
            <v>Team 11</v>
          </cell>
          <cell r="C12">
            <v>100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94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79</v>
          </cell>
        </row>
        <row r="17">
          <cell r="B17" t="str">
            <v>Team 16</v>
          </cell>
          <cell r="C17">
            <v>100</v>
          </cell>
        </row>
      </sheetData>
      <sheetData sheetId="9">
        <row r="2">
          <cell r="B2" t="str">
            <v>Team 1</v>
          </cell>
          <cell r="C2">
            <v>85</v>
          </cell>
        </row>
        <row r="3">
          <cell r="B3" t="str">
            <v>Team 2</v>
          </cell>
          <cell r="C3">
            <v>88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61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64</v>
          </cell>
        </row>
        <row r="8">
          <cell r="B8" t="str">
            <v>Team 7</v>
          </cell>
          <cell r="C8">
            <v>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47</v>
          </cell>
        </row>
        <row r="11">
          <cell r="B11" t="str">
            <v>Team 10</v>
          </cell>
          <cell r="C11">
            <v>73</v>
          </cell>
        </row>
        <row r="12">
          <cell r="B12" t="str">
            <v>Team 11</v>
          </cell>
          <cell r="C12">
            <v>100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95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91</v>
          </cell>
        </row>
        <row r="17">
          <cell r="B17" t="str">
            <v>Team 16</v>
          </cell>
          <cell r="C17">
            <v>100</v>
          </cell>
        </row>
      </sheetData>
      <sheetData sheetId="10">
        <row r="2">
          <cell r="B2" t="str">
            <v>Team 1</v>
          </cell>
          <cell r="C2">
            <v>93</v>
          </cell>
        </row>
        <row r="3">
          <cell r="B3" t="str">
            <v>Team 2</v>
          </cell>
          <cell r="C3">
            <v>98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64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64</v>
          </cell>
        </row>
        <row r="8">
          <cell r="B8" t="str">
            <v>Team 7</v>
          </cell>
          <cell r="C8">
            <v>30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52</v>
          </cell>
        </row>
        <row r="11">
          <cell r="B11" t="str">
            <v>Team 10</v>
          </cell>
          <cell r="C11">
            <v>73</v>
          </cell>
        </row>
        <row r="12">
          <cell r="B12" t="str">
            <v>Team 11</v>
          </cell>
          <cell r="C12">
            <v>100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100</v>
          </cell>
        </row>
        <row r="15">
          <cell r="B15" t="str">
            <v>Team 14</v>
          </cell>
          <cell r="C15">
            <v>5</v>
          </cell>
        </row>
        <row r="16">
          <cell r="B16" t="str">
            <v>Team 15</v>
          </cell>
          <cell r="C16">
            <v>91</v>
          </cell>
        </row>
        <row r="17">
          <cell r="B17" t="str">
            <v>Team 16</v>
          </cell>
          <cell r="C17">
            <v>100</v>
          </cell>
        </row>
      </sheetData>
      <sheetData sheetId="11">
        <row r="2">
          <cell r="B2" t="str">
            <v>Team 1</v>
          </cell>
          <cell r="C2">
            <v>93</v>
          </cell>
        </row>
        <row r="3">
          <cell r="B3" t="str">
            <v>Team 2</v>
          </cell>
          <cell r="C3">
            <v>98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70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64</v>
          </cell>
        </row>
        <row r="8">
          <cell r="B8" t="str">
            <v>Team 7</v>
          </cell>
          <cell r="C8">
            <v>30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52</v>
          </cell>
        </row>
        <row r="11">
          <cell r="B11" t="str">
            <v>Team 10</v>
          </cell>
          <cell r="C11">
            <v>73</v>
          </cell>
        </row>
        <row r="12">
          <cell r="B12" t="str">
            <v>Team 11</v>
          </cell>
          <cell r="C12">
            <v>100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100</v>
          </cell>
        </row>
        <row r="15">
          <cell r="B15" t="str">
            <v>Team 14</v>
          </cell>
          <cell r="C15">
            <v>40</v>
          </cell>
        </row>
        <row r="16">
          <cell r="B16" t="str">
            <v>Team 15</v>
          </cell>
          <cell r="C16">
            <v>91</v>
          </cell>
        </row>
        <row r="17">
          <cell r="B17" t="str">
            <v>Team 16</v>
          </cell>
          <cell r="C17">
            <v>100</v>
          </cell>
        </row>
      </sheetData>
      <sheetData sheetId="12">
        <row r="2">
          <cell r="B2" t="str">
            <v>Team 1</v>
          </cell>
          <cell r="C2">
            <v>96</v>
          </cell>
        </row>
        <row r="3">
          <cell r="B3" t="str">
            <v>Team 2</v>
          </cell>
          <cell r="C3">
            <v>98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72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64</v>
          </cell>
        </row>
        <row r="8">
          <cell r="B8" t="str">
            <v>Team 7</v>
          </cell>
          <cell r="C8">
            <v>30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52</v>
          </cell>
        </row>
        <row r="11">
          <cell r="B11" t="str">
            <v>Team 10</v>
          </cell>
          <cell r="C11">
            <v>100</v>
          </cell>
        </row>
        <row r="12">
          <cell r="B12" t="str">
            <v>Team 11</v>
          </cell>
          <cell r="C12">
            <v>100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100</v>
          </cell>
        </row>
        <row r="15">
          <cell r="B15" t="str">
            <v>Team 14</v>
          </cell>
          <cell r="C15">
            <v>40</v>
          </cell>
        </row>
        <row r="16">
          <cell r="B16" t="str">
            <v>Team 15</v>
          </cell>
          <cell r="C16">
            <v>100</v>
          </cell>
        </row>
        <row r="17">
          <cell r="B17" t="str">
            <v>Team 16</v>
          </cell>
          <cell r="C17">
            <v>100</v>
          </cell>
        </row>
      </sheetData>
      <sheetData sheetId="13">
        <row r="2">
          <cell r="B2" t="str">
            <v>Team 1</v>
          </cell>
          <cell r="C2">
            <v>96</v>
          </cell>
        </row>
        <row r="3">
          <cell r="B3" t="str">
            <v>Team 2</v>
          </cell>
          <cell r="C3">
            <v>98</v>
          </cell>
        </row>
        <row r="4">
          <cell r="B4" t="str">
            <v>Team 3</v>
          </cell>
          <cell r="C4">
            <v>68</v>
          </cell>
        </row>
        <row r="5">
          <cell r="B5" t="str">
            <v>Team 4</v>
          </cell>
          <cell r="C5">
            <v>72</v>
          </cell>
        </row>
        <row r="6">
          <cell r="B6" t="str">
            <v>Team 5</v>
          </cell>
          <cell r="C6">
            <v>100</v>
          </cell>
        </row>
        <row r="7">
          <cell r="B7" t="str">
            <v>Team 6</v>
          </cell>
          <cell r="C7">
            <v>64</v>
          </cell>
        </row>
        <row r="8">
          <cell r="B8" t="str">
            <v>Team 7</v>
          </cell>
          <cell r="C8">
            <v>30</v>
          </cell>
        </row>
        <row r="9">
          <cell r="B9" t="str">
            <v>Team 8</v>
          </cell>
          <cell r="C9">
            <v>48</v>
          </cell>
        </row>
        <row r="10">
          <cell r="B10" t="str">
            <v>Team 9</v>
          </cell>
          <cell r="C10">
            <v>52</v>
          </cell>
        </row>
        <row r="11">
          <cell r="B11" t="str">
            <v>Team 10</v>
          </cell>
          <cell r="C11">
            <v>100</v>
          </cell>
        </row>
        <row r="12">
          <cell r="B12" t="str">
            <v>Team 11</v>
          </cell>
          <cell r="C12">
            <v>100</v>
          </cell>
        </row>
        <row r="13">
          <cell r="B13" t="str">
            <v>Team 12</v>
          </cell>
          <cell r="C13">
            <v>62</v>
          </cell>
        </row>
        <row r="14">
          <cell r="B14" t="str">
            <v>Team 13</v>
          </cell>
          <cell r="C14">
            <v>100</v>
          </cell>
        </row>
        <row r="15">
          <cell r="B15" t="str">
            <v>Team 14</v>
          </cell>
          <cell r="C15">
            <v>40</v>
          </cell>
        </row>
        <row r="16">
          <cell r="B16" t="str">
            <v>Team 15</v>
          </cell>
          <cell r="C16">
            <v>100</v>
          </cell>
        </row>
        <row r="17">
          <cell r="B17" t="str">
            <v>Team 16</v>
          </cell>
          <cell r="C17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/>
      <a:lstStyle>
        <a:defPPr algn="l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BE169"/>
  <sheetViews>
    <sheetView showGridLines="0" tabSelected="1" zoomScale="70" zoomScaleNormal="70" workbookViewId="0">
      <selection activeCell="J6" sqref="J6"/>
    </sheetView>
  </sheetViews>
  <sheetFormatPr baseColWidth="10" defaultColWidth="9.1640625" defaultRowHeight="15"/>
  <cols>
    <col min="1" max="1" width="9.1640625" style="2"/>
    <col min="2" max="2" width="9.1640625" style="93"/>
    <col min="3" max="3" width="9.33203125" style="2" bestFit="1" customWidth="1"/>
    <col min="4" max="4" width="22.33203125" style="2" bestFit="1" customWidth="1"/>
    <col min="5" max="5" width="22.33203125" style="380" hidden="1" customWidth="1"/>
    <col min="6" max="7" width="13.6640625" style="2" bestFit="1" customWidth="1"/>
    <col min="8" max="8" width="9.1640625" style="2" customWidth="1"/>
    <col min="9" max="9" width="12.83203125" style="2" customWidth="1"/>
    <col min="10" max="10" width="4.5" style="73" customWidth="1"/>
    <col min="11" max="11" width="5.33203125" style="2" bestFit="1" customWidth="1"/>
    <col min="12" max="12" width="29.1640625" style="2" bestFit="1" customWidth="1"/>
    <col min="13" max="13" width="13.83203125" style="2" customWidth="1"/>
    <col min="14" max="14" width="13.6640625" style="2" customWidth="1"/>
    <col min="15" max="15" width="11.1640625" style="2" bestFit="1" customWidth="1"/>
    <col min="16" max="16" width="14.83203125" style="2" bestFit="1" customWidth="1"/>
    <col min="17" max="17" width="12.83203125" style="2" bestFit="1" customWidth="1"/>
    <col min="18" max="18" width="10.83203125" style="95" customWidth="1"/>
    <col min="19" max="19" width="13.6640625" style="125" customWidth="1"/>
    <col min="20" max="20" width="2.6640625" style="2" customWidth="1"/>
    <col min="21" max="21" width="6.6640625" style="2" customWidth="1"/>
    <col min="22" max="22" width="22.33203125" style="2" bestFit="1" customWidth="1"/>
    <col min="23" max="24" width="13.6640625" style="2" bestFit="1" customWidth="1"/>
    <col min="25" max="25" width="13.6640625" style="2" customWidth="1"/>
    <col min="26" max="26" width="15" style="2" bestFit="1" customWidth="1"/>
    <col min="27" max="27" width="9.1640625" style="2"/>
    <col min="28" max="28" width="14.1640625" style="2" bestFit="1" customWidth="1"/>
    <col min="29" max="29" width="13.6640625" style="2" bestFit="1" customWidth="1"/>
    <col min="30" max="36" width="9.1640625" style="2"/>
    <col min="37" max="38" width="28.6640625" style="2" customWidth="1"/>
    <col min="39" max="51" width="9.1640625" style="2"/>
    <col min="52" max="52" width="9.1640625" style="127" customWidth="1"/>
    <col min="53" max="54" width="9.1640625" style="127"/>
    <col min="55" max="58" width="9.1640625" style="2"/>
    <col min="59" max="59" width="11" style="2" bestFit="1" customWidth="1"/>
    <col min="60" max="16384" width="9.1640625" style="2"/>
  </cols>
  <sheetData>
    <row r="1" spans="1:29" s="127" customFormat="1">
      <c r="E1" s="380"/>
    </row>
    <row r="2" spans="1:29" ht="7.5" customHeight="1" thickBot="1">
      <c r="J2" s="361"/>
    </row>
    <row r="3" spans="1:29" ht="16" thickBot="1">
      <c r="A3" s="599" t="s">
        <v>4</v>
      </c>
      <c r="B3" s="600"/>
      <c r="C3" s="600"/>
      <c r="D3" s="600"/>
      <c r="E3" s="600"/>
      <c r="F3" s="600"/>
      <c r="G3" s="600"/>
      <c r="H3" s="600"/>
      <c r="I3" s="601"/>
      <c r="J3" s="30"/>
      <c r="K3" s="606" t="str">
        <f>'ESPN Data'!M4</f>
        <v>Bone</v>
      </c>
      <c r="L3" s="607"/>
      <c r="M3" s="607"/>
      <c r="N3" s="607"/>
      <c r="O3" s="607"/>
      <c r="P3" s="607"/>
      <c r="Q3" s="607"/>
      <c r="R3" s="607"/>
      <c r="S3" s="608"/>
      <c r="U3" s="616" t="str">
        <f>'ESPN Data'!M12</f>
        <v>Wardo</v>
      </c>
      <c r="V3" s="617"/>
      <c r="W3" s="617"/>
      <c r="X3" s="617"/>
      <c r="Y3" s="617"/>
      <c r="Z3" s="617"/>
      <c r="AA3" s="617"/>
      <c r="AB3" s="617"/>
      <c r="AC3" s="618"/>
    </row>
    <row r="4" spans="1:29" ht="16" thickBot="1">
      <c r="A4" s="61" t="s">
        <v>0</v>
      </c>
      <c r="B4" s="61" t="s">
        <v>39</v>
      </c>
      <c r="C4" s="360" t="s">
        <v>112</v>
      </c>
      <c r="D4" s="368" t="s">
        <v>1</v>
      </c>
      <c r="E4" s="368" t="s">
        <v>116</v>
      </c>
      <c r="F4" s="368" t="s">
        <v>49</v>
      </c>
      <c r="G4" s="368" t="s">
        <v>50</v>
      </c>
      <c r="H4" s="369" t="s">
        <v>3</v>
      </c>
      <c r="I4" s="370" t="s">
        <v>28</v>
      </c>
      <c r="J4" s="363"/>
      <c r="K4" s="216" t="s">
        <v>0</v>
      </c>
      <c r="L4" s="480" t="s">
        <v>5</v>
      </c>
      <c r="M4" s="466" t="s">
        <v>49</v>
      </c>
      <c r="N4" s="466" t="s">
        <v>50</v>
      </c>
      <c r="O4" s="490" t="s">
        <v>143</v>
      </c>
      <c r="P4" s="478" t="s">
        <v>144</v>
      </c>
      <c r="Q4" s="217" t="s">
        <v>141</v>
      </c>
      <c r="R4" s="217" t="s">
        <v>59</v>
      </c>
      <c r="S4" s="218" t="s">
        <v>68</v>
      </c>
      <c r="U4" s="188" t="s">
        <v>0</v>
      </c>
      <c r="V4" s="202" t="s">
        <v>5</v>
      </c>
      <c r="W4" s="468" t="s">
        <v>49</v>
      </c>
      <c r="X4" s="468" t="s">
        <v>50</v>
      </c>
      <c r="Y4" s="468" t="s">
        <v>143</v>
      </c>
      <c r="Z4" s="468" t="s">
        <v>144</v>
      </c>
      <c r="AA4" s="41" t="s">
        <v>3</v>
      </c>
      <c r="AB4" s="41" t="s">
        <v>59</v>
      </c>
      <c r="AC4" s="108" t="s">
        <v>68</v>
      </c>
    </row>
    <row r="5" spans="1:29">
      <c r="A5" s="27">
        <v>1</v>
      </c>
      <c r="B5" s="27">
        <f t="array" aca="1" ref="B5" ca="1">INDEX('Point Data'!$I$2:$I$225,MATCH(1,($D5='Point Data'!$B$2:$B$225)*(Standings!$Q$27='Point Data'!$D$2:$D$225),0))</f>
        <v>0</v>
      </c>
      <c r="C5" s="177">
        <f t="array" aca="1" ref="C5" ca="1">INDEX('Point Data'!$AJ$2:$AJ$225,MATCH(1,($D5='Point Data'!$B$2:$B$225)*($Q$27='Point Data'!$D$2:$D$225),0))</f>
        <v>1</v>
      </c>
      <c r="D5" s="538" t="str">
        <f t="array" aca="1" ref="D5" ca="1">INDEX('Point Data'!$B$2:$B$225,MATCH(1,(Standings!$A5='Point Data'!$G$2:$G$225)*(Standings!$Q$27='Point Data'!$D$2:$D$225),0))</f>
        <v>Team 5</v>
      </c>
      <c r="E5" s="375" t="str">
        <f ca="1">VLOOKUP($D5,'ESPN Data'!$L$4:$M$19,2,FALSE)</f>
        <v>Bone</v>
      </c>
      <c r="F5" s="530">
        <f ca="1">VLOOKUP(D5,Ranks!$B$2:$S$17,16,FALSE)</f>
        <v>1518.9800000000002</v>
      </c>
      <c r="G5" s="530">
        <f ca="1">VLOOKUP(D5,Ranks!$B$19:$S$88,16,FALSE)</f>
        <v>1282.42</v>
      </c>
      <c r="H5" s="375" t="str">
        <f t="shared" ref="H5:H20" ca="1" si="0">IF(J84=0,H84&amp;"-"&amp;I84,H84&amp;"-"&amp;I84&amp;"-"&amp;J84)</f>
        <v>10-3</v>
      </c>
      <c r="I5" s="386">
        <f t="shared" ref="I5:I20" ca="1" si="1">((H84+J84)/$Q$27)*100</f>
        <v>76.923076923076934</v>
      </c>
      <c r="J5" s="361"/>
      <c r="K5" s="219">
        <v>1</v>
      </c>
      <c r="L5" s="220" t="str">
        <f t="array" aca="1" ref="L5" ca="1">INDEX('Point Data'!$B$2:$B$225,MATCH(1,($Q$27='Point Data'!$D$2:$D$225)*($K$3='Point Data'!$C$2:$C$225)*(K5='Point Data'!$AJ$2:$AJ$225),0))</f>
        <v>Team 5</v>
      </c>
      <c r="M5" s="485">
        <f ca="1">VLOOKUP($L5,Ranks!$B$2:$S$17,16,FALSE)</f>
        <v>1518.9800000000002</v>
      </c>
      <c r="N5" s="479">
        <f ca="1">VLOOKUP($L5,Ranks!$B$19:$S$34,16,FALSE)</f>
        <v>1282.42</v>
      </c>
      <c r="O5" s="487" t="str">
        <f ca="1">VLOOKUP($L5,Ranks!$AU$2:$AX$17,3,FALSE)</f>
        <v>4-2</v>
      </c>
      <c r="P5" s="487" t="str">
        <f ca="1">VLOOKUP($L5,Ranks!$AU$2:$AX$17,4,FALSE)</f>
        <v>6-1</v>
      </c>
      <c r="Q5" s="358" t="str">
        <f ca="1">VLOOKUP(L5,$D$5:$H$20,5,FALSE)</f>
        <v>10-3</v>
      </c>
      <c r="R5" s="221">
        <f t="array" aca="1" ref="R5" ca="1">INDEX('Point Data'!$L$2:$L$225,MATCH(1,(Standings!$L5='Point Data'!$B$2:$B$225)*($Q$27='Point Data'!$D$2:$D$225)*(Standings!$K$3='Point Data'!$C$2:$C$225),0))</f>
        <v>0</v>
      </c>
      <c r="S5" s="222">
        <f t="array" aca="1" ref="S5" ca="1">INDEX('Point Data'!$T$2:$T$225,MATCH(1,(L5='Point Data'!$B$2:$B$225)*($Q$27='Point Data'!$D$2:$D$225),0))</f>
        <v>18.196923076923081</v>
      </c>
      <c r="T5" s="21"/>
      <c r="U5" s="40">
        <v>1</v>
      </c>
      <c r="V5" s="185" t="str">
        <f t="array" aca="1" ref="V5" ca="1">INDEX('Point Data'!$B$2:$B$225,MATCH(1,($Q$27='Point Data'!$D$2:$D$225)*($U$3='Point Data'!$C$2:$C$225)*(U5='Point Data'!$AJ$2:$AJ$225),0))</f>
        <v>Team 9</v>
      </c>
      <c r="W5" s="489">
        <f ca="1">VLOOKUP($V5,Ranks!$B$2:$S$17,16,FALSE)</f>
        <v>1592.5700000000004</v>
      </c>
      <c r="X5" s="475">
        <f ca="1">VLOOKUP($V5,Ranks!$B$19:$S$34,16,FALSE)</f>
        <v>1427.64</v>
      </c>
      <c r="Y5" s="489" t="str">
        <f ca="1">VLOOKUP($V5,Ranks!$AU$2:$AX$17,3,FALSE)</f>
        <v>5-2</v>
      </c>
      <c r="Z5" s="489" t="str">
        <f ca="1">VLOOKUP($V5,Ranks!$AU$2:$AX$17,4,FALSE)</f>
        <v>4-2</v>
      </c>
      <c r="AA5" s="44" t="str">
        <f t="shared" ref="AA5:AA12" ca="1" si="2">VLOOKUP(V5,$D$5:$H$20,5,FALSE)</f>
        <v>9-4</v>
      </c>
      <c r="AB5" s="160">
        <f ca="1">VLOOKUP(V5,Ranks!$AU$2:$AV$17,2,FALSE)</f>
        <v>48</v>
      </c>
      <c r="AC5" s="126">
        <f t="array" aca="1" ref="AC5" ca="1">INDEX('Point Data'!$T$2:$T$225,MATCH(1,(V5='Point Data'!$B$2:$B$225)*($Q$27='Point Data'!$D$2:$D$225),0))</f>
        <v>12.686923076923073</v>
      </c>
    </row>
    <row r="6" spans="1:29">
      <c r="A6" s="24">
        <v>2</v>
      </c>
      <c r="B6" s="24">
        <f t="array" aca="1" ref="B6" ca="1">INDEX('Point Data'!$I$2:$I$225,MATCH(1,($D6='Point Data'!$B$2:$B$225)*(Standings!$Q$27='Point Data'!$D$2:$D$225),0))</f>
        <v>0</v>
      </c>
      <c r="C6" s="178">
        <f t="array" aca="1" ref="C6" ca="1">INDEX('Point Data'!$AJ$2:$AJ$225,MATCH(1,($D6='Point Data'!$B$2:$B$225)*($Q$27='Point Data'!$D$2:$D$225),0))</f>
        <v>1</v>
      </c>
      <c r="D6" s="539" t="str">
        <f t="array" aca="1" ref="D6" ca="1">INDEX('Point Data'!$B$2:$B$225,MATCH(1,(Standings!$A6='Point Data'!$G$2:$G$225)*(Standings!$Q$27='Point Data'!$D$2:$D$225),0))</f>
        <v>Team 9</v>
      </c>
      <c r="E6" s="80" t="str">
        <f ca="1">VLOOKUP($D6,'ESPN Data'!$L$4:$M$19,2,FALSE)</f>
        <v>Wardo</v>
      </c>
      <c r="F6" s="531">
        <f ca="1">VLOOKUP(D6,Ranks!$B$2:$S$17,16,FALSE)</f>
        <v>1592.5700000000004</v>
      </c>
      <c r="G6" s="531">
        <f ca="1">VLOOKUP(D6,Ranks!$B$19:$S$88,16,FALSE)</f>
        <v>1427.64</v>
      </c>
      <c r="H6" s="80" t="str">
        <f t="shared" ca="1" si="0"/>
        <v>9-4</v>
      </c>
      <c r="I6" s="387">
        <f t="shared" ca="1" si="1"/>
        <v>69.230769230769226</v>
      </c>
      <c r="K6" s="198">
        <v>2</v>
      </c>
      <c r="L6" s="223" t="str">
        <f t="array" aca="1" ref="L6" ca="1">INDEX('Point Data'!$B$2:$B$225,MATCH(1,($Q$27='Point Data'!$D$2:$D$225)*($K$3='Point Data'!$C$2:$C$225)*(K6='Point Data'!$AJ$2:$AJ$225),0))</f>
        <v>Team 6</v>
      </c>
      <c r="M6" s="212">
        <f ca="1">VLOOKUP($L6,Ranks!$B$2:$S$17,16,FALSE)</f>
        <v>1311.5300000000002</v>
      </c>
      <c r="N6" s="212">
        <f ca="1">VLOOKUP($L6,Ranks!$B$19:$S$34,16,FALSE)</f>
        <v>1337.62</v>
      </c>
      <c r="O6" s="212" t="str">
        <f ca="1">VLOOKUP($L6,Ranks!$AU$2:$AX$17,3,FALSE)</f>
        <v>4-3</v>
      </c>
      <c r="P6" s="212" t="str">
        <f ca="1">VLOOKUP($L6,Ranks!$AU$2:$AX$17,4,FALSE)</f>
        <v>4-2</v>
      </c>
      <c r="Q6" s="359" t="str">
        <f t="shared" ref="Q6:Q12" ca="1" si="3">VLOOKUP(L6,$D$5:$H$20,5,FALSE)</f>
        <v>8-5</v>
      </c>
      <c r="R6" s="224">
        <f t="array" aca="1" ref="R6" ca="1">INDEX('Point Data'!$L$2:$L$225,MATCH(1,(Standings!$L6='Point Data'!$B$2:$B$225)*($Q$27='Point Data'!$D$2:$D$225)*(Standings!$K$3='Point Data'!$C$2:$C$225),0))</f>
        <v>36</v>
      </c>
      <c r="S6" s="225">
        <f t="array" aca="1" ref="S6" ca="1">INDEX('Point Data'!$T$2:$T$225,MATCH(1,(L6='Point Data'!$B$2:$B$225)*($Q$27='Point Data'!$D$2:$D$225),0))</f>
        <v>-2.0069230769230737</v>
      </c>
      <c r="U6" s="5">
        <v>2</v>
      </c>
      <c r="V6" s="186" t="str">
        <f t="array" aca="1" ref="V6" ca="1">INDEX('Point Data'!$B$2:$B$225,MATCH(1,($Q$27='Point Data'!$D$2:$D$225)*($U$3='Point Data'!$C$2:$C$225)*(U6='Point Data'!$AJ$2:$AJ$225),0))</f>
        <v>Team 11</v>
      </c>
      <c r="W6" s="476">
        <f ca="1">VLOOKUP($V6,Ranks!$B$2:$S$17,16,FALSE)</f>
        <v>1281.8300000000002</v>
      </c>
      <c r="X6" s="476">
        <f ca="1">VLOOKUP($V6,Ranks!$B$19:$S$34,16,FALSE)</f>
        <v>1198.3800000000001</v>
      </c>
      <c r="Y6" s="476" t="str">
        <f ca="1">VLOOKUP($V6,Ranks!$AU$2:$AX$17,3,FALSE)</f>
        <v>5-3</v>
      </c>
      <c r="Z6" s="476" t="str">
        <f ca="1">VLOOKUP($V6,Ranks!$AU$2:$AX$17,4,FALSE)</f>
        <v>3-2</v>
      </c>
      <c r="AA6" s="8" t="str">
        <f t="shared" ca="1" si="2"/>
        <v>8-5</v>
      </c>
      <c r="AB6" s="161">
        <f ca="1">VLOOKUP(V6,Ranks!$AU$2:$AV$17,2,FALSE)</f>
        <v>0</v>
      </c>
      <c r="AC6" s="120">
        <f t="array" aca="1" ref="AC6" ca="1">INDEX('Point Data'!$T$2:$T$225,MATCH(1,(V6='Point Data'!$B$2:$B$225)*($Q$27='Point Data'!$D$2:$D$225),0))</f>
        <v>6.4192307692307686</v>
      </c>
    </row>
    <row r="7" spans="1:29">
      <c r="A7" s="24">
        <v>3</v>
      </c>
      <c r="B7" s="24">
        <f t="array" aca="1" ref="B7" ca="1">INDEX('Point Data'!$I$2:$I$225,MATCH(1,($D7='Point Data'!$B$2:$B$225)*(Standings!$Q$27='Point Data'!$D$2:$D$225),0))</f>
        <v>0</v>
      </c>
      <c r="C7" s="178">
        <f t="array" aca="1" ref="C7" ca="1">INDEX('Point Data'!$AJ$2:$AJ$225,MATCH(1,($D7='Point Data'!$B$2:$B$225)*($Q$27='Point Data'!$D$2:$D$225),0))</f>
        <v>2</v>
      </c>
      <c r="D7" s="539" t="str">
        <f t="array" aca="1" ref="D7" ca="1">INDEX('Point Data'!$B$2:$B$225,MATCH(1,(Standings!$A7='Point Data'!$G$2:$G$225)*(Standings!$Q$27='Point Data'!$D$2:$D$225),0))</f>
        <v>Team 6</v>
      </c>
      <c r="E7" s="80" t="str">
        <f ca="1">VLOOKUP($D7,'ESPN Data'!$L$4:$M$19,2,FALSE)</f>
        <v>Bone</v>
      </c>
      <c r="F7" s="531">
        <f ca="1">VLOOKUP(D7,Ranks!$B$2:$S$17,16,FALSE)</f>
        <v>1311.5300000000002</v>
      </c>
      <c r="G7" s="531">
        <f ca="1">VLOOKUP(D7,Ranks!$B$19:$S$88,16,FALSE)</f>
        <v>1337.62</v>
      </c>
      <c r="H7" s="80" t="str">
        <f t="shared" ca="1" si="0"/>
        <v>8-5</v>
      </c>
      <c r="I7" s="387">
        <f t="shared" ca="1" si="1"/>
        <v>61.53846153846154</v>
      </c>
      <c r="K7" s="198">
        <v>3</v>
      </c>
      <c r="L7" s="226" t="str">
        <f t="array" aca="1" ref="L7" ca="1">INDEX('Point Data'!$B$2:$B$225,MATCH(1,($Q$27='Point Data'!$D$2:$D$225)*($K$3='Point Data'!$C$2:$C$225)*(K7='Point Data'!$AJ$2:$AJ$225),0))</f>
        <v>Team 8</v>
      </c>
      <c r="M7" s="212">
        <f ca="1">VLOOKUP($L7,Ranks!$B$2:$S$17,16,FALSE)</f>
        <v>1419.95</v>
      </c>
      <c r="N7" s="212">
        <f ca="1">VLOOKUP($L7,Ranks!$B$19:$S$34,16,FALSE)</f>
        <v>1322.4</v>
      </c>
      <c r="O7" s="212" t="str">
        <f ca="1">VLOOKUP($L7,Ranks!$AU$2:$AX$17,3,FALSE)</f>
        <v>4-3</v>
      </c>
      <c r="P7" s="212" t="str">
        <f ca="1">VLOOKUP($L7,Ranks!$AU$2:$AX$17,4,FALSE)</f>
        <v>3-3</v>
      </c>
      <c r="Q7" s="359" t="str">
        <f t="shared" ca="1" si="3"/>
        <v>7-6</v>
      </c>
      <c r="R7" s="224">
        <f t="array" aca="1" ref="R7" ca="1">INDEX('Point Data'!$L$2:$L$225,MATCH(1,(Standings!$L7='Point Data'!$B$2:$B$225)*($Q$27='Point Data'!$D$2:$D$225)*(Standings!$K$3='Point Data'!$C$2:$C$225),0))</f>
        <v>52</v>
      </c>
      <c r="S7" s="225">
        <f t="array" aca="1" ref="S7" ca="1">INDEX('Point Data'!$T$2:$T$225,MATCH(1,(L7='Point Data'!$B$2:$B$225)*($Q$27='Point Data'!$D$2:$D$225),0))</f>
        <v>7.5038461538461529</v>
      </c>
      <c r="U7" s="5">
        <v>3</v>
      </c>
      <c r="V7" s="187" t="str">
        <f t="array" aca="1" ref="V7" ca="1">INDEX('Point Data'!$B$2:$B$225,MATCH(1,($Q$27='Point Data'!$D$2:$D$225)*($U$3='Point Data'!$C$2:$C$225)*(U7='Point Data'!$AJ$2:$AJ$225),0))</f>
        <v>Team 14</v>
      </c>
      <c r="W7" s="476">
        <f ca="1">VLOOKUP($V7,Ranks!$B$2:$S$17,16,FALSE)</f>
        <v>1465.81</v>
      </c>
      <c r="X7" s="476">
        <f ca="1">VLOOKUP($V7,Ranks!$B$19:$S$34,16,FALSE)</f>
        <v>1277.8000000000002</v>
      </c>
      <c r="Y7" s="476" t="str">
        <f ca="1">VLOOKUP($V7,Ranks!$AU$2:$AX$17,3,FALSE)</f>
        <v>3-3</v>
      </c>
      <c r="Z7" s="476" t="str">
        <f ca="1">VLOOKUP($V7,Ranks!$AU$2:$AX$17,4,FALSE)</f>
        <v>4-3</v>
      </c>
      <c r="AA7" s="8" t="str">
        <f t="shared" ca="1" si="2"/>
        <v>7-6</v>
      </c>
      <c r="AB7" s="161">
        <f ca="1">VLOOKUP(V7,Ranks!$AU$2:$AV$17,2,FALSE)</f>
        <v>60</v>
      </c>
      <c r="AC7" s="120">
        <f t="array" aca="1" ref="AC7" ca="1">INDEX('Point Data'!$T$2:$T$225,MATCH(1,(V7='Point Data'!$B$2:$B$225)*($Q$27='Point Data'!$D$2:$D$225),0))</f>
        <v>14.462307692307691</v>
      </c>
    </row>
    <row r="8" spans="1:29">
      <c r="A8" s="24">
        <v>4</v>
      </c>
      <c r="B8" s="24">
        <f t="array" aca="1" ref="B8" ca="1">INDEX('Point Data'!$I$2:$I$225,MATCH(1,($D8='Point Data'!$B$2:$B$225)*(Standings!$Q$27='Point Data'!$D$2:$D$225),0))</f>
        <v>0</v>
      </c>
      <c r="C8" s="178">
        <f t="array" aca="1" ref="C8" ca="1">INDEX('Point Data'!$AJ$2:$AJ$225,MATCH(1,($D8='Point Data'!$B$2:$B$225)*($Q$27='Point Data'!$D$2:$D$225),0))</f>
        <v>2</v>
      </c>
      <c r="D8" s="540" t="str">
        <f t="array" aca="1" ref="D8" ca="1">INDEX('Point Data'!$B$2:$B$225,MATCH(1,(Standings!$A8='Point Data'!$G$2:$G$225)*(Standings!$Q$27='Point Data'!$D$2:$D$225),0))</f>
        <v>Team 11</v>
      </c>
      <c r="E8" s="80" t="str">
        <f ca="1">VLOOKUP($D8,'ESPN Data'!$L$4:$M$19,2,FALSE)</f>
        <v>Wardo</v>
      </c>
      <c r="F8" s="531">
        <f ca="1">VLOOKUP(D8,Ranks!$B$2:$S$17,16,FALSE)</f>
        <v>1281.8300000000002</v>
      </c>
      <c r="G8" s="531">
        <f ca="1">VLOOKUP(D8,Ranks!$B$19:$S$88,16,FALSE)</f>
        <v>1198.3800000000001</v>
      </c>
      <c r="H8" s="80" t="str">
        <f t="shared" ca="1" si="0"/>
        <v>8-5</v>
      </c>
      <c r="I8" s="387">
        <f t="shared" ca="1" si="1"/>
        <v>61.53846153846154</v>
      </c>
      <c r="K8" s="227">
        <v>4</v>
      </c>
      <c r="L8" s="228" t="str">
        <f t="array" aca="1" ref="L8" ca="1">INDEX('Point Data'!$B$2:$B$225,MATCH(1,($Q$27='Point Data'!$D$2:$D$225)*($K$3='Point Data'!$C$2:$C$225)*(K8='Point Data'!$AJ$2:$AJ$225),0))</f>
        <v>Team 2</v>
      </c>
      <c r="M8" s="212">
        <f ca="1">VLOOKUP($L8,Ranks!$B$2:$S$17,16,FALSE)</f>
        <v>1299.43</v>
      </c>
      <c r="N8" s="212">
        <f ca="1">VLOOKUP($L8,Ranks!$B$19:$S$34,16,FALSE)</f>
        <v>1317.0900000000001</v>
      </c>
      <c r="O8" s="212" t="str">
        <f ca="1">VLOOKUP($L8,Ranks!$AU$2:$AX$17,3,FALSE)</f>
        <v>4-4</v>
      </c>
      <c r="P8" s="212" t="str">
        <f ca="1">VLOOKUP($L8,Ranks!$AU$2:$AX$17,4,FALSE)</f>
        <v>4-1</v>
      </c>
      <c r="Q8" s="359" t="str">
        <f t="shared" ca="1" si="3"/>
        <v>8-5</v>
      </c>
      <c r="R8" s="224">
        <f t="array" aca="1" ref="R8" ca="1">INDEX('Point Data'!$L$2:$L$225,MATCH(1,(Standings!$L8='Point Data'!$B$2:$B$225)*($Q$27='Point Data'!$D$2:$D$225)*(Standings!$K$3='Point Data'!$C$2:$C$225),0))</f>
        <v>2</v>
      </c>
      <c r="S8" s="225">
        <f t="array" aca="1" ref="S8" ca="1">INDEX('Point Data'!$T$2:$T$225,MATCH(1,(L8='Point Data'!$B$2:$B$225)*($Q$27='Point Data'!$D$2:$D$225),0))</f>
        <v>-1.3584615384615393</v>
      </c>
      <c r="U8" s="56">
        <v>4</v>
      </c>
      <c r="V8" s="57" t="str">
        <f t="array" aca="1" ref="V8" ca="1">INDEX('Point Data'!$B$2:$B$225,MATCH(1,($Q$27='Point Data'!$D$2:$D$225)*($U$3='Point Data'!$C$2:$C$225)*(U8='Point Data'!$AJ$2:$AJ$225),0))</f>
        <v>Team 15</v>
      </c>
      <c r="W8" s="476">
        <f ca="1">VLOOKUP($V8,Ranks!$B$2:$S$17,16,FALSE)</f>
        <v>1420.0400000000002</v>
      </c>
      <c r="X8" s="476">
        <f ca="1">VLOOKUP($V8,Ranks!$B$19:$S$34,16,FALSE)</f>
        <v>1423.76</v>
      </c>
      <c r="Y8" s="476" t="str">
        <f ca="1">VLOOKUP($V8,Ranks!$AU$2:$AX$17,3,FALSE)</f>
        <v>3-4</v>
      </c>
      <c r="Z8" s="476" t="str">
        <f ca="1">VLOOKUP($V8,Ranks!$AU$2:$AX$17,4,FALSE)</f>
        <v>2-4</v>
      </c>
      <c r="AA8" s="8" t="str">
        <f t="shared" ca="1" si="2"/>
        <v>5-8</v>
      </c>
      <c r="AB8" s="161">
        <f ca="1">VLOOKUP(V8,Ranks!$AU$2:$AV$17,2,FALSE)</f>
        <v>0</v>
      </c>
      <c r="AC8" s="120">
        <f t="array" aca="1" ref="AC8" ca="1">INDEX('Point Data'!$T$2:$T$225,MATCH(1,(V8='Point Data'!$B$2:$B$225)*($Q$27='Point Data'!$D$2:$D$225),0))</f>
        <v>-0.28615384615384609</v>
      </c>
    </row>
    <row r="9" spans="1:29">
      <c r="A9" s="24">
        <v>5</v>
      </c>
      <c r="B9" s="24">
        <f t="array" aca="1" ref="B9" ca="1">INDEX('Point Data'!$I$2:$I$225,MATCH(1,($D9='Point Data'!$B$2:$B$225)*(Standings!$Q$27='Point Data'!$D$2:$D$225),0))</f>
        <v>1</v>
      </c>
      <c r="C9" s="178">
        <f t="array" aca="1" ref="C9" ca="1">INDEX('Point Data'!$AJ$2:$AJ$225,MATCH(1,($D9='Point Data'!$B$2:$B$225)*($Q$27='Point Data'!$D$2:$D$225),0))</f>
        <v>3</v>
      </c>
      <c r="D9" s="541" t="str">
        <f t="array" aca="1" ref="D9" ca="1">INDEX('Point Data'!$B$2:$B$225,MATCH(1,(Standings!$A9='Point Data'!$G$2:$G$225)*(Standings!$Q$27='Point Data'!$D$2:$D$225),0))</f>
        <v>Team 14</v>
      </c>
      <c r="E9" s="82" t="str">
        <f ca="1">VLOOKUP($D9,'ESPN Data'!$L$4:$M$19,2,FALSE)</f>
        <v>Wardo</v>
      </c>
      <c r="F9" s="532">
        <f ca="1">VLOOKUP(D9,Ranks!$B$2:$S$17,16,FALSE)</f>
        <v>1465.81</v>
      </c>
      <c r="G9" s="532">
        <f ca="1">VLOOKUP(D9,Ranks!$B$19:$S$88,16,FALSE)</f>
        <v>1277.8000000000002</v>
      </c>
      <c r="H9" s="82" t="str">
        <f t="shared" ca="1" si="0"/>
        <v>7-6</v>
      </c>
      <c r="I9" s="388">
        <f t="shared" ca="1" si="1"/>
        <v>53.846153846153847</v>
      </c>
      <c r="K9" s="198">
        <v>5</v>
      </c>
      <c r="L9" s="228" t="str">
        <f t="array" aca="1" ref="L9" ca="1">INDEX('Point Data'!$B$2:$B$225,MATCH(1,($Q$27='Point Data'!$D$2:$D$225)*($K$3='Point Data'!$C$2:$C$225)*(K9='Point Data'!$AJ$2:$AJ$225),0))</f>
        <v>Team 4</v>
      </c>
      <c r="M9" s="212">
        <f ca="1">VLOOKUP($L9,Ranks!$B$2:$S$17,16,FALSE)</f>
        <v>1298.93</v>
      </c>
      <c r="N9" s="212">
        <f ca="1">VLOOKUP($L9,Ranks!$B$19:$S$34,16,FALSE)</f>
        <v>1166.7199999999998</v>
      </c>
      <c r="O9" s="212" t="str">
        <f ca="1">VLOOKUP($L9,Ranks!$AU$2:$AX$17,3,FALSE)</f>
        <v>5-2</v>
      </c>
      <c r="P9" s="212" t="str">
        <f ca="1">VLOOKUP($L9,Ranks!$AU$2:$AX$17,4,FALSE)</f>
        <v>3-3</v>
      </c>
      <c r="Q9" s="359" t="str">
        <f t="shared" ca="1" si="3"/>
        <v>8-5</v>
      </c>
      <c r="R9" s="224">
        <f t="array" aca="1" ref="R9" ca="1">INDEX('Point Data'!$L$2:$L$225,MATCH(1,(Standings!$L9='Point Data'!$B$2:$B$225)*($Q$27='Point Data'!$D$2:$D$225)*(Standings!$K$3='Point Data'!$C$2:$C$225),0))</f>
        <v>28</v>
      </c>
      <c r="S9" s="225">
        <f t="array" aca="1" ref="S9" ca="1">INDEX('Point Data'!$T$2:$T$225,MATCH(1,(L9='Point Data'!$B$2:$B$225)*($Q$27='Point Data'!$D$2:$D$225),0))</f>
        <v>10.169999999999998</v>
      </c>
      <c r="U9" s="5">
        <v>5</v>
      </c>
      <c r="V9" s="57" t="str">
        <f t="array" aca="1" ref="V9" ca="1">INDEX('Point Data'!$B$2:$B$225,MATCH(1,($Q$27='Point Data'!$D$2:$D$225)*($U$3='Point Data'!$C$2:$C$225)*(U9='Point Data'!$AJ$2:$AJ$225),0))</f>
        <v>Team 10</v>
      </c>
      <c r="W9" s="476">
        <f ca="1">VLOOKUP($V9,Ranks!$B$2:$S$17,16,FALSE)</f>
        <v>1210.07</v>
      </c>
      <c r="X9" s="476">
        <f ca="1">VLOOKUP($V9,Ranks!$B$19:$S$34,16,FALSE)</f>
        <v>1460.88</v>
      </c>
      <c r="Y9" s="476" t="str">
        <f ca="1">VLOOKUP($V9,Ranks!$AU$2:$AX$17,3,FALSE)</f>
        <v>2-5</v>
      </c>
      <c r="Z9" s="476" t="str">
        <f ca="1">VLOOKUP($V9,Ranks!$AU$2:$AX$17,4,FALSE)</f>
        <v>3-3</v>
      </c>
      <c r="AA9" s="8" t="str">
        <f t="shared" ca="1" si="2"/>
        <v>5-8</v>
      </c>
      <c r="AB9" s="161">
        <f ca="1">VLOOKUP(V9,Ranks!$AU$2:$AV$17,2,FALSE)</f>
        <v>0</v>
      </c>
      <c r="AC9" s="120">
        <f t="array" aca="1" ref="AC9" ca="1">INDEX('Point Data'!$T$2:$T$225,MATCH(1,(V9='Point Data'!$B$2:$B$225)*($Q$27='Point Data'!$D$2:$D$225),0))</f>
        <v>-19.293076923076924</v>
      </c>
    </row>
    <row r="10" spans="1:29" ht="16" thickBot="1">
      <c r="A10" s="24">
        <v>6</v>
      </c>
      <c r="B10" s="25">
        <f t="array" aca="1" ref="B10" ca="1">INDEX('Point Data'!$I$2:$I$225,MATCH(1,($D10='Point Data'!$B$2:$B$225)*(Standings!$Q$27='Point Data'!$D$2:$D$225),0))</f>
        <v>2</v>
      </c>
      <c r="C10" s="178">
        <f t="array" aca="1" ref="C10" ca="1">INDEX('Point Data'!$AJ$2:$AJ$225,MATCH(1,($D10='Point Data'!$B$2:$B$225)*($Q$27='Point Data'!$D$2:$D$225),0))</f>
        <v>3</v>
      </c>
      <c r="D10" s="542" t="str">
        <f t="array" aca="1" ref="D10" ca="1">INDEX('Point Data'!$B$2:$B$225,MATCH(1,(Standings!$A10='Point Data'!$G$2:$G$225)*(Standings!$Q$27='Point Data'!$D$2:$D$225),0))</f>
        <v>Team 8</v>
      </c>
      <c r="E10" s="377" t="str">
        <f ca="1">VLOOKUP($D10,'ESPN Data'!$L$4:$M$19,2,FALSE)</f>
        <v>Bone</v>
      </c>
      <c r="F10" s="533">
        <f ca="1">VLOOKUP(D10,Ranks!$B$2:$S$17,16,FALSE)</f>
        <v>1419.95</v>
      </c>
      <c r="G10" s="533">
        <f ca="1">VLOOKUP(D10,Ranks!$B$19:$S$88,16,FALSE)</f>
        <v>1322.4</v>
      </c>
      <c r="H10" s="377" t="str">
        <f t="shared" ca="1" si="0"/>
        <v>7-6</v>
      </c>
      <c r="I10" s="389">
        <f t="shared" ca="1" si="1"/>
        <v>53.846153846153847</v>
      </c>
      <c r="K10" s="227">
        <v>6</v>
      </c>
      <c r="L10" s="228" t="str">
        <f t="array" aca="1" ref="L10" ca="1">INDEX('Point Data'!$B$2:$B$225,MATCH(1,($Q$27='Point Data'!$D$2:$D$225)*($K$3='Point Data'!$C$2:$C$225)*(K10='Point Data'!$AJ$2:$AJ$225),0))</f>
        <v>Team 7</v>
      </c>
      <c r="M10" s="212">
        <f ca="1">VLOOKUP($L10,Ranks!$B$2:$S$17,16,FALSE)</f>
        <v>1406.67</v>
      </c>
      <c r="N10" s="212">
        <f ca="1">VLOOKUP($L10,Ranks!$B$19:$S$34,16,FALSE)</f>
        <v>1427.5800000000002</v>
      </c>
      <c r="O10" s="212" t="str">
        <f ca="1">VLOOKUP($L10,Ranks!$AU$2:$AX$17,3,FALSE)</f>
        <v>4-3</v>
      </c>
      <c r="P10" s="212" t="str">
        <f ca="1">VLOOKUP($L10,Ranks!$AU$2:$AX$17,4,FALSE)</f>
        <v>3-3</v>
      </c>
      <c r="Q10" s="359" t="str">
        <f t="shared" ca="1" si="3"/>
        <v>7-6</v>
      </c>
      <c r="R10" s="224">
        <f t="array" aca="1" ref="R10" ca="1">INDEX('Point Data'!$L$2:$L$225,MATCH(1,(Standings!$L10='Point Data'!$B$2:$B$225)*($Q$27='Point Data'!$D$2:$D$225)*(Standings!$K$3='Point Data'!$C$2:$C$225),0))</f>
        <v>70</v>
      </c>
      <c r="S10" s="225">
        <f t="array" aca="1" ref="S10" ca="1">INDEX('Point Data'!$T$2:$T$225,MATCH(1,(L10='Point Data'!$B$2:$B$225)*($Q$27='Point Data'!$D$2:$D$225),0))</f>
        <v>-1.6084615384615382</v>
      </c>
      <c r="U10" s="56">
        <v>6</v>
      </c>
      <c r="V10" s="57" t="str">
        <f t="array" aca="1" ref="V10" ca="1">INDEX('Point Data'!$B$2:$B$225,MATCH(1,($Q$27='Point Data'!$D$2:$D$225)*($U$3='Point Data'!$C$2:$C$225)*(U10='Point Data'!$AJ$2:$AJ$225),0))</f>
        <v>Team 13</v>
      </c>
      <c r="W10" s="476">
        <f ca="1">VLOOKUP($V10,Ranks!$B$2:$S$17,16,FALSE)</f>
        <v>1137.4100000000001</v>
      </c>
      <c r="X10" s="476">
        <f ca="1">VLOOKUP($V10,Ranks!$B$19:$S$34,16,FALSE)</f>
        <v>1232.42</v>
      </c>
      <c r="Y10" s="476" t="str">
        <f ca="1">VLOOKUP($V10,Ranks!$AU$2:$AX$17,3,FALSE)</f>
        <v>3-4</v>
      </c>
      <c r="Z10" s="476" t="str">
        <f ca="1">VLOOKUP($V10,Ranks!$AU$2:$AX$17,4,FALSE)</f>
        <v>2-4</v>
      </c>
      <c r="AA10" s="8" t="str">
        <f t="shared" ca="1" si="2"/>
        <v>5-8</v>
      </c>
      <c r="AB10" s="161">
        <f ca="1">VLOOKUP(V10,Ranks!$AU$2:$AV$17,2,FALSE)</f>
        <v>0</v>
      </c>
      <c r="AC10" s="120">
        <f t="array" aca="1" ref="AC10" ca="1">INDEX('Point Data'!$T$2:$T$225,MATCH(1,(V10='Point Data'!$B$2:$B$225)*($Q$27='Point Data'!$D$2:$D$225),0))</f>
        <v>-7.308461538461537</v>
      </c>
    </row>
    <row r="11" spans="1:29" ht="16" thickBot="1">
      <c r="A11" s="24">
        <v>7</v>
      </c>
      <c r="B11" s="24">
        <f t="array" aca="1" ref="B11" ca="1">INDEX('Point Data'!$I$2:$I$225,MATCH(1,($D11='Point Data'!$B$2:$B$225)*(Standings!$Q$27='Point Data'!$D$2:$D$225),0))</f>
        <v>0</v>
      </c>
      <c r="C11" s="178">
        <f t="array" aca="1" ref="C11" ca="1">INDEX('Point Data'!$AJ$2:$AJ$225,MATCH(1,($D11='Point Data'!$B$2:$B$225)*($Q$27='Point Data'!$D$2:$D$225),0))</f>
        <v>4</v>
      </c>
      <c r="D11" s="543" t="str">
        <f t="array" aca="1" ref="D11" ca="1">INDEX('Point Data'!$B$2:$B$225,MATCH(1,(Standings!$A11='Point Data'!$G$2:$G$225)*(Standings!$Q$27='Point Data'!$D$2:$D$225),0))</f>
        <v>Team 2</v>
      </c>
      <c r="E11" s="81" t="str">
        <f ca="1">VLOOKUP($D11,'ESPN Data'!$L$4:$M$19,2,FALSE)</f>
        <v>Bone</v>
      </c>
      <c r="F11" s="439">
        <f ca="1">VLOOKUP(D11,Ranks!$B$2:$S$17,16,FALSE)</f>
        <v>1299.43</v>
      </c>
      <c r="G11" s="439">
        <f ca="1">VLOOKUP(D11,Ranks!$B$19:$S$88,16,FALSE)</f>
        <v>1317.0900000000001</v>
      </c>
      <c r="H11" s="81" t="str">
        <f t="shared" ca="1" si="0"/>
        <v>8-5</v>
      </c>
      <c r="I11" s="390">
        <f t="shared" ca="1" si="1"/>
        <v>61.53846153846154</v>
      </c>
      <c r="K11" s="198">
        <v>7</v>
      </c>
      <c r="L11" s="228" t="str">
        <f t="array" aca="1" ref="L11" ca="1">INDEX('Point Data'!$B$2:$B$225,MATCH(1,($Q$27='Point Data'!$D$2:$D$225)*($K$3='Point Data'!$C$2:$C$225)*(K11='Point Data'!$AJ$2:$AJ$225),0))</f>
        <v>Team 3</v>
      </c>
      <c r="M11" s="212">
        <f ca="1">VLOOKUP($L11,Ranks!$B$2:$S$17,16,FALSE)</f>
        <v>1232.73</v>
      </c>
      <c r="N11" s="212">
        <f ca="1">VLOOKUP($L11,Ranks!$B$19:$S$34,16,FALSE)</f>
        <v>1367.85</v>
      </c>
      <c r="O11" s="212" t="str">
        <f ca="1">VLOOKUP($L11,Ranks!$AU$2:$AX$17,3,FALSE)</f>
        <v>4-3</v>
      </c>
      <c r="P11" s="212" t="str">
        <f ca="1">VLOOKUP($L11,Ranks!$AU$2:$AX$17,4,FALSE)</f>
        <v>1-5</v>
      </c>
      <c r="Q11" s="359" t="str">
        <f t="shared" ca="1" si="3"/>
        <v>5-8</v>
      </c>
      <c r="R11" s="224">
        <f t="array" aca="1" ref="R11" ca="1">INDEX('Point Data'!$L$2:$L$225,MATCH(1,(Standings!$L11='Point Data'!$B$2:$B$225)*($Q$27='Point Data'!$D$2:$D$225)*(Standings!$K$3='Point Data'!$C$2:$C$225),0))</f>
        <v>32</v>
      </c>
      <c r="S11" s="225">
        <f t="array" aca="1" ref="S11" ca="1">INDEX('Point Data'!$T$2:$T$225,MATCH(1,(L11='Point Data'!$B$2:$B$225)*($Q$27='Point Data'!$D$2:$D$225),0))</f>
        <v>-10.393846153846152</v>
      </c>
      <c r="U11" s="5">
        <v>7</v>
      </c>
      <c r="V11" s="57" t="str">
        <f t="array" aca="1" ref="V11" ca="1">INDEX('Point Data'!$B$2:$B$225,MATCH(1,($Q$27='Point Data'!$D$2:$D$225)*($U$3='Point Data'!$C$2:$C$225)*(U11='Point Data'!$AJ$2:$AJ$225),0))</f>
        <v>Team 16</v>
      </c>
      <c r="W11" s="476">
        <f ca="1">VLOOKUP($V11,Ranks!$B$2:$S$17,16,FALSE)</f>
        <v>1230.1400000000001</v>
      </c>
      <c r="X11" s="476">
        <f ca="1">VLOOKUP($V11,Ranks!$B$19:$S$34,16,FALSE)</f>
        <v>1372.8500000000001</v>
      </c>
      <c r="Y11" s="476" t="str">
        <f ca="1">VLOOKUP($V11,Ranks!$AU$2:$AX$17,3,FALSE)</f>
        <v>1-5</v>
      </c>
      <c r="Z11" s="476" t="str">
        <f ca="1">VLOOKUP($V11,Ranks!$AU$2:$AX$17,4,FALSE)</f>
        <v>3-4</v>
      </c>
      <c r="AA11" s="8" t="str">
        <f t="shared" ca="1" si="2"/>
        <v>4-9</v>
      </c>
      <c r="AB11" s="161">
        <f ca="1">VLOOKUP(V11,Ranks!$AU$2:$AV$17,2,FALSE)</f>
        <v>0</v>
      </c>
      <c r="AC11" s="120">
        <f t="array" aca="1" ref="AC11" ca="1">INDEX('Point Data'!$T$2:$T$225,MATCH(1,(V11='Point Data'!$B$2:$B$225)*($Q$27='Point Data'!$D$2:$D$225),0))</f>
        <v>-10.977692307692307</v>
      </c>
    </row>
    <row r="12" spans="1:29" ht="16" thickBot="1">
      <c r="A12" s="24">
        <v>8</v>
      </c>
      <c r="B12" s="24">
        <f t="array" aca="1" ref="B12" ca="1">INDEX('Point Data'!$I$2:$I$225,MATCH(1,($D12='Point Data'!$B$2:$B$225)*(Standings!$Q$27='Point Data'!$D$2:$D$225),0))</f>
        <v>1</v>
      </c>
      <c r="C12" s="178">
        <f t="array" aca="1" ref="C12" ca="1">INDEX('Point Data'!$AJ$2:$AJ$225,MATCH(1,($D12='Point Data'!$B$2:$B$225)*($Q$27='Point Data'!$D$2:$D$225),0))</f>
        <v>5</v>
      </c>
      <c r="D12" s="541" t="str">
        <f t="array" aca="1" ref="D12" ca="1">INDEX('Point Data'!$B$2:$B$225,MATCH(1,(Standings!$A12='Point Data'!$G$2:$G$225)*(Standings!$Q$27='Point Data'!$D$2:$D$225),0))</f>
        <v>Team 4</v>
      </c>
      <c r="E12" s="82" t="str">
        <f ca="1">VLOOKUP($D12,'ESPN Data'!$L$4:$M$19,2,FALSE)</f>
        <v>Bone</v>
      </c>
      <c r="F12" s="532">
        <f ca="1">VLOOKUP(D12,Ranks!$B$2:$S$17,16,FALSE)</f>
        <v>1298.93</v>
      </c>
      <c r="G12" s="532">
        <f ca="1">VLOOKUP(D12,Ranks!$B$19:$S$88,16,FALSE)</f>
        <v>1166.7199999999998</v>
      </c>
      <c r="H12" s="82" t="str">
        <f t="shared" ca="1" si="0"/>
        <v>8-5</v>
      </c>
      <c r="I12" s="388">
        <f t="shared" ca="1" si="1"/>
        <v>61.53846153846154</v>
      </c>
      <c r="K12" s="227">
        <v>8</v>
      </c>
      <c r="L12" s="228" t="str">
        <f t="array" aca="1" ref="L12" ca="1">INDEX('Point Data'!$B$2:$B$225,MATCH(1,($Q$27='Point Data'!$D$2:$D$225)*($K$3='Point Data'!$C$2:$C$225)*(K12='Point Data'!$AJ$2:$AJ$225),0))</f>
        <v>Team 1</v>
      </c>
      <c r="M12" s="484">
        <f ca="1">VLOOKUP($L12,Ranks!$B$2:$S$17,16,FALSE)</f>
        <v>1162.99</v>
      </c>
      <c r="N12" s="484">
        <f ca="1">VLOOKUP($L12,Ranks!$B$19:$S$34,16,FALSE)</f>
        <v>1351.28</v>
      </c>
      <c r="O12" s="484" t="str">
        <f ca="1">VLOOKUP($L12,Ranks!$AU$2:$AX$17,3,FALSE)</f>
        <v>4-3</v>
      </c>
      <c r="P12" s="484" t="str">
        <f ca="1">VLOOKUP($L12,Ranks!$AU$2:$AX$17,4,FALSE)</f>
        <v>0-6</v>
      </c>
      <c r="Q12" s="481" t="str">
        <f t="shared" ca="1" si="3"/>
        <v>4-9</v>
      </c>
      <c r="R12" s="482">
        <f t="array" aca="1" ref="R12" ca="1">INDEX('Point Data'!$L$2:$L$225,MATCH(1,(Standings!$L12='Point Data'!$B$2:$B$225)*($Q$27='Point Data'!$D$2:$D$225)*(Standings!$K$3='Point Data'!$C$2:$C$225),0))</f>
        <v>4</v>
      </c>
      <c r="S12" s="483">
        <f t="array" aca="1" ref="S12" ca="1">INDEX('Point Data'!$T$2:$T$225,MATCH(1,(L12='Point Data'!$B$2:$B$225)*($Q$27='Point Data'!$D$2:$D$225),0))</f>
        <v>-14.483846153846155</v>
      </c>
      <c r="U12" s="56">
        <v>8</v>
      </c>
      <c r="V12" s="57" t="str">
        <f t="array" aca="1" ref="V12" ca="1">INDEX('Point Data'!$B$2:$B$225,MATCH(1,($Q$27='Point Data'!$D$2:$D$225)*($U$3='Point Data'!$C$2:$C$225)*(U12='Point Data'!$AJ$2:$AJ$225),0))</f>
        <v>Team 12</v>
      </c>
      <c r="W12" s="477">
        <f ca="1">VLOOKUP($V12,Ranks!$B$2:$S$17,16,FALSE)</f>
        <v>1199.06</v>
      </c>
      <c r="X12" s="477">
        <f ca="1">VLOOKUP($V12,Ranks!$B$19:$S$34,16,FALSE)</f>
        <v>1221.45</v>
      </c>
      <c r="Y12" s="477" t="str">
        <f ca="1">VLOOKUP($V12,Ranks!$AU$2:$AX$17,3,FALSE)</f>
        <v>1-7</v>
      </c>
      <c r="Z12" s="477" t="str">
        <f ca="1">VLOOKUP($V12,Ranks!$AU$2:$AX$17,4,FALSE)</f>
        <v>3-2</v>
      </c>
      <c r="AA12" s="45" t="str">
        <f t="shared" ca="1" si="2"/>
        <v>4-9</v>
      </c>
      <c r="AB12" s="162">
        <f ca="1">VLOOKUP(V12,Ranks!$AU$2:$AV$17,2,FALSE)</f>
        <v>38</v>
      </c>
      <c r="AC12" s="121">
        <f t="array" aca="1" ref="AC12" ca="1">INDEX('Point Data'!$T$2:$T$225,MATCH(1,(V12='Point Data'!$B$2:$B$225)*($Q$27='Point Data'!$D$2:$D$225),0))</f>
        <v>-1.7223076923076923</v>
      </c>
    </row>
    <row r="13" spans="1:29" ht="16" thickBot="1">
      <c r="A13" s="24">
        <v>9</v>
      </c>
      <c r="B13" s="24">
        <f t="array" aca="1" ref="B13" ca="1">INDEX('Point Data'!$I$2:$I$225,MATCH(1,($D13='Point Data'!$B$2:$B$225)*(Standings!$Q$27='Point Data'!$D$2:$D$225),0))</f>
        <v>-4</v>
      </c>
      <c r="C13" s="178">
        <f t="array" aca="1" ref="C13" ca="1">INDEX('Point Data'!$AJ$2:$AJ$225,MATCH(1,($D13='Point Data'!$B$2:$B$225)*($Q$27='Point Data'!$D$2:$D$225),0))</f>
        <v>6</v>
      </c>
      <c r="D13" s="540" t="str">
        <f t="array" aca="1" ref="D13" ca="1">INDEX('Point Data'!$B$2:$B$225,MATCH(1,(Standings!$A13='Point Data'!$G$2:$G$225)*(Standings!$Q$27='Point Data'!$D$2:$D$225),0))</f>
        <v>Team 7</v>
      </c>
      <c r="E13" s="80" t="str">
        <f ca="1">VLOOKUP($D13,'ESPN Data'!$L$4:$M$19,2,FALSE)</f>
        <v>Bone</v>
      </c>
      <c r="F13" s="531">
        <f ca="1">VLOOKUP(D13,Ranks!$B$2:$S$17,16,FALSE)</f>
        <v>1406.67</v>
      </c>
      <c r="G13" s="531">
        <f ca="1">VLOOKUP(D13,Ranks!$B$19:$S$88,16,FALSE)</f>
        <v>1427.5800000000002</v>
      </c>
      <c r="H13" s="80" t="str">
        <f t="shared" ca="1" si="0"/>
        <v>7-6</v>
      </c>
      <c r="I13" s="387">
        <f t="shared" ca="1" si="1"/>
        <v>53.846153846153847</v>
      </c>
      <c r="K13" s="609" t="s">
        <v>142</v>
      </c>
      <c r="L13" s="610"/>
      <c r="M13" s="229" t="str">
        <f ca="1">ROUND(SUM(M5:M12),1)&amp;"/"&amp;ROUND(AVERAGE(M5:M12),1)</f>
        <v>10651.2/1331.4</v>
      </c>
      <c r="N13" s="229" t="str">
        <f ca="1">ROUND(SUM(N5:N12),1)&amp;"/"&amp;ROUND(AVERAGE(N5:N12),1)</f>
        <v>10573/1321.6</v>
      </c>
      <c r="O13" s="230" t="str">
        <f>"--/--"</f>
        <v>--/--</v>
      </c>
      <c r="P13" s="230" t="str">
        <f>"--/--"</f>
        <v>--/--</v>
      </c>
      <c r="Q13" s="230" t="str">
        <f>"--/--"</f>
        <v>--/--</v>
      </c>
      <c r="R13" s="486" t="str">
        <f ca="1">"$"&amp;ROUND(SUM(R5:R12),1)&amp;"/"&amp;"$"&amp;ROUND(AVERAGE(R5:R12),0)</f>
        <v>$224/$28</v>
      </c>
      <c r="S13" s="230" t="str">
        <f>"--/--"</f>
        <v>--/--</v>
      </c>
      <c r="U13" s="596" t="s">
        <v>21</v>
      </c>
      <c r="V13" s="597"/>
      <c r="W13" s="59" t="str">
        <f ca="1">ROUND(SUM(W5:W12),1)&amp;"/"&amp;ROUND(AVERAGE(W5:W12),1)</f>
        <v>10536.9/1317.1</v>
      </c>
      <c r="X13" s="59" t="str">
        <f ca="1">ROUND(SUM(X5:X12),1)&amp;"/"&amp;ROUND(AVERAGE(X5:X12),1)</f>
        <v>10615.2/1326.9</v>
      </c>
      <c r="Y13" s="13" t="str">
        <f>"--/--"</f>
        <v>--/--</v>
      </c>
      <c r="Z13" s="14" t="str">
        <f>"--/--"</f>
        <v>--/--</v>
      </c>
      <c r="AA13" s="59" t="str">
        <f>"--/--"</f>
        <v>--/--</v>
      </c>
      <c r="AB13" s="163" t="str">
        <f ca="1">"$"&amp;ROUND(SUM(AB5:AB12),1)&amp;"/"&amp;"$"&amp;ROUND(AVERAGE(AB5:AB12),0)</f>
        <v>$146/$18</v>
      </c>
      <c r="AC13" s="59" t="str">
        <f>"--/--"</f>
        <v>--/--</v>
      </c>
    </row>
    <row r="14" spans="1:29">
      <c r="A14" s="24">
        <v>10</v>
      </c>
      <c r="B14" s="24">
        <f t="array" aca="1" ref="B14" ca="1">INDEX('Point Data'!$I$2:$I$225,MATCH(1,($D14='Point Data'!$B$2:$B$225)*(Standings!$Q$27='Point Data'!$D$2:$D$225),0))</f>
        <v>2</v>
      </c>
      <c r="C14" s="178">
        <f t="array" aca="1" ref="C14" ca="1">INDEX('Point Data'!$AJ$2:$AJ$225,MATCH(1,($D14='Point Data'!$B$2:$B$225)*($Q$27='Point Data'!$D$2:$D$225),0))</f>
        <v>4</v>
      </c>
      <c r="D14" s="540" t="str">
        <f t="array" aca="1" ref="D14" ca="1">INDEX('Point Data'!$B$2:$B$225,MATCH(1,(Standings!$A14='Point Data'!$G$2:$G$225)*(Standings!$Q$27='Point Data'!$D$2:$D$225),0))</f>
        <v>Team 15</v>
      </c>
      <c r="E14" s="80" t="str">
        <f ca="1">VLOOKUP($D14,'ESPN Data'!$L$4:$M$19,2,FALSE)</f>
        <v>Wardo</v>
      </c>
      <c r="F14" s="531">
        <f ca="1">VLOOKUP(D14,Ranks!$B$2:$S$17,16,FALSE)</f>
        <v>1420.0400000000002</v>
      </c>
      <c r="G14" s="531">
        <f ca="1">VLOOKUP(D14,Ranks!$B$19:$S$88,16,FALSE)</f>
        <v>1423.76</v>
      </c>
      <c r="H14" s="80" t="str">
        <f t="shared" ca="1" si="0"/>
        <v>5-8</v>
      </c>
      <c r="I14" s="387">
        <f t="shared" ca="1" si="1"/>
        <v>38.461538461538467</v>
      </c>
      <c r="K14" s="590"/>
      <c r="L14" s="590"/>
      <c r="M14" s="463"/>
      <c r="N14" s="463"/>
      <c r="O14" s="598"/>
      <c r="P14" s="598"/>
      <c r="Q14" s="211"/>
      <c r="R14" s="213"/>
      <c r="S14" s="463"/>
      <c r="U14" s="201"/>
      <c r="V14" s="201"/>
      <c r="W14" s="598"/>
      <c r="X14" s="598"/>
      <c r="Y14" s="598"/>
      <c r="Z14" s="598"/>
      <c r="AA14" s="215"/>
      <c r="AB14" s="213"/>
      <c r="AC14" s="15"/>
    </row>
    <row r="15" spans="1:29" ht="15" customHeight="1">
      <c r="A15" s="24">
        <v>11</v>
      </c>
      <c r="B15" s="24">
        <f t="array" aca="1" ref="B15" ca="1">INDEX('Point Data'!$I$2:$I$225,MATCH(1,($D15='Point Data'!$B$2:$B$225)*(Standings!$Q$27='Point Data'!$D$2:$D$225),0))</f>
        <v>3</v>
      </c>
      <c r="C15" s="178">
        <f t="array" aca="1" ref="C15" ca="1">INDEX('Point Data'!$AJ$2:$AJ$225,MATCH(1,($D15='Point Data'!$B$2:$B$225)*($Q$27='Point Data'!$D$2:$D$225),0))</f>
        <v>7</v>
      </c>
      <c r="D15" s="544" t="str">
        <f t="array" aca="1" ref="D15" ca="1">INDEX('Point Data'!$B$2:$B$225,MATCH(1,(Standings!$A15='Point Data'!$G$2:$G$225)*(Standings!$Q$27='Point Data'!$D$2:$D$225),0))</f>
        <v>Team 3</v>
      </c>
      <c r="E15" s="376" t="str">
        <f ca="1">VLOOKUP($D15,'ESPN Data'!$L$4:$M$19,2,FALSE)</f>
        <v>Bone</v>
      </c>
      <c r="F15" s="534">
        <f ca="1">VLOOKUP(D15,Ranks!$B$2:$S$17,16,FALSE)</f>
        <v>1232.73</v>
      </c>
      <c r="G15" s="534">
        <f ca="1">VLOOKUP(D15,Ranks!$B$19:$S$88,16,FALSE)</f>
        <v>1367.85</v>
      </c>
      <c r="H15" s="376" t="str">
        <f t="shared" ca="1" si="0"/>
        <v>5-8</v>
      </c>
      <c r="I15" s="391">
        <f t="shared" ca="1" si="1"/>
        <v>38.461538461538467</v>
      </c>
      <c r="Z15" s="459"/>
      <c r="AA15" s="215"/>
      <c r="AB15" s="213"/>
      <c r="AC15" s="15"/>
    </row>
    <row r="16" spans="1:29" ht="15.75" customHeight="1" thickBot="1">
      <c r="A16" s="24">
        <v>12</v>
      </c>
      <c r="B16" s="24">
        <f t="array" aca="1" ref="B16" ca="1">INDEX('Point Data'!$I$2:$I$225,MATCH(1,($D16='Point Data'!$B$2:$B$225)*(Standings!$Q$27='Point Data'!$D$2:$D$225),0))</f>
        <v>-2</v>
      </c>
      <c r="C16" s="178">
        <f t="array" aca="1" ref="C16" ca="1">INDEX('Point Data'!$AJ$2:$AJ$225,MATCH(1,($D16='Point Data'!$B$2:$B$225)*($Q$27='Point Data'!$D$2:$D$225),0))</f>
        <v>5</v>
      </c>
      <c r="D16" s="540" t="str">
        <f t="array" aca="1" ref="D16" ca="1">INDEX('Point Data'!$B$2:$B$225,MATCH(1,(Standings!$A16='Point Data'!$G$2:$G$225)*(Standings!$Q$27='Point Data'!$D$2:$D$225),0))</f>
        <v>Team 10</v>
      </c>
      <c r="E16" s="80" t="str">
        <f ca="1">VLOOKUP($D16,'ESPN Data'!$L$4:$M$19,2,FALSE)</f>
        <v>Wardo</v>
      </c>
      <c r="F16" s="531">
        <f ca="1">VLOOKUP(D16,Ranks!$B$2:$S$17,16,FALSE)</f>
        <v>1210.07</v>
      </c>
      <c r="G16" s="531">
        <f ca="1">VLOOKUP(D16,Ranks!$B$19:$S$88,16,FALSE)</f>
        <v>1460.88</v>
      </c>
      <c r="H16" s="80" t="str">
        <f t="shared" ca="1" si="0"/>
        <v>5-8</v>
      </c>
      <c r="I16" s="387">
        <f t="shared" ca="1" si="1"/>
        <v>38.461538461538467</v>
      </c>
      <c r="Z16" s="459"/>
      <c r="AA16" s="215"/>
      <c r="AB16" s="213"/>
      <c r="AC16" s="15"/>
    </row>
    <row r="17" spans="1:54" ht="16" thickBot="1">
      <c r="A17" s="25">
        <v>13</v>
      </c>
      <c r="B17" s="24">
        <f t="array" aca="1" ref="B17" ca="1">INDEX('Point Data'!$I$2:$I$225,MATCH(1,($D17='Point Data'!$B$2:$B$225)*(Standings!$Q$27='Point Data'!$D$2:$D$225),0))</f>
        <v>-2</v>
      </c>
      <c r="C17" s="178">
        <f t="array" aca="1" ref="C17" ca="1">INDEX('Point Data'!$AJ$2:$AJ$225,MATCH(1,($D17='Point Data'!$B$2:$B$225)*($Q$27='Point Data'!$D$2:$D$225),0))</f>
        <v>6</v>
      </c>
      <c r="D17" s="539" t="str">
        <f t="array" aca="1" ref="D17" ca="1">INDEX('Point Data'!$B$2:$B$225,MATCH(1,(Standings!$A17='Point Data'!$G$2:$G$225)*(Standings!$Q$27='Point Data'!$D$2:$D$225),0))</f>
        <v>Team 13</v>
      </c>
      <c r="E17" s="80" t="str">
        <f ca="1">VLOOKUP($D17,'ESPN Data'!$L$4:$M$19,2,FALSE)</f>
        <v>Wardo</v>
      </c>
      <c r="F17" s="531">
        <f ca="1">VLOOKUP(D17,Ranks!$B$2:$S$17,16,FALSE)</f>
        <v>1137.4100000000001</v>
      </c>
      <c r="G17" s="531">
        <f ca="1">VLOOKUP(D17,Ranks!$B$19:$S$88,16,FALSE)</f>
        <v>1232.42</v>
      </c>
      <c r="H17" s="80" t="str">
        <f t="shared" ca="1" si="0"/>
        <v>5-8</v>
      </c>
      <c r="I17" s="387">
        <f t="shared" ca="1" si="1"/>
        <v>38.461538461538467</v>
      </c>
      <c r="K17" s="20" t="s">
        <v>0</v>
      </c>
      <c r="L17" s="147" t="s">
        <v>6</v>
      </c>
      <c r="M17" s="602" t="s">
        <v>7</v>
      </c>
      <c r="N17" s="603"/>
      <c r="O17" s="602" t="s">
        <v>164</v>
      </c>
      <c r="P17" s="603"/>
      <c r="Q17" s="211"/>
      <c r="R17" s="213"/>
      <c r="S17" s="15"/>
      <c r="U17" s="201"/>
      <c r="V17" s="611" t="s">
        <v>139</v>
      </c>
      <c r="W17" s="612"/>
      <c r="X17" s="613"/>
      <c r="Y17" s="491"/>
      <c r="Z17" s="15"/>
      <c r="AA17" s="214"/>
      <c r="AB17" s="213"/>
      <c r="AC17" s="15"/>
    </row>
    <row r="18" spans="1:54" ht="16" thickBot="1">
      <c r="A18" s="24">
        <v>14</v>
      </c>
      <c r="B18" s="24">
        <f t="array" aca="1" ref="B18" ca="1">INDEX('Point Data'!$I$2:$I$225,MATCH(1,($D18='Point Data'!$B$2:$B$225)*(Standings!$Q$27='Point Data'!$D$2:$D$225),0))</f>
        <v>-1</v>
      </c>
      <c r="C18" s="178">
        <f t="array" aca="1" ref="C18" ca="1">INDEX('Point Data'!$AJ$2:$AJ$225,MATCH(1,($D18='Point Data'!$B$2:$B$225)*($Q$27='Point Data'!$D$2:$D$225),0))</f>
        <v>7</v>
      </c>
      <c r="D18" s="539" t="str">
        <f t="array" aca="1" ref="D18" ca="1">INDEX('Point Data'!$B$2:$B$225,MATCH(1,(Standings!$A18='Point Data'!$G$2:$G$225)*(Standings!$Q$27='Point Data'!$D$2:$D$225),0))</f>
        <v>Team 16</v>
      </c>
      <c r="E18" s="80" t="str">
        <f ca="1">VLOOKUP($D18,'ESPN Data'!$L$4:$M$19,2,FALSE)</f>
        <v>Wardo</v>
      </c>
      <c r="F18" s="531">
        <f ca="1">VLOOKUP(D18,Ranks!$B$2:$S$17,16,FALSE)</f>
        <v>1230.1400000000001</v>
      </c>
      <c r="G18" s="531">
        <f ca="1">VLOOKUP(D18,Ranks!$B$19:$S$88,16,FALSE)</f>
        <v>1372.8500000000001</v>
      </c>
      <c r="H18" s="80" t="str">
        <f t="shared" ca="1" si="0"/>
        <v>4-9</v>
      </c>
      <c r="I18" s="387">
        <f t="shared" ca="1" si="1"/>
        <v>30.76923076923077</v>
      </c>
      <c r="K18" s="148">
        <v>1</v>
      </c>
      <c r="L18" s="345" t="str">
        <f t="shared" ref="L18:L24" ca="1" si="4">D5</f>
        <v>Team 5</v>
      </c>
      <c r="M18" s="619" t="s">
        <v>180</v>
      </c>
      <c r="N18" s="620"/>
      <c r="O18" s="621"/>
      <c r="P18" s="622"/>
      <c r="Q18" s="591"/>
      <c r="R18" s="591"/>
      <c r="S18" s="15"/>
      <c r="U18" s="201"/>
      <c r="V18" s="460" t="s">
        <v>116</v>
      </c>
      <c r="W18" s="461" t="s">
        <v>13</v>
      </c>
      <c r="X18" s="461" t="s">
        <v>11</v>
      </c>
      <c r="Y18" s="492"/>
      <c r="AB18" s="74"/>
    </row>
    <row r="19" spans="1:54" ht="16" customHeight="1" thickBot="1">
      <c r="A19" s="24">
        <v>15</v>
      </c>
      <c r="B19" s="24">
        <f t="array" aca="1" ref="B19" ca="1">INDEX('Point Data'!$I$2:$I$225,MATCH(1,($D19='Point Data'!$B$2:$B$225)*(Standings!$Q$27='Point Data'!$D$2:$D$225),0))</f>
        <v>0</v>
      </c>
      <c r="C19" s="178">
        <f t="array" aca="1" ref="C19" ca="1">INDEX('Point Data'!$AJ$2:$AJ$225,MATCH(1,($D19='Point Data'!$B$2:$B$225)*($Q$27='Point Data'!$D$2:$D$225),0))</f>
        <v>8</v>
      </c>
      <c r="D19" s="539" t="str">
        <f t="array" aca="1" ref="D19" ca="1">INDEX('Point Data'!$B$2:$B$225,MATCH(1,(Standings!$A19='Point Data'!$G$2:$G$225)*(Standings!$Q$27='Point Data'!$D$2:$D$225),0))</f>
        <v>Team 12</v>
      </c>
      <c r="E19" s="80" t="str">
        <f ca="1">VLOOKUP($D19,'ESPN Data'!$L$4:$M$19,2,FALSE)</f>
        <v>Wardo</v>
      </c>
      <c r="F19" s="531">
        <f ca="1">VLOOKUP(D19,Ranks!$B$2:$S$17,16,FALSE)</f>
        <v>1199.06</v>
      </c>
      <c r="G19" s="531">
        <f ca="1">VLOOKUP(D19,Ranks!$B$19:$S$88,16,FALSE)</f>
        <v>1221.45</v>
      </c>
      <c r="H19" s="80" t="str">
        <f t="shared" ca="1" si="0"/>
        <v>4-9</v>
      </c>
      <c r="I19" s="387">
        <f t="shared" ca="1" si="1"/>
        <v>30.76923076923077</v>
      </c>
      <c r="K19" s="24">
        <v>2</v>
      </c>
      <c r="L19" s="346" t="str">
        <f t="shared" ca="1" si="4"/>
        <v>Team 9</v>
      </c>
      <c r="M19" s="592" t="s">
        <v>119</v>
      </c>
      <c r="N19" s="593"/>
      <c r="O19" s="602" t="s">
        <v>165</v>
      </c>
      <c r="P19" s="603"/>
      <c r="Q19" s="591"/>
      <c r="R19" s="591"/>
      <c r="S19" s="463"/>
      <c r="T19" s="467"/>
      <c r="U19" s="464"/>
      <c r="V19" s="197" t="str">
        <f>$K$3</f>
        <v>Bone</v>
      </c>
      <c r="W19" s="241">
        <f ca="1">SUMIFS('Point Data'!$V$2:$V$225,'Point Data'!$D$2:$D$225,Standings!$Q$27,'Point Data'!$C$2:$C$225,Standings!$V$19)</f>
        <v>33</v>
      </c>
      <c r="X19" s="430">
        <f ca="1">SUM(W28:W35)</f>
        <v>175</v>
      </c>
      <c r="Y19" s="213"/>
      <c r="AB19" s="74"/>
    </row>
    <row r="20" spans="1:54" ht="16" thickBot="1">
      <c r="A20" s="26">
        <v>16</v>
      </c>
      <c r="B20" s="26">
        <f t="array" aca="1" ref="B20" ca="1">INDEX('Point Data'!$I$2:$I$225,MATCH(1,($D20='Point Data'!$B$2:$B$225)*(Standings!$Q$27='Point Data'!$D$2:$D$225),0))</f>
        <v>0</v>
      </c>
      <c r="C20" s="179">
        <f t="array" aca="1" ref="C20" ca="1">INDEX('Point Data'!$AJ$2:$AJ$225,MATCH(1,($D20='Point Data'!$B$2:$B$225)*($Q$27='Point Data'!$D$2:$D$225),0))</f>
        <v>8</v>
      </c>
      <c r="D20" s="545" t="str">
        <f t="array" aca="1" ref="D20" ca="1">INDEX('Point Data'!$B$2:$B$225,MATCH(1,(Standings!$A20='Point Data'!$G$2:$G$225)*(Standings!$Q$27='Point Data'!$D$2:$D$225),0))</f>
        <v>Team 1</v>
      </c>
      <c r="E20" s="377" t="str">
        <f ca="1">VLOOKUP($D20,'ESPN Data'!$L$4:$M$19,2,FALSE)</f>
        <v>Bone</v>
      </c>
      <c r="F20" s="533">
        <f ca="1">VLOOKUP(D20,Ranks!$B$2:$S$17,16,FALSE)</f>
        <v>1162.99</v>
      </c>
      <c r="G20" s="533">
        <f ca="1">VLOOKUP(D20,Ranks!$B$19:$S$88,16,FALSE)</f>
        <v>1351.28</v>
      </c>
      <c r="H20" s="377" t="str">
        <f t="shared" ca="1" si="0"/>
        <v>4-9</v>
      </c>
      <c r="I20" s="389">
        <f t="shared" ca="1" si="1"/>
        <v>30.76923076923077</v>
      </c>
      <c r="K20" s="24">
        <v>3</v>
      </c>
      <c r="L20" s="346" t="str">
        <f t="shared" ca="1" si="4"/>
        <v>Team 6</v>
      </c>
      <c r="M20" s="592" t="s">
        <v>120</v>
      </c>
      <c r="N20" s="593"/>
      <c r="O20" s="604"/>
      <c r="P20" s="605"/>
      <c r="Q20" s="536"/>
      <c r="R20" s="536"/>
      <c r="S20" s="467"/>
      <c r="T20" s="467"/>
      <c r="U20" s="467"/>
      <c r="V20" s="10" t="str">
        <f>U3</f>
        <v>Wardo</v>
      </c>
      <c r="W20" s="256">
        <f ca="1">SUMIFS('Point Data'!$V$2:$V$225,'Point Data'!$D$2:$D$225,Standings!$Q$27,'Point Data'!$C$2:$C$225,Standings!V20)</f>
        <v>23</v>
      </c>
      <c r="X20" s="431">
        <f ca="1">SUM(W36:W43)</f>
        <v>150</v>
      </c>
      <c r="Y20" s="213"/>
      <c r="AB20" s="74"/>
    </row>
    <row r="21" spans="1:54">
      <c r="K21" s="145">
        <v>4</v>
      </c>
      <c r="L21" s="350" t="str">
        <f t="shared" ca="1" si="4"/>
        <v>Team 11</v>
      </c>
      <c r="M21" s="592" t="s">
        <v>121</v>
      </c>
      <c r="N21" s="593"/>
      <c r="O21" s="464"/>
      <c r="P21" s="464"/>
      <c r="Q21" s="464"/>
      <c r="R21" s="464"/>
      <c r="S21" s="464"/>
      <c r="T21" s="467"/>
      <c r="U21" s="467"/>
      <c r="V21" s="467"/>
      <c r="W21" s="467"/>
      <c r="X21" s="467"/>
      <c r="Y21" s="467"/>
      <c r="AB21" s="74"/>
    </row>
    <row r="22" spans="1:54">
      <c r="K22" s="24">
        <v>5</v>
      </c>
      <c r="L22" s="350" t="str">
        <f t="shared" ca="1" si="4"/>
        <v>Team 14</v>
      </c>
      <c r="M22" s="592" t="s">
        <v>122</v>
      </c>
      <c r="N22" s="593"/>
      <c r="O22" s="139"/>
      <c r="P22" s="467"/>
      <c r="Q22" s="467"/>
      <c r="R22" s="467"/>
      <c r="S22" s="467"/>
      <c r="T22" s="467"/>
      <c r="U22" s="467"/>
      <c r="V22" s="467"/>
      <c r="W22" s="467"/>
      <c r="X22" s="467"/>
      <c r="Y22" s="467"/>
      <c r="AB22" s="74"/>
    </row>
    <row r="23" spans="1:54">
      <c r="C23" s="625"/>
      <c r="K23" s="24">
        <v>6</v>
      </c>
      <c r="L23" s="350" t="str">
        <f t="shared" ca="1" si="4"/>
        <v>Team 8</v>
      </c>
      <c r="M23" s="592" t="s">
        <v>123</v>
      </c>
      <c r="N23" s="593"/>
      <c r="O23" s="139"/>
      <c r="P23" s="464"/>
      <c r="Q23" s="464"/>
      <c r="R23" s="464"/>
      <c r="S23" s="464"/>
      <c r="T23" s="464"/>
      <c r="U23" s="464"/>
      <c r="V23" s="467"/>
      <c r="W23" s="467"/>
      <c r="X23" s="467"/>
      <c r="Y23" s="467" t="s">
        <v>19</v>
      </c>
    </row>
    <row r="24" spans="1:54" ht="16" thickBot="1">
      <c r="C24" s="625"/>
      <c r="K24" s="149">
        <v>7</v>
      </c>
      <c r="L24" s="351" t="str">
        <f t="shared" ca="1" si="4"/>
        <v>Team 2</v>
      </c>
      <c r="M24" s="623" t="s">
        <v>124</v>
      </c>
      <c r="N24" s="624"/>
      <c r="O24" s="464"/>
      <c r="P24" s="464"/>
      <c r="Q24" s="464"/>
      <c r="R24" s="464"/>
      <c r="S24" s="464"/>
      <c r="T24" s="467"/>
      <c r="U24" s="467"/>
      <c r="V24" s="467"/>
      <c r="W24" s="467"/>
      <c r="X24" s="467"/>
      <c r="Y24" s="467"/>
    </row>
    <row r="25" spans="1:54" ht="16" thickBot="1">
      <c r="C25" s="204"/>
      <c r="D25" s="204"/>
      <c r="F25" s="204"/>
    </row>
    <row r="26" spans="1:54" s="21" customFormat="1" ht="16" thickBot="1">
      <c r="B26" s="362"/>
      <c r="C26" s="614" t="s">
        <v>10</v>
      </c>
      <c r="D26" s="599" t="s">
        <v>8</v>
      </c>
      <c r="E26" s="600"/>
      <c r="F26" s="601"/>
      <c r="G26" s="599" t="s">
        <v>181</v>
      </c>
      <c r="H26" s="600"/>
      <c r="I26" s="601"/>
      <c r="J26" s="30"/>
      <c r="K26" s="626" t="s">
        <v>186</v>
      </c>
      <c r="L26" s="627"/>
      <c r="M26" s="627"/>
      <c r="N26" s="627"/>
      <c r="O26" s="628"/>
      <c r="P26" s="204"/>
      <c r="Q26" s="20" t="s">
        <v>12</v>
      </c>
      <c r="R26" s="95"/>
      <c r="S26" s="125"/>
      <c r="V26" s="614" t="s">
        <v>9</v>
      </c>
      <c r="W26" s="599" t="s">
        <v>87</v>
      </c>
      <c r="X26" s="600"/>
      <c r="Y26" s="600"/>
      <c r="Z26" s="601"/>
      <c r="AA26" s="30"/>
      <c r="AZ26" s="127"/>
      <c r="BA26" s="127"/>
      <c r="BB26" s="127"/>
    </row>
    <row r="27" spans="1:54" s="21" customFormat="1" ht="16" thickBot="1">
      <c r="B27" s="362"/>
      <c r="C27" s="615"/>
      <c r="D27" s="147" t="s">
        <v>9</v>
      </c>
      <c r="E27" s="379"/>
      <c r="F27" s="20" t="s">
        <v>2</v>
      </c>
      <c r="G27" s="599" t="s">
        <v>9</v>
      </c>
      <c r="H27" s="601"/>
      <c r="I27" s="20" t="s">
        <v>2</v>
      </c>
      <c r="J27" s="30"/>
      <c r="K27" s="570" t="s">
        <v>0</v>
      </c>
      <c r="L27" s="41" t="s">
        <v>5</v>
      </c>
      <c r="M27" s="41" t="s">
        <v>30</v>
      </c>
      <c r="N27" s="41" t="s">
        <v>31</v>
      </c>
      <c r="O27" s="108" t="s">
        <v>32</v>
      </c>
      <c r="P27" s="204"/>
      <c r="Q27" s="43">
        <v>13</v>
      </c>
      <c r="R27" s="95"/>
      <c r="S27" s="125"/>
      <c r="V27" s="615"/>
      <c r="W27" s="422" t="s">
        <v>11</v>
      </c>
      <c r="X27" s="432" t="s">
        <v>88</v>
      </c>
      <c r="Y27" s="432" t="s">
        <v>133</v>
      </c>
      <c r="Z27" s="432" t="s">
        <v>86</v>
      </c>
      <c r="AA27" s="421"/>
      <c r="AZ27" s="127"/>
      <c r="BA27" s="127"/>
      <c r="BB27" s="127"/>
    </row>
    <row r="28" spans="1:54" ht="16" thickBot="1">
      <c r="B28" s="362"/>
      <c r="C28" s="144">
        <v>1</v>
      </c>
      <c r="D28" s="79" t="str">
        <f t="array" aca="1" ref="D28" ca="1">IF(C28&gt;$Q$27,"",INDEX('Point Data'!$B$2:$B$225,MATCH(1,(Standings!F28='Point Data'!$J$2:$J$225)*(Standings!C28='Point Data'!$D$2:$D$225),0)))</f>
        <v>Team 9</v>
      </c>
      <c r="E28" s="383"/>
      <c r="F28" s="473">
        <f t="array" aca="1" ref="F28" ca="1">IF(C28&gt;$Q$27,"",INDEX('Point Data'!$J$2:$J$225,MATCH(1,(1='Point Data'!$AP$2:$AP$225)*(Standings!$C28='Point Data'!$D$2:$D$225),0)))</f>
        <v>150.91999999999999</v>
      </c>
      <c r="G28" s="621" t="str">
        <f t="array" aca="1" ref="G28" ca="1">IF(C28&gt;$Q$27,"",INDEX('Point Data'!$B$2:$B$225,MATCH(1,($I28='Point Data'!$J$2:$J$225)*(Standings!$C28='Point Data'!$D$2:$D$225),0)))</f>
        <v>Team 16</v>
      </c>
      <c r="H28" s="622"/>
      <c r="I28" s="580">
        <f t="array" aca="1" ref="I28" ca="1">IF(C28&gt;$Q$27,"",INDEX('Point Data'!$J$2:$J$225,MATCH(1,(16='Point Data'!$AP$2:$AP$225)*(Standings!$C28='Point Data'!$D$2:$D$225),0)))</f>
        <v>84.93</v>
      </c>
      <c r="J28" s="31"/>
      <c r="K28" s="48">
        <v>1</v>
      </c>
      <c r="L28" s="543" t="str">
        <f t="array" aca="1" ref="L28" ca="1">INDEX('Point Data'!$B$2:$B$225,MATCH(1,(Standings!$Q$27='Point Data'!$D$2:$D$225)*($U$3='Point Data'!$C$2:$C$225)*(Standings!$K28='Point Data'!$AN$2:$AN$225),0))</f>
        <v>Team 14</v>
      </c>
      <c r="M28" s="81">
        <f ca="1">VLOOKUP(L28,Ranks!$B$2:$S$17,16,FALSE)</f>
        <v>1465.81</v>
      </c>
      <c r="N28" s="439" t="str">
        <f>"-"</f>
        <v>-</v>
      </c>
      <c r="O28" s="439" t="str">
        <f>"-"</f>
        <v>-</v>
      </c>
      <c r="P28" s="204"/>
      <c r="Q28" s="204"/>
      <c r="R28" s="94"/>
      <c r="S28" s="124"/>
      <c r="V28" s="371" t="str">
        <f>'ESPN Data'!L4</f>
        <v>Team 1</v>
      </c>
      <c r="W28" s="435">
        <f ca="1">COUNTIF($D$28:$D$44,V28)*25+IF($O$18=V28,2000,0)+IF($O$20=V28,600,0)+IF($Q$27&gt;14,COUNTIFS($L$18,V28,$Q$27,13)*200)</f>
        <v>0</v>
      </c>
      <c r="X28" s="425">
        <f ca="1">INDEX(Standings!$A$5:$A$20,MATCH(V28,Standings!$D$5:$D$20,0))</f>
        <v>16</v>
      </c>
      <c r="Y28" s="425">
        <f>VLOOKUP(V28,'ESPN Data'!$L$4:$O$19,4,FALSE)</f>
        <v>13</v>
      </c>
      <c r="Z28" s="424">
        <f>VLOOKUP(V28,'ESPN Data'!$L$4:$O$19,3,FALSE)</f>
        <v>3</v>
      </c>
      <c r="AA28" s="421"/>
    </row>
    <row r="29" spans="1:54" ht="17" customHeight="1">
      <c r="B29" s="362"/>
      <c r="C29" s="145">
        <v>2</v>
      </c>
      <c r="D29" s="55" t="str">
        <f t="array" aca="1" ref="D29" ca="1">IF(C29&gt;$Q$27,"",INDEX('Point Data'!$B$2:$B$225,MATCH(1,(Standings!F29='Point Data'!$J$2:$J$225)*(Standings!C29='Point Data'!$D$2:$D$225),0)))</f>
        <v>Team 15</v>
      </c>
      <c r="E29" s="378"/>
      <c r="F29" s="465">
        <f t="array" aca="1" ref="F29" ca="1">IF(C29&gt;$Q$27,"",INDEX('Point Data'!$J$2:$J$225,MATCH(1,(1='Point Data'!$AP$2:$AP$225)*(Standings!$C29='Point Data'!$D$2:$D$225),0)))</f>
        <v>148.19</v>
      </c>
      <c r="G29" s="587" t="str">
        <f t="array" aca="1" ref="G29" ca="1">IF(C29&gt;$Q$27,"",INDEX('Point Data'!$B$2:$B$225,MATCH(1,($I29='Point Data'!$J$2:$J$225)*(Standings!$C29='Point Data'!$D$2:$D$225),0)))</f>
        <v>Team 13</v>
      </c>
      <c r="H29" s="588"/>
      <c r="I29" s="581">
        <f t="array" aca="1" ref="I29" ca="1">IF(C29&gt;$Q$27,"",INDEX('Point Data'!$J$2:$J$225,MATCH(1,(16='Point Data'!$AQ$2:$AQ$225)*(Standings!$C29='Point Data'!$D$2:$D$225),0)))</f>
        <v>79.11</v>
      </c>
      <c r="J29" s="31"/>
      <c r="K29" s="47">
        <v>2</v>
      </c>
      <c r="L29" s="540" t="str">
        <f t="array" aca="1" ref="L29" ca="1">INDEX('Point Data'!$B$2:$B$225,MATCH(1,(Standings!$Q$27='Point Data'!$D$2:$D$225)*($U$3='Point Data'!$C$2:$C$225)*(Standings!$K29='Point Data'!$AN$2:$AN$225),0))</f>
        <v>Team 15</v>
      </c>
      <c r="M29" s="80">
        <f ca="1">VLOOKUP(L29,Ranks!$B$2:$S$17,16,FALSE)</f>
        <v>1420.0400000000002</v>
      </c>
      <c r="N29" s="80">
        <f ca="1">$M$28-M29</f>
        <v>45.769999999999754</v>
      </c>
      <c r="O29" s="80">
        <f t="array" aca="1" ref="O29" ca="1">IF($Q$27&gt;=14,"-",N29/(MAX('Point Data'!$D$2:$D$15)-$Q$27))</f>
        <v>45.769999999999754</v>
      </c>
      <c r="P29" s="204"/>
      <c r="Q29" s="204"/>
      <c r="R29" s="94"/>
      <c r="S29" s="124"/>
      <c r="V29" s="372" t="str">
        <f>'ESPN Data'!L5</f>
        <v>Team 2</v>
      </c>
      <c r="W29" s="436">
        <f t="shared" ref="W29:W43" ca="1" si="5">(COUNTIF($D$28:$D$44,V29)*25)+IF($O$18=V29,2000,0)+IF($O$20=V29,600,0)+IF($Q$27&gt;15,COUNTIFS($L$18,V29,$Q$27,13)*200)</f>
        <v>25</v>
      </c>
      <c r="X29" s="427">
        <f ca="1">INDEX(Standings!$A$5:$A$20,MATCH(V29,Standings!$D$5:$D$20,0))</f>
        <v>7</v>
      </c>
      <c r="Y29" s="427">
        <f>VLOOKUP(V29,'ESPN Data'!$L$4:$O$19,4,FALSE)</f>
        <v>11</v>
      </c>
      <c r="Z29" s="426">
        <f>VLOOKUP(V29,'ESPN Data'!$L$4:$O$19,3,FALSE)</f>
        <v>10</v>
      </c>
      <c r="AA29" s="421"/>
    </row>
    <row r="30" spans="1:54">
      <c r="B30" s="362"/>
      <c r="C30" s="25">
        <v>3</v>
      </c>
      <c r="D30" s="55" t="str">
        <f t="array" aca="1" ref="D30" ca="1">IF(C30&gt;$Q$27,"",INDEX('Point Data'!$B$2:$B$225,MATCH(1,(Standings!F30='Point Data'!$J$2:$J$225)*(Standings!C30='Point Data'!$D$2:$D$225),0)))</f>
        <v>Team 5</v>
      </c>
      <c r="E30" s="378"/>
      <c r="F30" s="474">
        <f t="array" aca="1" ref="F30" ca="1">IF(C30&gt;$Q$27,"",INDEX('Point Data'!$J$2:$J$225,MATCH(1,(1='Point Data'!$AP$2:$AP$225)*(Standings!$C30='Point Data'!$D$2:$D$225),0)))</f>
        <v>155.85</v>
      </c>
      <c r="G30" s="587" t="str">
        <f t="array" aca="1" ref="G30" ca="1">IF(C30&gt;$Q$27,"",INDEX('Point Data'!$B$2:$B$225,MATCH(1,($I30='Point Data'!$J$2:$J$225)*(Standings!$C30='Point Data'!$D$2:$D$225),0)))</f>
        <v>Team 3</v>
      </c>
      <c r="H30" s="588"/>
      <c r="I30" s="582">
        <f t="array" aca="1" ref="I30" ca="1">IF(C30&gt;$Q$27,"",INDEX('Point Data'!$J$2:$J$225,MATCH(1,(16='Point Data'!$AP$2:$AP$225)*(Standings!$C30='Point Data'!$D$2:$D$225),0)))</f>
        <v>75.260000000000005</v>
      </c>
      <c r="J30" s="31"/>
      <c r="K30" s="47">
        <v>3</v>
      </c>
      <c r="L30" s="546" t="str">
        <f t="array" aca="1" ref="L30" ca="1">INDEX('Point Data'!$B$2:$B$225,MATCH(1,(Standings!$Q$27='Point Data'!$D$2:$D$225)*($U$3='Point Data'!$C$2:$C$225)*(Standings!$K30='Point Data'!$AN$2:$AN$225),0))</f>
        <v>Team 16</v>
      </c>
      <c r="M30" s="376">
        <f ca="1">VLOOKUP(L30,Ranks!$B$2:$S$17,16,FALSE)</f>
        <v>1230.1400000000001</v>
      </c>
      <c r="N30" s="80">
        <f ca="1">$M$28-M30</f>
        <v>235.66999999999985</v>
      </c>
      <c r="O30" s="80">
        <f t="array" aca="1" ref="O30" ca="1">IF($Q$27&gt;=14,"-",N30/(MAX('Point Data'!$D$2:$D$15)-$Q$27))</f>
        <v>235.66999999999985</v>
      </c>
      <c r="P30" s="204"/>
      <c r="Q30" s="204"/>
      <c r="V30" s="372" t="str">
        <f>'ESPN Data'!L6</f>
        <v>Team 3</v>
      </c>
      <c r="W30" s="436">
        <f t="shared" ca="1" si="5"/>
        <v>0</v>
      </c>
      <c r="X30" s="427">
        <f ca="1">INDEX(Standings!$A$5:$A$20,MATCH(V30,Standings!$D$5:$D$20,0))</f>
        <v>11</v>
      </c>
      <c r="Y30" s="427">
        <f>VLOOKUP(V30,'ESPN Data'!$L$4:$O$19,4,FALSE)</f>
        <v>1</v>
      </c>
      <c r="Z30" s="426">
        <f>VLOOKUP(V30,'ESPN Data'!$L$4:$O$19,3,FALSE)</f>
        <v>5</v>
      </c>
      <c r="AA30" s="421"/>
    </row>
    <row r="31" spans="1:54">
      <c r="B31" s="362"/>
      <c r="C31" s="145">
        <v>4</v>
      </c>
      <c r="D31" s="55" t="str">
        <f t="array" aca="1" ref="D31" ca="1">IF(C31&gt;$Q$27,"",INDEX('Point Data'!$B$2:$B$225,MATCH(1,(Standings!F31='Point Data'!$J$2:$J$225)*(Standings!C31='Point Data'!$D$2:$D$225),0)))</f>
        <v>Team 10</v>
      </c>
      <c r="E31" s="378"/>
      <c r="F31" s="465">
        <f t="array" aca="1" ref="F31" ca="1">IF(C31&gt;$Q$27,"",INDEX('Point Data'!$J$2:$J$225,MATCH(1,(1='Point Data'!$AP$2:$AP$225)*(Standings!$C31='Point Data'!$D$2:$D$225),0)))</f>
        <v>121.55</v>
      </c>
      <c r="G31" s="640" t="str">
        <f t="array" aca="1" ref="G31" ca="1">IF(C31&gt;$Q$27,"",INDEX('Point Data'!$B$2:$B$225,MATCH(1,($I31='Point Data'!$J$2:$J$225)*(Standings!$C31='Point Data'!$D$2:$D$225),0)))</f>
        <v>Team 11</v>
      </c>
      <c r="H31" s="641"/>
      <c r="I31" s="581">
        <f t="array" aca="1" ref="I31" ca="1">IF(C31&gt;$Q$27,"",INDEX('Point Data'!$J$2:$J$225,MATCH(1,(16='Point Data'!$AP$2:$AP$225)*(Standings!$C31='Point Data'!$D$2:$D$225),0)))</f>
        <v>53.05</v>
      </c>
      <c r="J31" s="31"/>
      <c r="K31" s="60">
        <v>4</v>
      </c>
      <c r="L31" s="541" t="str">
        <f t="array" aca="1" ref="L31" ca="1">INDEX('Point Data'!$B$2:$B$225,MATCH(1,(Standings!$Q$27='Point Data'!$D$2:$D$225)*($U$3='Point Data'!$C$2:$C$225)*(Standings!$K31='Point Data'!$AN$2:$AN$225),0))</f>
        <v>Team 10</v>
      </c>
      <c r="M31" s="82">
        <f ca="1">VLOOKUP(L31,Ranks!$B$2:$S$17,16,FALSE)</f>
        <v>1210.07</v>
      </c>
      <c r="N31" s="82">
        <f ca="1">$M$28-M31</f>
        <v>255.74</v>
      </c>
      <c r="O31" s="82">
        <f t="array" aca="1" ref="O31" ca="1">IF($Q$27&gt;=14,"-",N31/(MAX('Point Data'!$D$2:$D$15)-$Q$27))</f>
        <v>255.74</v>
      </c>
      <c r="P31" s="204"/>
      <c r="Q31" s="204"/>
      <c r="V31" s="372" t="str">
        <f>'ESPN Data'!L7</f>
        <v>Team 4</v>
      </c>
      <c r="W31" s="436">
        <f t="shared" ca="1" si="5"/>
        <v>25</v>
      </c>
      <c r="X31" s="427">
        <f ca="1">INDEX(Standings!$A$5:$A$20,MATCH(V31,Standings!$D$5:$D$20,0))</f>
        <v>8</v>
      </c>
      <c r="Y31" s="427" t="str">
        <f>VLOOKUP(V31,'ESPN Data'!$L$4:$O$19,4,FALSE)</f>
        <v>-</v>
      </c>
      <c r="Z31" s="426">
        <f>VLOOKUP(V31,'ESPN Data'!$L$4:$O$19,3,FALSE)</f>
        <v>9</v>
      </c>
      <c r="AA31" s="421"/>
    </row>
    <row r="32" spans="1:54">
      <c r="B32" s="362"/>
      <c r="C32" s="145">
        <v>5</v>
      </c>
      <c r="D32" s="55" t="str">
        <f t="array" aca="1" ref="D32" ca="1">IF(C32&gt;$Q$27,"",INDEX('Point Data'!$B$2:$B$225,MATCH(1,(Standings!F32='Point Data'!$J$2:$J$225)*(Standings!C32='Point Data'!$D$2:$D$225),0)))</f>
        <v>Team 2</v>
      </c>
      <c r="E32" s="378"/>
      <c r="F32" s="465">
        <f t="array" aca="1" ref="F32" ca="1">IF(C32&gt;$Q$27,"",INDEX('Point Data'!$J$2:$J$225,MATCH(1,(1='Point Data'!$AP$2:$AP$225)*(Standings!$C32='Point Data'!$D$2:$D$225),0)))</f>
        <v>138.77000000000001</v>
      </c>
      <c r="G32" s="587" t="str">
        <f t="array" aca="1" ref="G32" ca="1">IF(C32&gt;$Q$27,"",INDEX('Point Data'!$B$2:$B$225,MATCH(1,($I32='Point Data'!$J$2:$J$225)*(Standings!$C32='Point Data'!$D$2:$D$225),0)))</f>
        <v>Team 13</v>
      </c>
      <c r="H32" s="588"/>
      <c r="I32" s="581">
        <f t="array" aca="1" ref="I32" ca="1">IF(C32&gt;$Q$27,"",INDEX('Point Data'!$J$2:$J$225,MATCH(1,(16='Point Data'!$AP$2:$AP$225)*(Standings!$C32='Point Data'!$D$2:$D$225),0)))</f>
        <v>54.24</v>
      </c>
      <c r="J32" s="31"/>
      <c r="K32" s="47">
        <v>5</v>
      </c>
      <c r="L32" s="546" t="str">
        <f t="array" aca="1" ref="L32" ca="1">INDEX('Point Data'!$B$2:$B$225,MATCH(1,(Standings!$Q$27='Point Data'!$D$2:$D$225)*($U$3='Point Data'!$C$2:$C$225)*(Standings!$K32='Point Data'!$AN$2:$AN$225),0))</f>
        <v>Team 12</v>
      </c>
      <c r="M32" s="376">
        <f ca="1">VLOOKUP(L32,Ranks!$B$2:$S$17,16,FALSE)</f>
        <v>1199.06</v>
      </c>
      <c r="N32" s="80">
        <f ca="1">$M$28-M32</f>
        <v>266.75</v>
      </c>
      <c r="O32" s="80">
        <f t="array" aca="1" ref="O32" ca="1">IF($Q$27&gt;=14,"-",N32/(MAX('Point Data'!$D$2:$D$15)-$Q$27))</f>
        <v>266.75</v>
      </c>
      <c r="P32" s="204"/>
      <c r="Q32" s="204"/>
      <c r="V32" s="372" t="str">
        <f>'ESPN Data'!L8</f>
        <v>Team 5</v>
      </c>
      <c r="W32" s="436">
        <f t="shared" ca="1" si="5"/>
        <v>75</v>
      </c>
      <c r="X32" s="427">
        <f ca="1">INDEX(Standings!$A$5:$A$20,MATCH(V32,Standings!$D$5:$D$20,0))</f>
        <v>1</v>
      </c>
      <c r="Y32" s="427">
        <f>VLOOKUP(V32,'ESPN Data'!$L$4:$O$19,4,FALSE)</f>
        <v>7</v>
      </c>
      <c r="Z32" s="426">
        <f>VLOOKUP(V32,'ESPN Data'!$L$4:$O$19,3,FALSE)</f>
        <v>15</v>
      </c>
      <c r="AA32" s="421"/>
    </row>
    <row r="33" spans="3:27" ht="16" thickBot="1">
      <c r="C33" s="145">
        <v>6</v>
      </c>
      <c r="D33" s="55" t="str">
        <f t="array" aca="1" ref="D33" ca="1">IF(C33&gt;$Q$27,"",INDEX('Point Data'!$B$2:$B$225,MATCH(1,(Standings!F33='Point Data'!$J$2:$J$225)*(Standings!C33='Point Data'!$D$2:$D$225),0)))</f>
        <v>Team 4</v>
      </c>
      <c r="E33" s="378"/>
      <c r="F33" s="465">
        <f t="array" aca="1" ref="F33" ca="1">IF(C33&gt;$Q$27,"",INDEX('Point Data'!$J$2:$J$225,MATCH(1,(1='Point Data'!$AP$2:$AP$225)*(Standings!$C33='Point Data'!$D$2:$D$225),0)))</f>
        <v>133.94999999999999</v>
      </c>
      <c r="G33" s="587" t="str">
        <f t="array" aca="1" ref="G33" ca="1">IF(C33&gt;$Q$27,"",INDEX('Point Data'!$B$2:$B$225,MATCH(1,($I33='Point Data'!$J$2:$J$225)*(Standings!$C33='Point Data'!$D$2:$D$225),0)))</f>
        <v>Team 3</v>
      </c>
      <c r="H33" s="588"/>
      <c r="I33" s="581">
        <f t="array" aca="1" ref="I33" ca="1">IF(C33&gt;$Q$27,"",INDEX('Point Data'!$J$2:$J$225,MATCH(1,(16='Point Data'!$AP$2:$AP$225)*(Standings!$C33='Point Data'!$D$2:$D$225),0)))</f>
        <v>67.37</v>
      </c>
      <c r="J33" s="31"/>
      <c r="K33" s="48">
        <v>6</v>
      </c>
      <c r="L33" s="543" t="str">
        <f t="array" aca="1" ref="L33" ca="1">INDEX('Point Data'!$B$2:$B$225,MATCH(1,(Standings!$Q$27='Point Data'!$D$2:$D$225)*($U$3='Point Data'!$C$2:$C$225)*(Standings!$K33='Point Data'!$AN$2:$AN$225),0))</f>
        <v>Team 13</v>
      </c>
      <c r="M33" s="81">
        <f ca="1">VLOOKUP(L33,Ranks!$B$2:$S$17,16,FALSE)</f>
        <v>1137.4100000000001</v>
      </c>
      <c r="N33" s="81">
        <f ca="1">$M$28-M33</f>
        <v>328.39999999999986</v>
      </c>
      <c r="O33" s="81">
        <f t="array" aca="1" ref="O33" ca="1">IF($Q$27&gt;=14,"-",N33/(MAX('Point Data'!$D$2:$D$15)-$Q$27))</f>
        <v>328.39999999999986</v>
      </c>
      <c r="P33" s="204"/>
      <c r="Q33" s="204"/>
      <c r="V33" s="372" t="str">
        <f>'ESPN Data'!L9</f>
        <v>Team 6</v>
      </c>
      <c r="W33" s="436">
        <f t="shared" ca="1" si="5"/>
        <v>25</v>
      </c>
      <c r="X33" s="427">
        <f ca="1">INDEX(Standings!$A$5:$A$20,MATCH(V33,Standings!$D$5:$D$20,0))</f>
        <v>3</v>
      </c>
      <c r="Y33" s="427">
        <f>VLOOKUP(V33,'ESPN Data'!$L$4:$O$19,4,FALSE)</f>
        <v>5</v>
      </c>
      <c r="Z33" s="426">
        <f>VLOOKUP(V33,'ESPN Data'!$L$4:$O$19,3,FALSE)</f>
        <v>16</v>
      </c>
      <c r="AA33" s="421"/>
    </row>
    <row r="34" spans="3:27" ht="16" thickBot="1">
      <c r="C34" s="145">
        <v>7</v>
      </c>
      <c r="D34" s="55" t="str">
        <f t="array" aca="1" ref="D34" ca="1">IF(C34&gt;$Q$27,"",INDEX('Point Data'!$B$2:$B$225,MATCH(1,(Standings!F34='Point Data'!$J$2:$J$225)*(Standings!C34='Point Data'!$D$2:$D$225),0)))</f>
        <v>Team 5</v>
      </c>
      <c r="E34" s="378"/>
      <c r="F34" s="465">
        <f t="array" aca="1" ref="F34" ca="1">IF(C34&gt;$Q$27,"",INDEX('Point Data'!$J$2:$J$225,MATCH(1,(1='Point Data'!$AP$2:$AP$225)*(Standings!$C34='Point Data'!$D$2:$D$225),0)))</f>
        <v>154.35</v>
      </c>
      <c r="G34" s="587" t="str">
        <f t="array" aca="1" ref="G34" ca="1">IF(C34&gt;$Q$27,"",INDEX('Point Data'!$B$2:$B$225,MATCH(1,($I34='Point Data'!$J$2:$J$225)*(Standings!$C34='Point Data'!$D$2:$D$225),0)))</f>
        <v>Team 16</v>
      </c>
      <c r="H34" s="588"/>
      <c r="I34" s="581">
        <f t="array" aca="1" ref="I34" ca="1">IF(C34&gt;$Q$27,"",INDEX('Point Data'!$J$2:$J$225,MATCH(1,(16='Point Data'!$AP$2:$AP$225)*(Standings!$C34='Point Data'!$D$2:$D$225),0)))</f>
        <v>66.319999999999993</v>
      </c>
      <c r="J34" s="31"/>
      <c r="K34" s="216" t="s">
        <v>0</v>
      </c>
      <c r="L34" s="216" t="s">
        <v>5</v>
      </c>
      <c r="M34" s="216" t="s">
        <v>30</v>
      </c>
      <c r="N34" s="216" t="s">
        <v>31</v>
      </c>
      <c r="O34" s="216" t="s">
        <v>32</v>
      </c>
      <c r="P34" s="204"/>
      <c r="Q34" s="204"/>
      <c r="V34" s="372" t="str">
        <f>'ESPN Data'!L10</f>
        <v>Team 7</v>
      </c>
      <c r="W34" s="436">
        <f t="shared" ca="1" si="5"/>
        <v>0</v>
      </c>
      <c r="X34" s="427">
        <f ca="1">INDEX(Standings!$A$5:$A$20,MATCH(V34,Standings!$D$5:$D$20,0))</f>
        <v>9</v>
      </c>
      <c r="Y34" s="427">
        <f>VLOOKUP(V34,'ESPN Data'!$L$4:$O$19,4,FALSE)</f>
        <v>9</v>
      </c>
      <c r="Z34" s="426">
        <f>VLOOKUP(V34,'ESPN Data'!$L$4:$O$19,3,FALSE)</f>
        <v>2</v>
      </c>
      <c r="AA34" s="421"/>
    </row>
    <row r="35" spans="3:27" ht="16" thickBot="1">
      <c r="C35" s="145">
        <v>8</v>
      </c>
      <c r="D35" s="55" t="str">
        <f t="array" aca="1" ref="D35" ca="1">IF(C35&gt;$Q$27,"",INDEX('Point Data'!$B$2:$B$225,MATCH(1,(Standings!F35='Point Data'!$J$2:$J$225)*(Standings!C35='Point Data'!$D$2:$D$225),0)))</f>
        <v>Team 14</v>
      </c>
      <c r="E35" s="378"/>
      <c r="F35" s="465">
        <f t="array" aca="1" ref="F35" ca="1">IF(C35&gt;$Q$27,"",INDEX('Point Data'!$J$2:$J$225,MATCH(1,(1='Point Data'!$AP$2:$AP$225)*(Standings!$C35='Point Data'!$D$2:$D$225),0)))</f>
        <v>131.43</v>
      </c>
      <c r="G35" s="587" t="str">
        <f t="array" aca="1" ref="G35" ca="1">IF(C35&gt;$Q$27,"",INDEX('Point Data'!$B$2:$B$225,MATCH(1,($I35='Point Data'!$J$2:$J$225)*(Standings!$C35='Point Data'!$D$2:$D$225),0)))</f>
        <v>Team 16</v>
      </c>
      <c r="H35" s="588"/>
      <c r="I35" s="581">
        <f t="array" aca="1" ref="I35" ca="1">IF(C35&gt;$Q$27,"",INDEX('Point Data'!$J$2:$J$225,MATCH(1,(16='Point Data'!$AP$2:$AP$225)*(Standings!$C35='Point Data'!$D$2:$D$225),0)))</f>
        <v>67.62</v>
      </c>
      <c r="J35" s="31"/>
      <c r="K35" s="20">
        <v>1</v>
      </c>
      <c r="L35" s="577" t="str">
        <f t="array" aca="1" ref="L35" ca="1">INDEX('Point Data'!$B$2:$B$225,MATCH(1,(Standings!$Q$27='Point Data'!$D$2:$D$225)*($K$3='Point Data'!$C$2:$C$225)*(Standings!$K35='Point Data'!$AN$2:$AN$225),0))</f>
        <v>Team 8</v>
      </c>
      <c r="M35" s="571">
        <f ca="1">VLOOKUP(L35,Ranks!$B$2:$S$17,16,FALSE)</f>
        <v>1419.95</v>
      </c>
      <c r="N35" s="439" t="str">
        <f>"-"</f>
        <v>-</v>
      </c>
      <c r="O35" s="439" t="str">
        <f>"-"</f>
        <v>-</v>
      </c>
      <c r="P35" s="204"/>
      <c r="Q35" s="204"/>
      <c r="V35" s="372" t="str">
        <f>'ESPN Data'!L11</f>
        <v>Team 8</v>
      </c>
      <c r="W35" s="436">
        <f t="shared" ca="1" si="5"/>
        <v>25</v>
      </c>
      <c r="X35" s="427">
        <f ca="1">INDEX(Standings!$A$5:$A$20,MATCH(V35,Standings!$D$5:$D$20,0))</f>
        <v>6</v>
      </c>
      <c r="Y35" s="427">
        <f>VLOOKUP(V35,'ESPN Data'!$L$4:$O$19,4,FALSE)</f>
        <v>3</v>
      </c>
      <c r="Z35" s="426">
        <f>VLOOKUP(V35,'ESPN Data'!$L$4:$O$19,3,FALSE)</f>
        <v>11</v>
      </c>
      <c r="AA35" s="421"/>
    </row>
    <row r="36" spans="3:27">
      <c r="C36" s="145">
        <v>9</v>
      </c>
      <c r="D36" s="55" t="str">
        <f t="array" aca="1" ref="D36" ca="1">IF(C36&gt;$Q$27,"",INDEX('Point Data'!$B$2:$B$225,MATCH(1,(Standings!F36='Point Data'!$J$2:$J$225)*(Standings!C36='Point Data'!$D$2:$D$225),0)))</f>
        <v>Team 5</v>
      </c>
      <c r="E36" s="378"/>
      <c r="F36" s="465">
        <f t="array" aca="1" ref="F36" ca="1">IF(C36&gt;$Q$27,"",INDEX('Point Data'!$J$2:$J$225,MATCH(1,(1='Point Data'!$AP$2:$AP$225)*(Standings!$C36='Point Data'!$D$2:$D$225),0)))</f>
        <v>157.65</v>
      </c>
      <c r="G36" s="587" t="str">
        <f t="array" aca="1" ref="G36" ca="1">IF(C36&gt;$Q$27,"",INDEX('Point Data'!$B$2:$B$225,MATCH(1,($I36='Point Data'!$J$2:$J$225)*(Standings!$C36='Point Data'!$D$2:$D$225),0)))</f>
        <v>Team 4</v>
      </c>
      <c r="H36" s="588"/>
      <c r="I36" s="581">
        <f t="array" aca="1" ref="I36" ca="1">IF(C36&gt;$Q$27,"",INDEX('Point Data'!$J$2:$J$225,MATCH(1,(16='Point Data'!$AP$2:$AP$225)*(Standings!$C36='Point Data'!$D$2:$D$225),0)))</f>
        <v>56.32</v>
      </c>
      <c r="J36" s="31"/>
      <c r="K36" s="572">
        <v>2</v>
      </c>
      <c r="L36" s="538" t="str">
        <f t="array" aca="1" ref="L36" ca="1">INDEX('Point Data'!$B$2:$B$225,MATCH(1,(Standings!$Q$27='Point Data'!$D$2:$D$225)*($K$3='Point Data'!$C$2:$C$225)*(Standings!$K36='Point Data'!$AN$2:$AN$225),0))</f>
        <v>Team 7</v>
      </c>
      <c r="M36" s="574">
        <f ca="1">VLOOKUP(L36,Ranks!$B$2:$S$17,16,FALSE)</f>
        <v>1406.67</v>
      </c>
      <c r="N36" s="82">
        <f ca="1">$M$35-M36</f>
        <v>13.279999999999973</v>
      </c>
      <c r="O36" s="82">
        <f t="array" aca="1" ref="O36" ca="1">IF($Q$27&gt;=14,"-",N36/(MAX('Point Data'!$D$2:$D$15)-$Q$27))</f>
        <v>13.279999999999973</v>
      </c>
      <c r="P36" s="204"/>
      <c r="Q36" s="204"/>
      <c r="V36" s="373" t="str">
        <f>'ESPN Data'!L12</f>
        <v>Team 9</v>
      </c>
      <c r="W36" s="436">
        <f t="shared" ca="1" si="5"/>
        <v>50</v>
      </c>
      <c r="X36" s="427">
        <f ca="1">INDEX(Standings!$A$5:$A$20,MATCH(V36,Standings!$D$5:$D$20,0))</f>
        <v>2</v>
      </c>
      <c r="Y36" s="427">
        <f>VLOOKUP(V36,'ESPN Data'!$L$4:$O$19,4,FALSE)</f>
        <v>4</v>
      </c>
      <c r="Z36" s="426">
        <f>VLOOKUP(V36,'ESPN Data'!$L$4:$O$19,3,FALSE)</f>
        <v>1</v>
      </c>
      <c r="AA36" s="421"/>
    </row>
    <row r="37" spans="3:27">
      <c r="C37" s="145">
        <v>10</v>
      </c>
      <c r="D37" s="55" t="str">
        <f t="array" aca="1" ref="D37" ca="1">IF(C37&gt;$Q$27,"",INDEX('Point Data'!$B$2:$B$225,MATCH(1,(Standings!F37='Point Data'!$J$2:$J$225)*(Standings!C37='Point Data'!$D$2:$D$225),0)))</f>
        <v>Team 6</v>
      </c>
      <c r="E37" s="378"/>
      <c r="F37" s="465">
        <f t="array" aca="1" ref="F37" ca="1">IF(C37&gt;$Q$27,"",INDEX('Point Data'!$J$2:$J$225,MATCH(1,(1='Point Data'!$AP$2:$AP$225)*(Standings!$C37='Point Data'!$D$2:$D$225),0)))</f>
        <v>128.55000000000001</v>
      </c>
      <c r="G37" s="587" t="str">
        <f t="array" aca="1" ref="G37" ca="1">IF(C37&gt;$Q$27,"",INDEX('Point Data'!$B$2:$B$225,MATCH(1,($I37='Point Data'!$J$2:$J$225)*(Standings!$C37='Point Data'!$D$2:$D$225),0)))</f>
        <v>Team 10</v>
      </c>
      <c r="H37" s="588"/>
      <c r="I37" s="581">
        <f t="array" aca="1" ref="I37" ca="1">IF(C37&gt;$Q$27,"",INDEX('Point Data'!$J$2:$J$225,MATCH(1,(16='Point Data'!$AP$2:$AP$225)*(Standings!$C37='Point Data'!$D$2:$D$225),0)))</f>
        <v>59.04</v>
      </c>
      <c r="J37" s="31"/>
      <c r="K37" s="573">
        <v>3</v>
      </c>
      <c r="L37" s="539" t="str">
        <f t="array" aca="1" ref="L37" ca="1">INDEX('Point Data'!$B$2:$B$225,MATCH(1,(Standings!$Q$27='Point Data'!$D$2:$D$225)*($K$3='Point Data'!$C$2:$C$225)*(Standings!$K37='Point Data'!$AN$2:$AN$225),0))</f>
        <v>Team 2</v>
      </c>
      <c r="M37" s="575">
        <f ca="1">VLOOKUP(L37,Ranks!$B$2:$S$17,16,FALSE)</f>
        <v>1299.43</v>
      </c>
      <c r="N37" s="80">
        <f t="shared" ref="N37:N40" ca="1" si="6">$M$35-M37</f>
        <v>120.51999999999998</v>
      </c>
      <c r="O37" s="80">
        <f t="array" aca="1" ref="O37" ca="1">IF($Q$27&gt;=14,"-",N37/(MAX('Point Data'!$D$2:$D$15)-$Q$27))</f>
        <v>120.51999999999998</v>
      </c>
      <c r="P37" s="204"/>
      <c r="Q37" s="204"/>
      <c r="V37" s="373" t="str">
        <f>'ESPN Data'!L13</f>
        <v>Team 10</v>
      </c>
      <c r="W37" s="436">
        <f t="shared" ca="1" si="5"/>
        <v>25</v>
      </c>
      <c r="X37" s="427">
        <f ca="1">INDEX(Standings!$A$5:$A$20,MATCH(V37,Standings!$D$5:$D$20,0))</f>
        <v>12</v>
      </c>
      <c r="Y37" s="427" t="str">
        <f>VLOOKUP(V37,'ESPN Data'!$L$4:$O$19,4,FALSE)</f>
        <v>-</v>
      </c>
      <c r="Z37" s="426">
        <f>VLOOKUP(V37,'ESPN Data'!$L$4:$O$19,3,FALSE)</f>
        <v>8</v>
      </c>
      <c r="AA37" s="421"/>
    </row>
    <row r="38" spans="3:27" ht="15" customHeight="1">
      <c r="C38" s="145">
        <v>11</v>
      </c>
      <c r="D38" s="55" t="str">
        <f t="array" aca="1" ref="D38" ca="1">IF(C38&gt;$Q$27,"",INDEX('Point Data'!$B$2:$B$225,MATCH(1,(Standings!F38='Point Data'!$J$2:$J$225)*(Standings!C38='Point Data'!$D$2:$D$225),0)))</f>
        <v>Team 9</v>
      </c>
      <c r="E38" s="378"/>
      <c r="F38" s="465">
        <f t="array" aca="1" ref="F38" ca="1">IF(C38&gt;$Q$27,"",INDEX('Point Data'!$J$2:$J$225,MATCH(1,(1='Point Data'!$AP$2:$AP$225)*(Standings!$C38='Point Data'!$D$2:$D$225),0)))</f>
        <v>129.88</v>
      </c>
      <c r="G38" s="587" t="str">
        <f t="array" aca="1" ref="G38" ca="1">IF(C38&gt;$Q$27,"",INDEX('Point Data'!$B$2:$B$225,MATCH(1,($I38='Point Data'!$J$2:$J$225)*(Standings!$C38='Point Data'!$D$2:$D$225),0)))</f>
        <v>Team 12</v>
      </c>
      <c r="H38" s="588"/>
      <c r="I38" s="581">
        <f t="array" aca="1" ref="I38" ca="1">IF(C38&gt;$Q$27,"",INDEX('Point Data'!$J$2:$J$225,MATCH(1,(16='Point Data'!$AP$2:$AP$225)*(Standings!$C38='Point Data'!$D$2:$D$225),0)))</f>
        <v>69.319999999999993</v>
      </c>
      <c r="J38" s="31"/>
      <c r="K38" s="572">
        <v>4</v>
      </c>
      <c r="L38" s="539" t="str">
        <f t="array" aca="1" ref="L38" ca="1">INDEX('Point Data'!$B$2:$B$225,MATCH(1,(Standings!$Q$27='Point Data'!$D$2:$D$225)*($K$3='Point Data'!$C$2:$C$225)*(Standings!$K38='Point Data'!$AN$2:$AN$225),0))</f>
        <v>Team 4</v>
      </c>
      <c r="M38" s="575">
        <f ca="1">VLOOKUP(L38,Ranks!$B$2:$S$17,16,FALSE)</f>
        <v>1298.93</v>
      </c>
      <c r="N38" s="80">
        <f t="shared" ca="1" si="6"/>
        <v>121.01999999999998</v>
      </c>
      <c r="O38" s="80">
        <f t="array" aca="1" ref="O38" ca="1">IF($Q$27&gt;=14,"-",N38/(MAX('Point Data'!$D$2:$D$15)-$Q$27))</f>
        <v>121.01999999999998</v>
      </c>
      <c r="P38" s="204"/>
      <c r="Q38" s="204"/>
      <c r="V38" s="373" t="str">
        <f>'ESPN Data'!L14</f>
        <v>Team 11</v>
      </c>
      <c r="W38" s="436">
        <f t="shared" ca="1" si="5"/>
        <v>0</v>
      </c>
      <c r="X38" s="427">
        <f ca="1">INDEX(Standings!$A$5:$A$20,MATCH(V38,Standings!$D$5:$D$20,0))</f>
        <v>4</v>
      </c>
      <c r="Y38" s="427">
        <f>VLOOKUP(V38,'ESPN Data'!$L$4:$O$19,4,FALSE)</f>
        <v>2</v>
      </c>
      <c r="Z38" s="426">
        <f>VLOOKUP(V38,'ESPN Data'!$L$4:$O$19,3,FALSE)</f>
        <v>4</v>
      </c>
      <c r="AA38" s="421"/>
    </row>
    <row r="39" spans="3:27">
      <c r="C39" s="145">
        <v>12</v>
      </c>
      <c r="D39" s="55" t="str">
        <f t="array" aca="1" ref="D39" ca="1">IF(C39&gt;$Q$27,"",INDEX('Point Data'!$B$2:$B$225,MATCH(1,(Standings!F39='Point Data'!$J$2:$J$225)*(Standings!C39='Point Data'!$D$2:$D$225),0)))</f>
        <v>Team 8</v>
      </c>
      <c r="E39" s="378"/>
      <c r="F39" s="465">
        <f t="array" aca="1" ref="F39" ca="1">IF(C39&gt;$Q$27,"",INDEX('Point Data'!$J$2:$J$225,MATCH(1,(1='Point Data'!$AP$2:$AP$225)*(Standings!$C39='Point Data'!$D$2:$D$225),0)))</f>
        <v>140.47999999999999</v>
      </c>
      <c r="G39" s="587" t="str">
        <f t="array" aca="1" ref="G39" ca="1">IF(C39&gt;$Q$27,"",INDEX('Point Data'!$B$2:$B$225,MATCH(1,($I39='Point Data'!$J$2:$J$225)*(Standings!$C39='Point Data'!$D$2:$D$225),0)))</f>
        <v>Team 10</v>
      </c>
      <c r="H39" s="588"/>
      <c r="I39" s="581">
        <f t="array" aca="1" ref="I39" ca="1">IF(C39&gt;$Q$27,"",INDEX('Point Data'!$J$2:$J$225,MATCH(1,(16='Point Data'!$AP$2:$AP$225)*(Standings!$C39='Point Data'!$D$2:$D$225),0)))</f>
        <v>51.3</v>
      </c>
      <c r="J39" s="31"/>
      <c r="K39" s="573">
        <v>5</v>
      </c>
      <c r="L39" s="346" t="str">
        <f t="array" aca="1" ref="L39" ca="1">INDEX('Point Data'!$B$2:$B$225,MATCH(1,(Standings!$Q$27='Point Data'!$D$2:$D$225)*($K$3='Point Data'!$C$2:$C$225)*(Standings!$K39='Point Data'!$AN$2:$AN$225),0))</f>
        <v>Team 3</v>
      </c>
      <c r="M39" s="575">
        <f ca="1">VLOOKUP(L39,Ranks!$B$2:$S$17,16,FALSE)</f>
        <v>1232.73</v>
      </c>
      <c r="N39" s="80">
        <f t="shared" ca="1" si="6"/>
        <v>187.22000000000003</v>
      </c>
      <c r="O39" s="80">
        <f t="array" aca="1" ref="O39" ca="1">IF($Q$27&gt;=14,"-",N39/(MAX('Point Data'!$D$2:$D$15)-$Q$27))</f>
        <v>187.22000000000003</v>
      </c>
      <c r="P39" s="204"/>
      <c r="Q39" s="204"/>
      <c r="V39" s="373" t="str">
        <f>'ESPN Data'!L15</f>
        <v>Team 12</v>
      </c>
      <c r="W39" s="436">
        <f t="shared" ca="1" si="5"/>
        <v>0</v>
      </c>
      <c r="X39" s="427">
        <f ca="1">INDEX(Standings!$A$5:$A$20,MATCH(V39,Standings!$D$5:$D$20,0))</f>
        <v>15</v>
      </c>
      <c r="Y39" s="427">
        <f>VLOOKUP(V39,'ESPN Data'!$L$4:$O$19,4,FALSE)</f>
        <v>14</v>
      </c>
      <c r="Z39" s="426">
        <f>VLOOKUP(V39,'ESPN Data'!$L$4:$O$19,3,FALSE)</f>
        <v>12</v>
      </c>
      <c r="AA39" s="421"/>
    </row>
    <row r="40" spans="3:27" ht="15" customHeight="1" thickBot="1">
      <c r="C40" s="145">
        <v>13</v>
      </c>
      <c r="D40" s="55" t="str">
        <f t="array" aca="1" ref="D40" ca="1">IF(C40&gt;$Q$27,"",INDEX('Point Data'!$B$2:$B$225,MATCH(1,(Standings!F40='Point Data'!$J$2:$J$225)*(Standings!C40='Point Data'!$D$2:$D$225),0)))</f>
        <v>Team 15</v>
      </c>
      <c r="E40" s="378"/>
      <c r="F40" s="465">
        <f t="array" aca="1" ref="F40" ca="1">IF(C40&gt;$Q$27,"",INDEX('Point Data'!$J$2:$J$225,MATCH(1,(1='Point Data'!$AP$2:$AP$225)*(Standings!$C40='Point Data'!$D$2:$D$225),0)))</f>
        <v>184.43</v>
      </c>
      <c r="G40" s="587" t="str">
        <f t="array" aca="1" ref="G40" ca="1">IF(C40&gt;$Q$27,"",INDEX('Point Data'!$B$2:$B$225,MATCH(1,($I40='Point Data'!$J$2:$J$225)*(Standings!$C40='Point Data'!$D$2:$D$225),0)))</f>
        <v>Team 13</v>
      </c>
      <c r="H40" s="588"/>
      <c r="I40" s="581">
        <f t="array" aca="1" ref="I40" ca="1">IF(C40&gt;$Q$27,"",INDEX('Point Data'!$J$2:$J$225,MATCH(1,(16='Point Data'!$AP$2:$AP$225)*(Standings!$C40='Point Data'!$D$2:$D$225),0)))</f>
        <v>72.98</v>
      </c>
      <c r="J40" s="31"/>
      <c r="K40" s="573">
        <v>6</v>
      </c>
      <c r="L40" s="348" t="str">
        <f t="array" aca="1" ref="L40" ca="1">INDEX('Point Data'!$B$2:$B$225,MATCH(1,(Standings!$Q$27='Point Data'!$D$2:$D$225)*($K$3='Point Data'!$C$2:$C$225)*(Standings!$K40='Point Data'!$AN$2:$AN$225),0))</f>
        <v>Team 1</v>
      </c>
      <c r="M40" s="576">
        <f ca="1">VLOOKUP(L40,Ranks!$B$2:$S$17,16,FALSE)</f>
        <v>1162.99</v>
      </c>
      <c r="N40" s="80">
        <f t="shared" ca="1" si="6"/>
        <v>256.96000000000004</v>
      </c>
      <c r="O40" s="80">
        <f t="array" aca="1" ref="O40" ca="1">IF($Q$27&gt;=14,"-",N40/(MAX('Point Data'!$D$2:$D$15)-$Q$27))</f>
        <v>256.96000000000004</v>
      </c>
      <c r="P40" s="204"/>
      <c r="Q40" s="204"/>
      <c r="V40" s="373" t="str">
        <f>'ESPN Data'!L16</f>
        <v>Team 13</v>
      </c>
      <c r="W40" s="436">
        <f t="shared" ca="1" si="5"/>
        <v>0</v>
      </c>
      <c r="X40" s="427">
        <f ca="1">INDEX(Standings!$A$5:$A$20,MATCH(V40,Standings!$D$5:$D$20,0))</f>
        <v>13</v>
      </c>
      <c r="Y40" s="427">
        <f>VLOOKUP(V40,'ESPN Data'!$L$4:$O$19,4,FALSE)</f>
        <v>8</v>
      </c>
      <c r="Z40" s="426">
        <f>VLOOKUP(V40,'ESPN Data'!$L$4:$O$19,3,FALSE)</f>
        <v>7</v>
      </c>
      <c r="AA40" s="421"/>
    </row>
    <row r="41" spans="3:27" ht="15" customHeight="1">
      <c r="C41" s="145">
        <v>14</v>
      </c>
      <c r="D41" s="55" t="str">
        <f t="array" ref="D41">IF(C41&gt;$Q$27,"",INDEX('Point Data'!$B$2:$B$225,MATCH(1,(Standings!F41='Point Data'!$J$2:$J$225)*(Standings!C41='Point Data'!$D$2:$D$225),0)))</f>
        <v/>
      </c>
      <c r="E41" s="378"/>
      <c r="F41" s="465" t="str">
        <f t="array" ref="F41">IF(C41&gt;$Q$27,"",INDEX('Point Data'!$J$2:$J$225,MATCH(1,(1='Point Data'!$AP$2:$AP$225)*(Standings!$C41='Point Data'!$D$2:$D$225),0)))</f>
        <v/>
      </c>
      <c r="G41" s="587" t="str">
        <f t="array" ref="G41">IF(C41&gt;$Q$27,"",INDEX('Point Data'!$B$2:$B$225,MATCH(1,($I41='Point Data'!$J$2:$J$225)*(Standings!$C41='Point Data'!$D$2:$D$225),0)))</f>
        <v/>
      </c>
      <c r="H41" s="588"/>
      <c r="I41" s="581" t="str">
        <f t="array" ref="I41">IF(C41&gt;$Q$27,"",INDEX('Point Data'!$J$2:$J$225,MATCH(1,(16='Point Data'!$AP$2:$AP$225)*(Standings!$C41='Point Data'!$D$2:$D$225),0)))</f>
        <v/>
      </c>
      <c r="J41" s="31"/>
      <c r="K41" s="633" t="s">
        <v>140</v>
      </c>
      <c r="L41" s="634"/>
      <c r="M41" s="635"/>
      <c r="N41" s="635"/>
      <c r="O41" s="636"/>
      <c r="P41" s="204"/>
      <c r="Q41" s="204"/>
      <c r="V41" s="373" t="str">
        <f>'ESPN Data'!L17</f>
        <v>Team 14</v>
      </c>
      <c r="W41" s="436">
        <f t="shared" ca="1" si="5"/>
        <v>25</v>
      </c>
      <c r="X41" s="427">
        <f ca="1">INDEX(Standings!$A$5:$A$20,MATCH(V41,Standings!$D$5:$D$20,0))</f>
        <v>5</v>
      </c>
      <c r="Y41" s="427">
        <f>VLOOKUP(V41,'ESPN Data'!$L$4:$O$19,4,FALSE)</f>
        <v>6</v>
      </c>
      <c r="Z41" s="426">
        <f>VLOOKUP(V41,'ESPN Data'!$L$4:$O$19,3,FALSE)</f>
        <v>14</v>
      </c>
      <c r="AA41" s="421"/>
    </row>
    <row r="42" spans="3:27" ht="16" thickBot="1">
      <c r="C42" s="145">
        <v>15</v>
      </c>
      <c r="D42" s="350"/>
      <c r="E42" s="378"/>
      <c r="F42" s="145"/>
      <c r="G42" s="629"/>
      <c r="H42" s="630"/>
      <c r="I42" s="583"/>
      <c r="J42" s="31"/>
      <c r="K42" s="637"/>
      <c r="L42" s="638"/>
      <c r="M42" s="638"/>
      <c r="N42" s="638"/>
      <c r="O42" s="639"/>
      <c r="P42" s="204"/>
      <c r="Q42" s="204"/>
      <c r="T42" s="9"/>
      <c r="V42" s="373" t="str">
        <f>'ESPN Data'!L18</f>
        <v>Team 15</v>
      </c>
      <c r="W42" s="436">
        <f t="shared" ca="1" si="5"/>
        <v>50</v>
      </c>
      <c r="X42" s="427">
        <f ca="1">INDEX(Standings!$A$5:$A$20,MATCH(V42,Standings!$D$5:$D$20,0))</f>
        <v>10</v>
      </c>
      <c r="Y42" s="427">
        <f>VLOOKUP(V42,'ESPN Data'!$L$4:$O$19,4,FALSE)</f>
        <v>10</v>
      </c>
      <c r="Z42" s="426">
        <f>VLOOKUP(V42,'ESPN Data'!$L$4:$O$19,3,FALSE)</f>
        <v>13</v>
      </c>
      <c r="AA42" s="421"/>
    </row>
    <row r="43" spans="3:27" ht="16" thickBot="1">
      <c r="C43" s="146">
        <v>16</v>
      </c>
      <c r="D43" s="350"/>
      <c r="E43" s="378"/>
      <c r="F43" s="145"/>
      <c r="G43" s="631"/>
      <c r="H43" s="632"/>
      <c r="I43" s="583"/>
      <c r="J43" s="31"/>
      <c r="K43" s="362"/>
      <c r="L43" s="381"/>
      <c r="M43" s="362"/>
      <c r="N43" s="362"/>
      <c r="O43" s="362"/>
      <c r="U43" s="46"/>
      <c r="V43" s="374" t="str">
        <f>'ESPN Data'!L19</f>
        <v>Team 16</v>
      </c>
      <c r="W43" s="437">
        <f t="shared" ca="1" si="5"/>
        <v>0</v>
      </c>
      <c r="X43" s="429">
        <f ca="1">INDEX(Standings!$A$5:$A$20,MATCH(V43,Standings!$D$5:$D$20,0))</f>
        <v>14</v>
      </c>
      <c r="Y43" s="429">
        <f>VLOOKUP(V43,'ESPN Data'!$L$4:$O$19,4,FALSE)</f>
        <v>12</v>
      </c>
      <c r="Z43" s="428">
        <f>VLOOKUP(V43,'ESPN Data'!$L$4:$O$19,3,FALSE)</f>
        <v>6</v>
      </c>
      <c r="AA43" s="421"/>
    </row>
    <row r="44" spans="3:27" ht="16" thickBot="1">
      <c r="C44" s="146">
        <v>17</v>
      </c>
      <c r="D44" s="348"/>
      <c r="E44" s="106"/>
      <c r="F44" s="146"/>
      <c r="G44" s="585"/>
      <c r="H44" s="586"/>
      <c r="I44" s="584"/>
      <c r="J44" s="30"/>
      <c r="K44" s="362"/>
      <c r="L44" s="381"/>
      <c r="M44" s="362"/>
      <c r="N44" s="362"/>
      <c r="O44" s="362"/>
      <c r="T44" s="9"/>
      <c r="U44" s="183"/>
      <c r="V44" s="42" t="s">
        <v>15</v>
      </c>
      <c r="W44" s="423">
        <f ca="1">SUM(W28:W43)</f>
        <v>325</v>
      </c>
      <c r="X44" s="367"/>
      <c r="Y44" s="191" t="s">
        <v>67</v>
      </c>
      <c r="Z44" s="189" t="s">
        <v>67</v>
      </c>
      <c r="AA44" s="433"/>
    </row>
    <row r="45" spans="3:27" ht="16" thickBot="1">
      <c r="C45" s="599" t="s">
        <v>18</v>
      </c>
      <c r="D45" s="601"/>
      <c r="E45" s="384"/>
      <c r="F45" s="579">
        <f ca="1">IFERROR(AVERAGE(F28:F43),"")</f>
        <v>144.30769230769232</v>
      </c>
      <c r="G45" s="599" t="s">
        <v>18</v>
      </c>
      <c r="H45" s="601"/>
      <c r="I45" s="579">
        <f ca="1">IFERROR(AVERAGE(I28:I43),"")</f>
        <v>65.912307692307706</v>
      </c>
      <c r="L45" s="381"/>
      <c r="T45" s="9"/>
      <c r="U45" s="184"/>
      <c r="V45" s="16"/>
      <c r="W45" s="16"/>
      <c r="X45" s="184"/>
      <c r="AA45" s="434"/>
    </row>
    <row r="46" spans="3:27">
      <c r="L46" s="497"/>
      <c r="M46" s="499"/>
      <c r="N46" s="499"/>
      <c r="O46" s="499"/>
      <c r="P46" s="499"/>
      <c r="Q46" s="499"/>
      <c r="R46" s="499"/>
      <c r="S46" s="499"/>
      <c r="T46" s="498"/>
      <c r="U46" s="495"/>
      <c r="V46" s="16"/>
      <c r="W46" s="16"/>
      <c r="X46" s="495"/>
      <c r="Y46" s="499"/>
      <c r="Z46" s="499"/>
      <c r="AA46" s="434"/>
    </row>
    <row r="47" spans="3:27">
      <c r="D47" s="499"/>
      <c r="E47" s="499"/>
      <c r="F47" s="499"/>
      <c r="G47" s="499"/>
      <c r="H47" s="495"/>
      <c r="I47" s="495"/>
      <c r="J47" s="495"/>
      <c r="K47" s="499"/>
      <c r="L47" s="497"/>
      <c r="M47" s="499"/>
      <c r="N47" s="499"/>
      <c r="O47" s="499"/>
      <c r="P47" s="499"/>
      <c r="Q47" s="499"/>
      <c r="R47" s="499"/>
      <c r="S47" s="499"/>
      <c r="T47" s="498"/>
      <c r="U47" s="495"/>
      <c r="V47" s="16"/>
      <c r="W47" s="16"/>
      <c r="X47" s="495"/>
      <c r="Y47" s="499"/>
      <c r="Z47" s="499"/>
      <c r="AA47" s="499"/>
    </row>
    <row r="48" spans="3:27">
      <c r="D48" s="499"/>
      <c r="E48" s="499"/>
      <c r="F48" s="499"/>
      <c r="G48" s="499"/>
      <c r="H48" s="499"/>
      <c r="I48" s="499"/>
      <c r="J48" s="495"/>
      <c r="K48" s="499"/>
      <c r="L48" s="385"/>
      <c r="M48" s="499"/>
      <c r="N48" s="499"/>
      <c r="O48" s="499"/>
      <c r="P48" s="499"/>
      <c r="Q48" s="499"/>
      <c r="R48" s="499"/>
      <c r="S48" s="499"/>
      <c r="T48" s="498"/>
      <c r="U48" s="495"/>
      <c r="V48" s="16"/>
      <c r="W48" s="16"/>
      <c r="X48" s="495"/>
      <c r="Y48" s="499"/>
      <c r="Z48" s="499"/>
      <c r="AA48" s="499"/>
    </row>
    <row r="49" spans="12:27">
      <c r="L49" s="497"/>
      <c r="M49" s="499"/>
      <c r="N49" s="499"/>
      <c r="O49" s="499"/>
      <c r="P49" s="499"/>
      <c r="Q49" s="499"/>
      <c r="R49" s="499"/>
      <c r="S49" s="499"/>
      <c r="T49" s="498"/>
      <c r="U49" s="495"/>
      <c r="V49" s="16"/>
      <c r="W49" s="16"/>
      <c r="X49" s="495"/>
      <c r="Y49" s="499"/>
      <c r="Z49" s="499"/>
      <c r="AA49" s="499"/>
    </row>
    <row r="50" spans="12:27">
      <c r="L50" s="385"/>
      <c r="M50" s="499"/>
      <c r="N50" s="499"/>
      <c r="O50" s="499"/>
      <c r="P50" s="499"/>
      <c r="Q50" s="499"/>
      <c r="R50" s="499"/>
      <c r="S50" s="499"/>
      <c r="T50" s="498"/>
      <c r="U50" s="495"/>
      <c r="V50" s="16"/>
      <c r="W50" s="16"/>
      <c r="X50" s="495"/>
      <c r="Y50" s="499"/>
      <c r="Z50" s="499"/>
      <c r="AA50" s="499"/>
    </row>
    <row r="51" spans="12:27">
      <c r="L51" s="497"/>
      <c r="M51" s="499"/>
      <c r="N51" s="499"/>
      <c r="O51" s="499"/>
      <c r="P51" s="499"/>
      <c r="Q51" s="499"/>
      <c r="R51" s="499"/>
      <c r="S51" s="499"/>
      <c r="T51" s="498"/>
      <c r="U51" s="495"/>
      <c r="V51" s="16"/>
      <c r="W51" s="16"/>
      <c r="X51" s="495"/>
      <c r="Y51" s="499"/>
      <c r="Z51" s="499"/>
      <c r="AA51" s="499"/>
    </row>
    <row r="52" spans="12:27">
      <c r="L52" s="497"/>
      <c r="M52" s="499"/>
      <c r="N52" s="499"/>
      <c r="O52" s="499"/>
      <c r="P52" s="499"/>
      <c r="Q52" s="499"/>
      <c r="R52" s="499"/>
      <c r="S52" s="499"/>
      <c r="T52" s="498"/>
      <c r="U52" s="495"/>
      <c r="V52" s="16"/>
      <c r="W52" s="16"/>
      <c r="X52" s="495"/>
      <c r="Y52" s="499"/>
      <c r="Z52" s="499"/>
      <c r="AA52" s="499"/>
    </row>
    <row r="53" spans="12:27">
      <c r="L53" s="497"/>
      <c r="M53" s="499"/>
      <c r="N53" s="499"/>
      <c r="O53" s="499"/>
      <c r="P53" s="499"/>
      <c r="Q53" s="499"/>
      <c r="R53" s="499"/>
      <c r="S53" s="499"/>
      <c r="T53" s="498"/>
      <c r="U53" s="495"/>
      <c r="V53" s="16"/>
      <c r="W53" s="16"/>
      <c r="X53" s="495"/>
      <c r="Y53" s="499"/>
      <c r="Z53" s="499"/>
      <c r="AA53" s="499"/>
    </row>
    <row r="54" spans="12:27">
      <c r="L54" s="497"/>
      <c r="M54" s="499"/>
      <c r="N54" s="499"/>
      <c r="O54" s="499"/>
      <c r="P54" s="499"/>
      <c r="Q54" s="499"/>
      <c r="R54" s="499"/>
      <c r="S54" s="499"/>
      <c r="T54" s="498"/>
      <c r="U54" s="495"/>
      <c r="V54" s="16"/>
      <c r="W54" s="16"/>
      <c r="X54" s="495"/>
      <c r="Y54" s="499"/>
      <c r="Z54" s="499"/>
      <c r="AA54" s="499"/>
    </row>
    <row r="55" spans="12:27">
      <c r="L55" s="385"/>
      <c r="M55" s="499"/>
      <c r="N55" s="499"/>
      <c r="O55" s="499"/>
      <c r="P55" s="499"/>
      <c r="Q55" s="499"/>
      <c r="R55" s="499"/>
      <c r="S55" s="499"/>
      <c r="T55" s="499"/>
      <c r="U55" s="495"/>
      <c r="V55" s="16"/>
      <c r="W55" s="16"/>
      <c r="X55" s="495"/>
      <c r="Y55" s="499"/>
      <c r="Z55" s="499"/>
      <c r="AA55" s="499"/>
    </row>
    <row r="56" spans="12:27">
      <c r="L56" s="497"/>
      <c r="M56" s="499"/>
      <c r="N56" s="499"/>
      <c r="O56" s="499"/>
      <c r="P56" s="499"/>
      <c r="Q56" s="499"/>
      <c r="R56" s="499"/>
      <c r="S56" s="499"/>
      <c r="T56" s="499"/>
      <c r="U56" s="495"/>
      <c r="V56" s="16"/>
      <c r="W56" s="16"/>
      <c r="X56" s="495"/>
      <c r="Y56" s="499"/>
      <c r="Z56" s="499"/>
      <c r="AA56" s="499"/>
    </row>
    <row r="57" spans="12:27">
      <c r="L57" s="499"/>
      <c r="M57" s="499"/>
      <c r="N57" s="499"/>
      <c r="O57" s="499"/>
      <c r="P57" s="499"/>
      <c r="Q57" s="499"/>
      <c r="R57" s="499"/>
      <c r="S57" s="499"/>
      <c r="T57" s="499"/>
      <c r="U57" s="495"/>
      <c r="V57" s="16"/>
      <c r="W57" s="16"/>
      <c r="X57" s="495"/>
      <c r="Y57" s="499"/>
      <c r="Z57" s="499"/>
      <c r="AA57" s="499"/>
    </row>
    <row r="58" spans="12:27">
      <c r="L58" s="499"/>
      <c r="M58" s="499"/>
      <c r="N58" s="499"/>
      <c r="O58" s="499"/>
      <c r="P58" s="499"/>
      <c r="Q58" s="499"/>
      <c r="R58" s="499"/>
      <c r="S58" s="499"/>
      <c r="T58" s="499"/>
      <c r="U58" s="495"/>
      <c r="V58" s="16"/>
      <c r="W58" s="16"/>
      <c r="X58" s="495"/>
      <c r="Y58" s="499"/>
      <c r="Z58" s="499"/>
      <c r="AA58" s="499"/>
    </row>
    <row r="59" spans="12:27">
      <c r="L59" s="499"/>
      <c r="M59" s="499"/>
      <c r="N59" s="499"/>
      <c r="O59" s="499"/>
      <c r="P59" s="499"/>
      <c r="Q59" s="499"/>
      <c r="R59" s="499"/>
      <c r="S59" s="499"/>
      <c r="T59" s="499"/>
      <c r="U59" s="495"/>
      <c r="V59" s="16"/>
      <c r="W59" s="16"/>
      <c r="X59" s="495"/>
      <c r="Y59" s="499"/>
      <c r="Z59" s="499"/>
      <c r="AA59" s="499"/>
    </row>
    <row r="60" spans="12:27">
      <c r="L60" s="499"/>
      <c r="M60" s="499"/>
      <c r="N60" s="499"/>
      <c r="O60" s="499"/>
      <c r="P60" s="499"/>
      <c r="Q60" s="499"/>
      <c r="R60" s="499"/>
      <c r="S60" s="499"/>
      <c r="T60" s="499"/>
      <c r="U60" s="499"/>
      <c r="V60" s="499"/>
      <c r="W60" s="499"/>
      <c r="X60" s="499"/>
      <c r="Y60" s="499"/>
      <c r="Z60" s="499"/>
      <c r="AA60" s="498"/>
    </row>
    <row r="61" spans="12:27">
      <c r="L61" s="499"/>
      <c r="M61" s="499"/>
      <c r="N61" s="499"/>
      <c r="O61" s="499"/>
      <c r="P61" s="499"/>
      <c r="Q61" s="499"/>
      <c r="R61" s="499"/>
      <c r="S61" s="499"/>
      <c r="T61" s="499"/>
      <c r="U61" s="499"/>
      <c r="V61" s="499"/>
      <c r="W61" s="499"/>
      <c r="X61" s="499"/>
      <c r="Y61" s="499"/>
      <c r="Z61" s="499"/>
      <c r="AA61" s="498"/>
    </row>
    <row r="62" spans="12:27">
      <c r="L62" s="499"/>
      <c r="M62" s="499"/>
      <c r="N62" s="499"/>
      <c r="O62" s="499"/>
      <c r="P62" s="499"/>
      <c r="Q62" s="499"/>
      <c r="R62" s="499"/>
      <c r="S62" s="499"/>
      <c r="T62" s="499"/>
      <c r="U62" s="499"/>
      <c r="V62" s="499"/>
      <c r="W62" s="499"/>
      <c r="X62" s="499"/>
      <c r="Y62" s="499"/>
      <c r="Z62" s="499"/>
      <c r="AA62" s="498"/>
    </row>
    <row r="63" spans="12:27">
      <c r="L63" s="499"/>
      <c r="M63" s="499"/>
      <c r="N63" s="499"/>
      <c r="O63" s="499"/>
      <c r="P63" s="499"/>
      <c r="Q63" s="499"/>
      <c r="R63" s="499"/>
      <c r="S63" s="499"/>
      <c r="T63" s="499"/>
      <c r="U63" s="499"/>
      <c r="V63" s="499"/>
      <c r="W63" s="499"/>
      <c r="X63" s="499"/>
      <c r="Y63" s="499"/>
      <c r="Z63" s="499"/>
      <c r="AA63" s="498"/>
    </row>
    <row r="64" spans="12:27">
      <c r="L64" s="499"/>
      <c r="M64" s="499"/>
      <c r="N64" s="499"/>
      <c r="O64" s="499"/>
      <c r="P64" s="499"/>
      <c r="Q64" s="499"/>
      <c r="R64" s="499"/>
      <c r="S64" s="499"/>
      <c r="T64" s="499"/>
      <c r="U64" s="499"/>
      <c r="V64" s="499"/>
      <c r="W64" s="499"/>
      <c r="X64" s="499"/>
      <c r="Y64" s="499"/>
      <c r="Z64" s="499"/>
      <c r="AA64" s="498"/>
    </row>
    <row r="65" spans="12:27">
      <c r="L65" s="499"/>
      <c r="M65" s="499"/>
      <c r="N65" s="499"/>
      <c r="O65" s="499"/>
      <c r="P65" s="499"/>
      <c r="Q65" s="499"/>
      <c r="R65" s="499"/>
      <c r="S65" s="499"/>
      <c r="T65" s="499"/>
      <c r="U65" s="499"/>
      <c r="V65" s="499"/>
      <c r="W65" s="499"/>
      <c r="X65" s="499"/>
      <c r="Y65" s="499"/>
      <c r="Z65" s="499"/>
      <c r="AA65" s="498"/>
    </row>
    <row r="66" spans="12:27">
      <c r="L66" s="499"/>
      <c r="M66" s="499"/>
      <c r="N66" s="499"/>
      <c r="O66" s="499"/>
      <c r="P66" s="499"/>
      <c r="Q66" s="499"/>
      <c r="R66" s="499"/>
      <c r="S66" s="499"/>
      <c r="T66" s="499"/>
      <c r="U66" s="499"/>
      <c r="V66" s="499"/>
      <c r="W66" s="499"/>
      <c r="X66" s="499"/>
      <c r="Y66" s="499"/>
      <c r="Z66" s="499"/>
      <c r="AA66" s="498"/>
    </row>
    <row r="67" spans="12:27">
      <c r="L67" s="499"/>
      <c r="M67" s="499"/>
      <c r="N67" s="499"/>
      <c r="O67" s="499"/>
      <c r="P67" s="499"/>
      <c r="Q67" s="499"/>
      <c r="R67" s="499"/>
      <c r="S67" s="499"/>
      <c r="T67" s="499"/>
      <c r="U67" s="499"/>
      <c r="V67" s="499"/>
      <c r="W67" s="499"/>
      <c r="X67" s="499"/>
      <c r="Y67" s="499"/>
      <c r="Z67" s="499"/>
      <c r="AA67" s="498"/>
    </row>
    <row r="68" spans="12:27">
      <c r="L68" s="499"/>
      <c r="M68" s="499"/>
      <c r="N68" s="499"/>
      <c r="O68" s="499"/>
      <c r="P68" s="499"/>
      <c r="Q68" s="499"/>
      <c r="R68" s="499"/>
      <c r="S68" s="499"/>
      <c r="T68" s="499"/>
      <c r="U68" s="499"/>
      <c r="V68" s="499"/>
      <c r="W68" s="499"/>
      <c r="X68" s="499"/>
      <c r="Y68" s="499"/>
      <c r="Z68" s="499"/>
      <c r="AA68" s="498"/>
    </row>
    <row r="69" spans="12:27">
      <c r="L69" s="499"/>
      <c r="M69" s="499"/>
      <c r="N69" s="499"/>
      <c r="O69" s="499"/>
      <c r="P69" s="499"/>
      <c r="Q69" s="499"/>
      <c r="R69" s="499"/>
      <c r="S69" s="499"/>
      <c r="T69" s="499"/>
      <c r="U69" s="499"/>
      <c r="V69" s="499"/>
      <c r="W69" s="499"/>
      <c r="X69" s="499"/>
      <c r="Y69" s="499"/>
      <c r="Z69" s="499"/>
      <c r="AA69" s="498"/>
    </row>
    <row r="70" spans="12:27">
      <c r="L70" s="499"/>
      <c r="M70" s="499"/>
      <c r="N70" s="499"/>
      <c r="O70" s="499"/>
      <c r="P70" s="499"/>
      <c r="Q70" s="499"/>
      <c r="R70" s="499"/>
      <c r="S70" s="499"/>
      <c r="T70" s="499"/>
      <c r="U70" s="499"/>
      <c r="V70" s="499"/>
      <c r="W70" s="499"/>
      <c r="X70" s="499"/>
      <c r="Y70" s="499"/>
      <c r="Z70" s="499"/>
      <c r="AA70" s="498"/>
    </row>
    <row r="71" spans="12:27">
      <c r="L71" s="499"/>
      <c r="M71" s="499"/>
      <c r="N71" s="499"/>
      <c r="O71" s="499"/>
      <c r="P71" s="499"/>
      <c r="Q71" s="499"/>
      <c r="R71" s="499"/>
      <c r="S71" s="499"/>
      <c r="T71" s="499"/>
      <c r="U71" s="499"/>
      <c r="V71" s="499"/>
      <c r="W71" s="499"/>
      <c r="X71" s="499"/>
      <c r="Y71" s="499"/>
      <c r="Z71" s="499"/>
      <c r="AA71" s="498"/>
    </row>
    <row r="72" spans="12:27">
      <c r="L72" s="499"/>
      <c r="M72" s="499"/>
      <c r="N72" s="499"/>
      <c r="O72" s="499"/>
      <c r="P72" s="499"/>
      <c r="Q72" s="499"/>
      <c r="R72" s="499"/>
      <c r="S72" s="499"/>
      <c r="T72" s="499"/>
      <c r="U72" s="499"/>
      <c r="V72" s="499"/>
      <c r="W72" s="499"/>
      <c r="X72" s="499"/>
      <c r="Y72" s="499"/>
      <c r="Z72" s="499"/>
      <c r="AA72" s="498"/>
    </row>
    <row r="73" spans="12:27">
      <c r="L73" s="499"/>
      <c r="M73" s="499"/>
      <c r="N73" s="499"/>
      <c r="O73" s="499"/>
      <c r="P73" s="499"/>
      <c r="Q73" s="499"/>
      <c r="R73" s="499"/>
      <c r="S73" s="499"/>
      <c r="T73" s="499"/>
      <c r="U73" s="499"/>
      <c r="V73" s="499"/>
      <c r="W73" s="499"/>
      <c r="X73" s="499"/>
      <c r="Y73" s="499"/>
      <c r="Z73" s="499"/>
      <c r="AA73" s="498"/>
    </row>
    <row r="78" spans="12:27">
      <c r="L78" s="495"/>
      <c r="M78" s="494"/>
      <c r="N78" s="494"/>
      <c r="O78" s="595"/>
      <c r="P78" s="595"/>
      <c r="Q78" s="595"/>
      <c r="R78" s="595"/>
      <c r="S78" s="595"/>
      <c r="T78" s="595"/>
      <c r="U78" s="595"/>
      <c r="V78" s="595"/>
      <c r="W78" s="499"/>
      <c r="X78" s="499"/>
      <c r="Y78" s="499"/>
      <c r="Z78" s="499"/>
      <c r="AA78" s="499"/>
    </row>
    <row r="79" spans="12:27" ht="22" customHeight="1">
      <c r="L79" s="495"/>
      <c r="M79" s="495"/>
      <c r="N79" s="32"/>
      <c r="O79" s="594"/>
      <c r="P79" s="594"/>
      <c r="Q79" s="594"/>
      <c r="R79" s="594"/>
      <c r="S79" s="594"/>
      <c r="T79" s="594"/>
      <c r="U79" s="594"/>
      <c r="V79" s="594"/>
      <c r="W79" s="499"/>
      <c r="X79" s="499"/>
      <c r="Y79" s="499"/>
      <c r="Z79" s="499"/>
      <c r="AA79" s="499"/>
    </row>
    <row r="80" spans="12:27" ht="22" customHeight="1">
      <c r="L80" s="495"/>
      <c r="M80" s="495"/>
      <c r="N80" s="32"/>
      <c r="O80" s="590"/>
      <c r="P80" s="590"/>
      <c r="Q80" s="590"/>
      <c r="R80" s="590"/>
      <c r="S80" s="590"/>
      <c r="T80" s="590"/>
      <c r="U80" s="590"/>
      <c r="V80" s="590"/>
      <c r="W80" s="499"/>
      <c r="X80" s="499"/>
      <c r="Y80" s="499"/>
      <c r="Z80" s="499"/>
      <c r="AA80" s="499"/>
    </row>
    <row r="81" spans="4:57" ht="23.25" customHeight="1">
      <c r="D81" s="499"/>
      <c r="E81" s="499"/>
      <c r="F81" s="499"/>
      <c r="G81" s="499"/>
      <c r="H81" s="499"/>
      <c r="I81" s="499"/>
      <c r="J81" s="499"/>
      <c r="K81" s="499"/>
      <c r="L81" s="33"/>
      <c r="M81" s="495"/>
      <c r="N81" s="32"/>
      <c r="O81" s="594"/>
      <c r="P81" s="594"/>
      <c r="Q81" s="594"/>
      <c r="R81" s="594"/>
      <c r="S81" s="594"/>
      <c r="T81" s="594"/>
      <c r="U81" s="594"/>
      <c r="V81" s="594"/>
      <c r="W81" s="499"/>
      <c r="X81" s="499"/>
      <c r="Y81" s="499"/>
      <c r="Z81" s="499"/>
      <c r="AA81" s="499"/>
      <c r="AB81" s="499"/>
      <c r="AC81" s="499"/>
      <c r="AD81" s="499"/>
    </row>
    <row r="82" spans="4:57">
      <c r="D82" s="499"/>
      <c r="E82" s="499"/>
      <c r="F82" s="499"/>
      <c r="G82" s="499"/>
      <c r="H82" s="499"/>
      <c r="I82" s="499"/>
      <c r="J82" s="499"/>
      <c r="K82" s="499"/>
      <c r="L82" s="33"/>
      <c r="M82" s="495"/>
      <c r="N82" s="32"/>
      <c r="O82" s="595"/>
      <c r="P82" s="595"/>
      <c r="Q82" s="595"/>
      <c r="R82" s="595"/>
      <c r="S82" s="595"/>
      <c r="T82" s="595"/>
      <c r="U82" s="595"/>
      <c r="V82" s="595"/>
      <c r="W82" s="499"/>
      <c r="X82" s="499"/>
      <c r="Y82" s="499"/>
      <c r="Z82" s="499"/>
      <c r="AA82" s="499"/>
      <c r="AB82" s="499"/>
      <c r="AC82" s="499"/>
      <c r="AD82" s="499"/>
      <c r="AL82" s="128" t="s">
        <v>71</v>
      </c>
      <c r="AM82" s="128">
        <v>1</v>
      </c>
      <c r="AN82" s="128">
        <v>2</v>
      </c>
      <c r="AO82" s="128">
        <v>3</v>
      </c>
      <c r="AP82" s="128">
        <v>4</v>
      </c>
      <c r="AQ82" s="128">
        <v>5</v>
      </c>
      <c r="AR82" s="128">
        <v>6</v>
      </c>
      <c r="AS82" s="128">
        <v>7</v>
      </c>
      <c r="AT82" s="128">
        <v>8</v>
      </c>
      <c r="AU82" s="128">
        <v>9</v>
      </c>
      <c r="AV82" s="128">
        <v>10</v>
      </c>
      <c r="AW82" s="128">
        <v>11</v>
      </c>
      <c r="AX82" s="128">
        <v>12</v>
      </c>
      <c r="AY82" s="128">
        <v>13</v>
      </c>
      <c r="AZ82" s="128" t="s">
        <v>55</v>
      </c>
      <c r="BA82" s="128" t="s">
        <v>75</v>
      </c>
      <c r="BB82" s="128" t="s">
        <v>72</v>
      </c>
      <c r="BC82" s="128" t="s">
        <v>76</v>
      </c>
      <c r="BD82" s="128" t="s">
        <v>73</v>
      </c>
      <c r="BE82" s="128" t="s">
        <v>74</v>
      </c>
    </row>
    <row r="83" spans="4:57" ht="16" thickBot="1">
      <c r="D83" s="495"/>
      <c r="E83" s="495"/>
      <c r="F83" s="498"/>
      <c r="G83" s="499"/>
      <c r="H83" s="62" t="s">
        <v>13</v>
      </c>
      <c r="I83" s="62" t="s">
        <v>14</v>
      </c>
      <c r="J83" s="62" t="s">
        <v>54</v>
      </c>
      <c r="K83" s="499"/>
      <c r="L83" s="498"/>
      <c r="M83" s="495"/>
      <c r="N83" s="4"/>
      <c r="O83" s="496"/>
      <c r="P83" s="496"/>
      <c r="Q83" s="496"/>
      <c r="R83" s="496"/>
      <c r="S83" s="496"/>
      <c r="T83" s="499"/>
      <c r="U83" s="499"/>
      <c r="V83" s="499"/>
      <c r="W83" s="499"/>
      <c r="X83" s="499"/>
      <c r="Y83" s="499"/>
      <c r="Z83" s="499"/>
      <c r="AA83" s="499"/>
      <c r="AB83" s="499"/>
      <c r="AC83" s="499"/>
      <c r="AD83" s="499"/>
      <c r="AL83" s="128">
        <v>1</v>
      </c>
      <c r="AM83" s="6">
        <f t="array" aca="1" ref="AM83" ca="1">IF(AM$82&gt;$Q$27,"",INDEX('Point Data'!$J$2:$J$225,MATCH(1,($AL83='Point Data'!$AP$2:$AP$225)*(AM$82='Point Data'!$D$2:$D$225),0)))</f>
        <v>150.91999999999999</v>
      </c>
      <c r="AN83" s="6">
        <f t="array" aca="1" ref="AN83" ca="1">IF(AN$82&gt;$Q$27,"",INDEX('Point Data'!$J$2:$J$225,MATCH(1,($AL83='Point Data'!$AP$2:$AP$225)*(AN$82='Point Data'!$D$2:$D$225),0)))</f>
        <v>148.19</v>
      </c>
      <c r="AO83" s="6">
        <f t="array" aca="1" ref="AO83" ca="1">IF(AO$82&gt;$Q$27,"",INDEX('Point Data'!$J$2:$J$225,MATCH(1,($AL83='Point Data'!$AP$2:$AP$225)*(AO$82='Point Data'!$D$2:$D$225),0)))</f>
        <v>155.85</v>
      </c>
      <c r="AP83" s="6">
        <f t="array" aca="1" ref="AP83" ca="1">IF(AP$82&gt;$Q$27,"",INDEX('Point Data'!$J$2:$J$225,MATCH(1,($AL83='Point Data'!$AP$2:$AP$225)*(AP$82='Point Data'!$D$2:$D$225),0)))</f>
        <v>121.55</v>
      </c>
      <c r="AQ83" s="6">
        <f t="array" aca="1" ref="AQ83" ca="1">IF(AQ$82&gt;$Q$27,"",INDEX('Point Data'!$J$2:$J$225,MATCH(1,($AL83='Point Data'!$AP$2:$AP$225)*(AQ$82='Point Data'!$D$2:$D$225),0)))</f>
        <v>138.77000000000001</v>
      </c>
      <c r="AR83" s="6">
        <f t="array" aca="1" ref="AR83" ca="1">IF(AR$82&gt;$Q$27,"",INDEX('Point Data'!$J$2:$J$225,MATCH(1,($AL83='Point Data'!$AP$2:$AP$225)*(AR$82='Point Data'!$D$2:$D$225),0)))</f>
        <v>133.94999999999999</v>
      </c>
      <c r="AS83" s="6">
        <f t="array" aca="1" ref="AS83" ca="1">IF(AS$82&gt;$Q$27,"",INDEX('Point Data'!$J$2:$J$225,MATCH(1,($AL83='Point Data'!$AP$2:$AP$225)*(AS$82='Point Data'!$D$2:$D$225),0)))</f>
        <v>154.35</v>
      </c>
      <c r="AT83" s="6">
        <f t="array" aca="1" ref="AT83" ca="1">IF(AT$82&gt;$Q$27,"",INDEX('Point Data'!$J$2:$J$225,MATCH(1,($AL83='Point Data'!$AP$2:$AP$225)*(AT$82='Point Data'!$D$2:$D$225),0)))</f>
        <v>131.43</v>
      </c>
      <c r="AU83" s="6">
        <f t="array" aca="1" ref="AU83" ca="1">IF(AU$82&gt;$Q$27,"",INDEX('Point Data'!$J$2:$J$225,MATCH(1,($AL83='Point Data'!$AP$2:$AP$225)*(AU$82='Point Data'!$D$2:$D$225),0)))</f>
        <v>157.65</v>
      </c>
      <c r="AV83" s="6">
        <f t="array" aca="1" ref="AV83" ca="1">IF(AV$82&gt;$Q$27,"",INDEX('Point Data'!$J$2:$J$225,MATCH(1,($AL83='Point Data'!$AP$2:$AP$225)*(AV$82='Point Data'!$D$2:$D$225),0)))</f>
        <v>128.55000000000001</v>
      </c>
      <c r="AW83" s="6">
        <f t="array" aca="1" ref="AW83" ca="1">IF(AW$82&gt;$Q$27,"",INDEX('Point Data'!$J$2:$J$225,MATCH(1,($AL83='Point Data'!$AP$2:$AP$225)*(AW$82='Point Data'!$D$2:$D$225),0)))</f>
        <v>129.88</v>
      </c>
      <c r="AX83" s="6">
        <f t="array" aca="1" ref="AX83" ca="1">IF(AX$82&gt;$Q$27,"",INDEX('Point Data'!$J$2:$J$225,MATCH(1,($AL83='Point Data'!$AP$2:$AP$225)*(AX$82='Point Data'!$D$2:$D$225),0)))</f>
        <v>140.47999999999999</v>
      </c>
      <c r="AY83" s="6">
        <f t="array" aca="1" ref="AY83" ca="1">IF(AY$82&gt;$Q$27,"",INDEX('Point Data'!$J$2:$J$225,MATCH(1,($AL83='Point Data'!$AP$2:$AP$225)*(AY$82='Point Data'!$D$2:$D$225),0)))</f>
        <v>184.43</v>
      </c>
      <c r="AZ83" s="6">
        <f t="shared" ref="AZ83:AZ98" ca="1" si="7">MAX($AM83:$AY83)</f>
        <v>184.43</v>
      </c>
      <c r="BA83" s="6">
        <f t="shared" ref="BA83:BA98" ca="1" si="8">_xlfn.QUARTILE.INC($AM83:$AY83,3)</f>
        <v>154.35</v>
      </c>
      <c r="BB83" s="445">
        <f ca="1">AVERAGE($AM83:$AY83,F41:F43)</f>
        <v>144.30769230769232</v>
      </c>
      <c r="BC83" s="6">
        <f t="shared" ref="BC83:BC98" ca="1" si="9">_xlfn.QUARTILE.INC($AM83:$AY83,1)</f>
        <v>131.43</v>
      </c>
      <c r="BD83" s="6">
        <f t="shared" ref="BD83:BD98" ca="1" si="10">MIN($AM83:$AY83)</f>
        <v>121.55</v>
      </c>
      <c r="BE83" s="6">
        <f t="shared" ref="BE83:BE98" ca="1" si="11">_xlfn.STDEV.S($AM83:$AY83)</f>
        <v>16.766768300145351</v>
      </c>
    </row>
    <row r="84" spans="4:57">
      <c r="D84" s="498"/>
      <c r="E84" s="498"/>
      <c r="F84" s="498"/>
      <c r="G84" s="499"/>
      <c r="H84" s="12">
        <f t="array" aca="1" ref="H84" ca="1">INDEX('Point Data'!$Z$2:$Z$225,MATCH(1,($D5='Point Data'!$B$2:$B$225)*($Q$27='Point Data'!$D$2:$D$225),0))</f>
        <v>10</v>
      </c>
      <c r="I84" s="12">
        <f t="shared" ref="I84:I99" ca="1" si="12">$Q$27-H84</f>
        <v>3</v>
      </c>
      <c r="J84" s="12">
        <v>0</v>
      </c>
      <c r="K84" s="499"/>
      <c r="L84" s="498"/>
      <c r="M84" s="4"/>
      <c r="N84" s="499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99"/>
      <c r="AC84" s="499"/>
      <c r="AD84" s="499"/>
      <c r="AL84" s="128">
        <v>2</v>
      </c>
      <c r="AM84" s="6">
        <f t="array" aca="1" ref="AM84" ca="1">IF(AM$82&gt;$Q$27,"",INDEX('Point Data'!$J$2:$J$225,MATCH(1,($AL84='Point Data'!$AP$2:$AP$225)*(AM$82='Point Data'!$D$2:$D$225),0)))</f>
        <v>123.72</v>
      </c>
      <c r="AN84" s="6">
        <f t="array" aca="1" ref="AN84" ca="1">IF(AN$82&gt;$Q$27,"",INDEX('Point Data'!$J$2:$J$225,MATCH(1,($AL84='Point Data'!$AP$2:$AP$225)*(AN$82='Point Data'!$D$2:$D$225),0)))</f>
        <v>144.41999999999999</v>
      </c>
      <c r="AO84" s="6">
        <f t="array" aca="1" ref="AO84" ca="1">IF(AO$82&gt;$Q$27,"",INDEX('Point Data'!$J$2:$J$225,MATCH(1,($AL84='Point Data'!$AP$2:$AP$225)*(AO$82='Point Data'!$D$2:$D$225),0)))</f>
        <v>139.19</v>
      </c>
      <c r="AP84" s="6">
        <f t="array" aca="1" ref="AP84" ca="1">IF(AP$82&gt;$Q$27,"",INDEX('Point Data'!$J$2:$J$225,MATCH(1,($AL84='Point Data'!$AP$2:$AP$225)*(AP$82='Point Data'!$D$2:$D$225),0)))</f>
        <v>121.54</v>
      </c>
      <c r="AQ84" s="6">
        <f t="array" aca="1" ref="AQ84" ca="1">IF(AQ$82&gt;$Q$27,"",INDEX('Point Data'!$J$2:$J$225,MATCH(1,($AL84='Point Data'!$AP$2:$AP$225)*(AQ$82='Point Data'!$D$2:$D$225),0)))</f>
        <v>137.87</v>
      </c>
      <c r="AR84" s="6">
        <f t="array" aca="1" ref="AR84" ca="1">IF(AR$82&gt;$Q$27,"",INDEX('Point Data'!$J$2:$J$225,MATCH(1,($AL84='Point Data'!$AP$2:$AP$225)*(AR$82='Point Data'!$D$2:$D$225),0)))</f>
        <v>118.5</v>
      </c>
      <c r="AS84" s="6">
        <f t="array" aca="1" ref="AS84" ca="1">IF(AS$82&gt;$Q$27,"",INDEX('Point Data'!$J$2:$J$225,MATCH(1,($AL84='Point Data'!$AP$2:$AP$225)*(AS$82='Point Data'!$D$2:$D$225),0)))</f>
        <v>143.06</v>
      </c>
      <c r="AT84" s="6">
        <f t="array" aca="1" ref="AT84" ca="1">IF(AT$82&gt;$Q$27,"",INDEX('Point Data'!$J$2:$J$225,MATCH(1,($AL84='Point Data'!$AP$2:$AP$225)*(AT$82='Point Data'!$D$2:$D$225),0)))</f>
        <v>129.93</v>
      </c>
      <c r="AU84" s="6">
        <f t="array" aca="1" ref="AU84" ca="1">IF(AU$82&gt;$Q$27,"",INDEX('Point Data'!$J$2:$J$225,MATCH(1,($AL84='Point Data'!$AP$2:$AP$225)*(AU$82='Point Data'!$D$2:$D$225),0)))</f>
        <v>135.29</v>
      </c>
      <c r="AV84" s="6">
        <f t="array" aca="1" ref="AV84" ca="1">IF(AV$82&gt;$Q$27,"",INDEX('Point Data'!$J$2:$J$225,MATCH(1,($AL84='Point Data'!$AP$2:$AP$225)*(AV$82='Point Data'!$D$2:$D$225),0)))</f>
        <v>128.22</v>
      </c>
      <c r="AW84" s="6">
        <f t="array" aca="1" ref="AW84" ca="1">IF(AW$82&gt;$Q$27,"",INDEX('Point Data'!$J$2:$J$225,MATCH(1,($AL84='Point Data'!$AP$2:$AP$225)*(AW$82='Point Data'!$D$2:$D$225),0)))</f>
        <v>127.2</v>
      </c>
      <c r="AX84" s="6">
        <f t="array" aca="1" ref="AX84" ca="1">IF(AX$82&gt;$Q$27,"",INDEX('Point Data'!$J$2:$J$225,MATCH(1,($AL84='Point Data'!$AP$2:$AP$225)*(AX$82='Point Data'!$D$2:$D$225),0)))</f>
        <v>137.66</v>
      </c>
      <c r="AY84" s="6">
        <f t="array" aca="1" ref="AY84" ca="1">IF(AY$82&gt;$Q$27,"",INDEX('Point Data'!$J$2:$J$225,MATCH(1,($AL84='Point Data'!$AP$2:$AP$225)*(AY$82='Point Data'!$D$2:$D$225),0)))</f>
        <v>144.69</v>
      </c>
      <c r="AZ84" s="6">
        <f t="shared" ca="1" si="7"/>
        <v>144.69</v>
      </c>
      <c r="BA84" s="6">
        <f t="shared" ca="1" si="8"/>
        <v>139.19</v>
      </c>
      <c r="BB84" s="445">
        <f t="shared" ref="BB84:BB98" ca="1" si="13">AVERAGE($AM84:$AY84)</f>
        <v>133.17615384615385</v>
      </c>
      <c r="BC84" s="6">
        <f t="shared" ca="1" si="9"/>
        <v>127.2</v>
      </c>
      <c r="BD84" s="6">
        <f t="shared" ca="1" si="10"/>
        <v>118.5</v>
      </c>
      <c r="BE84" s="6">
        <f t="shared" ca="1" si="11"/>
        <v>8.8998066818532031</v>
      </c>
    </row>
    <row r="85" spans="4:57">
      <c r="D85" s="498"/>
      <c r="E85" s="498"/>
      <c r="F85" s="498"/>
      <c r="G85" s="499"/>
      <c r="H85" s="64">
        <f t="array" aca="1" ref="H85" ca="1">INDEX('Point Data'!$Z$2:$Z$225,MATCH(1,($D6='Point Data'!$B$2:$B$225)*($Q$27='Point Data'!$D$2:$D$225),0))</f>
        <v>9</v>
      </c>
      <c r="I85" s="64">
        <f t="shared" ca="1" si="12"/>
        <v>4</v>
      </c>
      <c r="J85" s="64">
        <v>0</v>
      </c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499"/>
      <c r="V85" s="499"/>
      <c r="W85" s="499"/>
      <c r="X85" s="499"/>
      <c r="Y85" s="499"/>
      <c r="Z85" s="499"/>
      <c r="AA85" s="499"/>
      <c r="AB85" s="499"/>
      <c r="AC85" s="499"/>
      <c r="AD85" s="499"/>
      <c r="AL85" s="128">
        <v>3</v>
      </c>
      <c r="AM85" s="6">
        <f t="array" aca="1" ref="AM85" ca="1">IF(AM$82&gt;$Q$27,"",INDEX('Point Data'!$J$2:$J$225,MATCH(1,($AL85='Point Data'!$AP$2:$AP$225)*(AM$82='Point Data'!$D$2:$D$225),0)))</f>
        <v>115.37</v>
      </c>
      <c r="AN85" s="6">
        <f t="array" aca="1" ref="AN85" ca="1">IF(AN$82&gt;$Q$27,"",INDEX('Point Data'!$J$2:$J$225,MATCH(1,($AL85='Point Data'!$AP$2:$AP$225)*(AN$82='Point Data'!$D$2:$D$225),0)))</f>
        <v>131.12</v>
      </c>
      <c r="AO85" s="6">
        <f t="array" aca="1" ref="AO85" ca="1">IF(AO$82&gt;$Q$27,"",INDEX('Point Data'!$J$2:$J$225,MATCH(1,($AL85='Point Data'!$AP$2:$AP$225)*(AO$82='Point Data'!$D$2:$D$225),0)))</f>
        <v>133.66</v>
      </c>
      <c r="AP85" s="6">
        <f t="array" aca="1" ref="AP85" ca="1">IF(AP$82&gt;$Q$27,"",INDEX('Point Data'!$J$2:$J$225,MATCH(1,($AL85='Point Data'!$AP$2:$AP$225)*(AP$82='Point Data'!$D$2:$D$225),0)))</f>
        <v>121.29</v>
      </c>
      <c r="AQ85" s="6">
        <f t="array" aca="1" ref="AQ85" ca="1">IF(AQ$82&gt;$Q$27,"",INDEX('Point Data'!$J$2:$J$225,MATCH(1,($AL85='Point Data'!$AP$2:$AP$225)*(AQ$82='Point Data'!$D$2:$D$225),0)))</f>
        <v>137.59</v>
      </c>
      <c r="AR85" s="6">
        <f t="array" aca="1" ref="AR85" ca="1">IF(AR$82&gt;$Q$27,"",INDEX('Point Data'!$J$2:$J$225,MATCH(1,($AL85='Point Data'!$AP$2:$AP$225)*(AR$82='Point Data'!$D$2:$D$225),0)))</f>
        <v>113.54</v>
      </c>
      <c r="AS85" s="6">
        <f t="array" aca="1" ref="AS85" ca="1">IF(AS$82&gt;$Q$27,"",INDEX('Point Data'!$J$2:$J$225,MATCH(1,($AL85='Point Data'!$AP$2:$AP$225)*(AS$82='Point Data'!$D$2:$D$225),0)))</f>
        <v>123.84</v>
      </c>
      <c r="AT85" s="6">
        <f t="array" aca="1" ref="AT85" ca="1">IF(AT$82&gt;$Q$27,"",INDEX('Point Data'!$J$2:$J$225,MATCH(1,($AL85='Point Data'!$AP$2:$AP$225)*(AT$82='Point Data'!$D$2:$D$225),0)))</f>
        <v>121.81</v>
      </c>
      <c r="AU85" s="6">
        <f t="array" aca="1" ref="AU85" ca="1">IF(AU$82&gt;$Q$27,"",INDEX('Point Data'!$J$2:$J$225,MATCH(1,($AL85='Point Data'!$AP$2:$AP$225)*(AU$82='Point Data'!$D$2:$D$225),0)))</f>
        <v>132.35</v>
      </c>
      <c r="AV85" s="6">
        <f t="array" aca="1" ref="AV85" ca="1">IF(AV$82&gt;$Q$27,"",INDEX('Point Data'!$J$2:$J$225,MATCH(1,($AL85='Point Data'!$AP$2:$AP$225)*(AV$82='Point Data'!$D$2:$D$225),0)))</f>
        <v>124.62</v>
      </c>
      <c r="AW85" s="6">
        <f t="array" aca="1" ref="AW85" ca="1">IF(AW$82&gt;$Q$27,"",INDEX('Point Data'!$J$2:$J$225,MATCH(1,($AL85='Point Data'!$AP$2:$AP$225)*(AW$82='Point Data'!$D$2:$D$225),0)))</f>
        <v>121.21</v>
      </c>
      <c r="AX85" s="6">
        <f t="array" aca="1" ref="AX85" ca="1">IF(AX$82&gt;$Q$27,"",INDEX('Point Data'!$J$2:$J$225,MATCH(1,($AL85='Point Data'!$AP$2:$AP$225)*(AX$82='Point Data'!$D$2:$D$225),0)))</f>
        <v>117.48</v>
      </c>
      <c r="AY85" s="6">
        <f t="array" aca="1" ref="AY85" ca="1">IF(AY$82&gt;$Q$27,"",INDEX('Point Data'!$J$2:$J$225,MATCH(1,($AL85='Point Data'!$AP$2:$AP$225)*(AY$82='Point Data'!$D$2:$D$225),0)))</f>
        <v>114.13</v>
      </c>
      <c r="AZ85" s="6">
        <f t="shared" ca="1" si="7"/>
        <v>137.59</v>
      </c>
      <c r="BA85" s="6">
        <f t="shared" ca="1" si="8"/>
        <v>131.12</v>
      </c>
      <c r="BB85" s="445">
        <f t="shared" ca="1" si="13"/>
        <v>123.69307692307694</v>
      </c>
      <c r="BC85" s="6">
        <f t="shared" ca="1" si="9"/>
        <v>117.48</v>
      </c>
      <c r="BD85" s="6">
        <f t="shared" ca="1" si="10"/>
        <v>113.54</v>
      </c>
      <c r="BE85" s="6">
        <f t="shared" ca="1" si="11"/>
        <v>7.8599516374841478</v>
      </c>
    </row>
    <row r="86" spans="4:57">
      <c r="D86" s="498"/>
      <c r="E86" s="498"/>
      <c r="F86" s="498"/>
      <c r="G86" s="499"/>
      <c r="H86" s="49">
        <f t="array" aca="1" ref="H86" ca="1">INDEX('Point Data'!$Z$2:$Z$225,MATCH(1,($D7='Point Data'!$B$2:$B$225)*($Q$27='Point Data'!$D$2:$D$225),0))</f>
        <v>8</v>
      </c>
      <c r="I86" s="49">
        <f t="shared" ca="1" si="12"/>
        <v>5</v>
      </c>
      <c r="J86" s="49">
        <v>0</v>
      </c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499"/>
      <c r="V86" s="499"/>
      <c r="W86" s="499"/>
      <c r="X86" s="499"/>
      <c r="Y86" s="499"/>
      <c r="Z86" s="499"/>
      <c r="AA86" s="499"/>
      <c r="AB86" s="499"/>
      <c r="AC86" s="499"/>
      <c r="AD86" s="499"/>
      <c r="AL86" s="128">
        <v>4</v>
      </c>
      <c r="AM86" s="6">
        <f t="array" aca="1" ref="AM86" ca="1">IF(AM$82&gt;$Q$27,"",INDEX('Point Data'!$J$2:$J$225,MATCH(1,($AL86='Point Data'!$AP$2:$AP$225)*(AM$82='Point Data'!$D$2:$D$225),0)))</f>
        <v>114.82</v>
      </c>
      <c r="AN86" s="6">
        <f t="array" aca="1" ref="AN86" ca="1">IF(AN$82&gt;$Q$27,"",INDEX('Point Data'!$J$2:$J$225,MATCH(1,($AL86='Point Data'!$AP$2:$AP$225)*(AN$82='Point Data'!$D$2:$D$225),0)))</f>
        <v>123.72</v>
      </c>
      <c r="AO86" s="6">
        <f t="array" aca="1" ref="AO86" ca="1">IF(AO$82&gt;$Q$27,"",INDEX('Point Data'!$J$2:$J$225,MATCH(1,($AL86='Point Data'!$AP$2:$AP$225)*(AO$82='Point Data'!$D$2:$D$225),0)))</f>
        <v>122.66</v>
      </c>
      <c r="AP86" s="6">
        <f t="array" aca="1" ref="AP86" ca="1">IF(AP$82&gt;$Q$27,"",INDEX('Point Data'!$J$2:$J$225,MATCH(1,($AL86='Point Data'!$AP$2:$AP$225)*(AP$82='Point Data'!$D$2:$D$225),0)))</f>
        <v>115.05</v>
      </c>
      <c r="AQ86" s="6">
        <f t="array" aca="1" ref="AQ86" ca="1">IF(AQ$82&gt;$Q$27,"",INDEX('Point Data'!$J$2:$J$225,MATCH(1,($AL86='Point Data'!$AP$2:$AP$225)*(AQ$82='Point Data'!$D$2:$D$225),0)))</f>
        <v>133.30000000000001</v>
      </c>
      <c r="AR86" s="6">
        <f t="array" aca="1" ref="AR86" ca="1">IF(AR$82&gt;$Q$27,"",INDEX('Point Data'!$J$2:$J$225,MATCH(1,($AL86='Point Data'!$AP$2:$AP$225)*(AR$82='Point Data'!$D$2:$D$225),0)))</f>
        <v>113.46</v>
      </c>
      <c r="AS86" s="6">
        <f t="array" aca="1" ref="AS86" ca="1">IF(AS$82&gt;$Q$27,"",INDEX('Point Data'!$J$2:$J$225,MATCH(1,($AL86='Point Data'!$AP$2:$AP$225)*(AS$82='Point Data'!$D$2:$D$225),0)))</f>
        <v>121.81</v>
      </c>
      <c r="AT86" s="6">
        <f t="array" aca="1" ref="AT86" ca="1">IF(AT$82&gt;$Q$27,"",INDEX('Point Data'!$J$2:$J$225,MATCH(1,($AL86='Point Data'!$AP$2:$AP$225)*(AT$82='Point Data'!$D$2:$D$225),0)))</f>
        <v>118.52</v>
      </c>
      <c r="AU86" s="6">
        <f t="array" aca="1" ref="AU86" ca="1">IF(AU$82&gt;$Q$27,"",INDEX('Point Data'!$J$2:$J$225,MATCH(1,($AL86='Point Data'!$AP$2:$AP$225)*(AU$82='Point Data'!$D$2:$D$225),0)))</f>
        <v>117.32</v>
      </c>
      <c r="AV86" s="6">
        <f t="array" aca="1" ref="AV86" ca="1">IF(AV$82&gt;$Q$27,"",INDEX('Point Data'!$J$2:$J$225,MATCH(1,($AL86='Point Data'!$AP$2:$AP$225)*(AV$82='Point Data'!$D$2:$D$225),0)))</f>
        <v>112.46</v>
      </c>
      <c r="AW86" s="6">
        <f t="array" aca="1" ref="AW86" ca="1">IF(AW$82&gt;$Q$27,"",INDEX('Point Data'!$J$2:$J$225,MATCH(1,($AL86='Point Data'!$AP$2:$AP$225)*(AW$82='Point Data'!$D$2:$D$225),0)))</f>
        <v>120.56</v>
      </c>
      <c r="AX86" s="6">
        <f t="array" aca="1" ref="AX86" ca="1">IF(AX$82&gt;$Q$27,"",INDEX('Point Data'!$J$2:$J$225,MATCH(1,($AL86='Point Data'!$AP$2:$AP$225)*(AX$82='Point Data'!$D$2:$D$225),0)))</f>
        <v>116.15</v>
      </c>
      <c r="AY86" s="6">
        <f t="array" aca="1" ref="AY86" ca="1">IF(AY$82&gt;$Q$27,"",INDEX('Point Data'!$J$2:$J$225,MATCH(1,($AL86='Point Data'!$AP$2:$AP$225)*(AY$82='Point Data'!$D$2:$D$225),0)))</f>
        <v>110.41</v>
      </c>
      <c r="AZ86" s="6">
        <f t="shared" ca="1" si="7"/>
        <v>133.30000000000001</v>
      </c>
      <c r="BA86" s="6">
        <f t="shared" ca="1" si="8"/>
        <v>121.81</v>
      </c>
      <c r="BB86" s="445">
        <f t="shared" ca="1" si="13"/>
        <v>118.48</v>
      </c>
      <c r="BC86" s="6">
        <f t="shared" ca="1" si="9"/>
        <v>114.82</v>
      </c>
      <c r="BD86" s="6">
        <f t="shared" ca="1" si="10"/>
        <v>110.41</v>
      </c>
      <c r="BE86" s="6">
        <f t="shared" ca="1" si="11"/>
        <v>6.0448325038829696</v>
      </c>
    </row>
    <row r="87" spans="4:57" ht="16" thickBot="1">
      <c r="D87" s="498"/>
      <c r="E87" s="498"/>
      <c r="F87" s="498"/>
      <c r="G87" s="499"/>
      <c r="H87" s="69">
        <f t="array" aca="1" ref="H87" ca="1">INDEX('Point Data'!$Z$2:$Z$225,MATCH(1,($D8='Point Data'!$B$2:$B$225)*($Q$27='Point Data'!$D$2:$D$225),0))</f>
        <v>8</v>
      </c>
      <c r="I87" s="69">
        <f t="shared" ca="1" si="12"/>
        <v>5</v>
      </c>
      <c r="J87" s="69">
        <v>0</v>
      </c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L87" s="128">
        <v>5</v>
      </c>
      <c r="AM87" s="6">
        <f t="array" aca="1" ref="AM87" ca="1">IF(AM$82&gt;$Q$27,"",INDEX('Point Data'!$J$2:$J$225,MATCH(1,($AL87='Point Data'!$AP$2:$AP$225)*(AM$82='Point Data'!$D$2:$D$225),0)))</f>
        <v>114.11</v>
      </c>
      <c r="AN87" s="6">
        <f t="array" aca="1" ref="AN87" ca="1">IF(AN$82&gt;$Q$27,"",INDEX('Point Data'!$J$2:$J$225,MATCH(1,($AL87='Point Data'!$AP$2:$AP$225)*(AN$82='Point Data'!$D$2:$D$225),0)))</f>
        <v>117.67</v>
      </c>
      <c r="AO87" s="6">
        <f t="array" aca="1" ref="AO87" ca="1">IF(AO$82&gt;$Q$27,"",INDEX('Point Data'!$J$2:$J$225,MATCH(1,($AL87='Point Data'!$AP$2:$AP$225)*(AO$82='Point Data'!$D$2:$D$225),0)))</f>
        <v>121.5</v>
      </c>
      <c r="AP87" s="6">
        <f t="array" aca="1" ref="AP87" ca="1">IF(AP$82&gt;$Q$27,"",INDEX('Point Data'!$J$2:$J$225,MATCH(1,($AL87='Point Data'!$AP$2:$AP$225)*(AP$82='Point Data'!$D$2:$D$225),0)))</f>
        <v>114.82</v>
      </c>
      <c r="AQ87" s="6">
        <f t="array" aca="1" ref="AQ87" ca="1">IF(AQ$82&gt;$Q$27,"",INDEX('Point Data'!$J$2:$J$225,MATCH(1,($AL87='Point Data'!$AP$2:$AP$225)*(AQ$82='Point Data'!$D$2:$D$225),0)))</f>
        <v>118.5</v>
      </c>
      <c r="AR87" s="6">
        <f t="array" aca="1" ref="AR87" ca="1">IF(AR$82&gt;$Q$27,"",INDEX('Point Data'!$J$2:$J$225,MATCH(1,($AL87='Point Data'!$AP$2:$AP$225)*(AR$82='Point Data'!$D$2:$D$225),0)))</f>
        <v>113.1</v>
      </c>
      <c r="AS87" s="6">
        <f t="array" aca="1" ref="AS87" ca="1">IF(AS$82&gt;$Q$27,"",INDEX('Point Data'!$J$2:$J$225,MATCH(1,($AL87='Point Data'!$AP$2:$AP$225)*(AS$82='Point Data'!$D$2:$D$225),0)))</f>
        <v>119.96</v>
      </c>
      <c r="AT87" s="6">
        <f t="array" aca="1" ref="AT87" ca="1">IF(AT$82&gt;$Q$27,"",INDEX('Point Data'!$J$2:$J$225,MATCH(1,($AL87='Point Data'!$AP$2:$AP$225)*(AT$82='Point Data'!$D$2:$D$225),0)))</f>
        <v>96.07</v>
      </c>
      <c r="AU87" s="6">
        <f t="array" aca="1" ref="AU87" ca="1">IF(AU$82&gt;$Q$27,"",INDEX('Point Data'!$J$2:$J$225,MATCH(1,($AL87='Point Data'!$AP$2:$AP$225)*(AU$82='Point Data'!$D$2:$D$225),0)))</f>
        <v>117.03</v>
      </c>
      <c r="AV87" s="6">
        <f t="array" aca="1" ref="AV87" ca="1">IF(AV$82&gt;$Q$27,"",INDEX('Point Data'!$J$2:$J$225,MATCH(1,($AL87='Point Data'!$AP$2:$AP$225)*(AV$82='Point Data'!$D$2:$D$225),0)))</f>
        <v>104.01</v>
      </c>
      <c r="AW87" s="6">
        <f t="array" aca="1" ref="AW87" ca="1">IF(AW$82&gt;$Q$27,"",INDEX('Point Data'!$J$2:$J$225,MATCH(1,($AL87='Point Data'!$AP$2:$AP$225)*(AW$82='Point Data'!$D$2:$D$225),0)))</f>
        <v>114.22</v>
      </c>
      <c r="AX87" s="6">
        <f t="array" aca="1" ref="AX87" ca="1">IF(AX$82&gt;$Q$27,"",INDEX('Point Data'!$J$2:$J$225,MATCH(1,($AL87='Point Data'!$AP$2:$AP$225)*(AX$82='Point Data'!$D$2:$D$225),0)))</f>
        <v>113.41</v>
      </c>
      <c r="AY87" s="6">
        <f t="array" aca="1" ref="AY87" ca="1">IF(AY$82&gt;$Q$27,"",INDEX('Point Data'!$J$2:$J$225,MATCH(1,($AL87='Point Data'!$AP$2:$AP$225)*(AY$82='Point Data'!$D$2:$D$225),0)))</f>
        <v>105.17</v>
      </c>
      <c r="AZ87" s="6">
        <f t="shared" ca="1" si="7"/>
        <v>121.5</v>
      </c>
      <c r="BA87" s="6">
        <f t="shared" ca="1" si="8"/>
        <v>117.67</v>
      </c>
      <c r="BB87" s="445">
        <f t="shared" ca="1" si="13"/>
        <v>113.04384615384616</v>
      </c>
      <c r="BC87" s="6">
        <f t="shared" ca="1" si="9"/>
        <v>113.1</v>
      </c>
      <c r="BD87" s="6">
        <f t="shared" ca="1" si="10"/>
        <v>96.07</v>
      </c>
      <c r="BE87" s="6">
        <f t="shared" ca="1" si="11"/>
        <v>7.2107056271231622</v>
      </c>
    </row>
    <row r="88" spans="4:57">
      <c r="D88" s="498"/>
      <c r="E88" s="498"/>
      <c r="F88" s="498"/>
      <c r="G88" s="499"/>
      <c r="H88" s="181">
        <f t="array" aca="1" ref="H88" ca="1">INDEX('Point Data'!$Z$2:$Z$225,MATCH(1,($D9='Point Data'!$B$2:$B$225)*($Q$27='Point Data'!$D$2:$D$225),0))</f>
        <v>7</v>
      </c>
      <c r="I88" s="181">
        <f t="shared" ca="1" si="12"/>
        <v>6</v>
      </c>
      <c r="J88" s="181">
        <v>0</v>
      </c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499"/>
      <c r="V88" s="499"/>
      <c r="W88" s="499"/>
      <c r="X88" s="499"/>
      <c r="Y88" s="499"/>
      <c r="Z88" s="499"/>
      <c r="AA88" s="499"/>
      <c r="AB88" s="499"/>
      <c r="AC88" s="499"/>
      <c r="AD88" s="499"/>
      <c r="AL88" s="128">
        <v>6</v>
      </c>
      <c r="AM88" s="6">
        <f t="array" aca="1" ref="AM88" ca="1">IF(AM$82&gt;$Q$27,"",INDEX('Point Data'!$J$2:$J$225,MATCH(1,($AL88='Point Data'!$AP$2:$AP$225)*(AM$82='Point Data'!$D$2:$D$225),0)))</f>
        <v>111.33</v>
      </c>
      <c r="AN88" s="6">
        <f t="array" aca="1" ref="AN88" ca="1">IF(AN$82&gt;$Q$27,"",INDEX('Point Data'!$J$2:$J$225,MATCH(1,($AL88='Point Data'!$AP$2:$AP$225)*(AN$82='Point Data'!$D$2:$D$225),0)))</f>
        <v>116.04</v>
      </c>
      <c r="AO88" s="6">
        <f t="array" aca="1" ref="AO88" ca="1">IF(AO$82&gt;$Q$27,"",INDEX('Point Data'!$J$2:$J$225,MATCH(1,($AL88='Point Data'!$AP$2:$AP$225)*(AO$82='Point Data'!$D$2:$D$225),0)))</f>
        <v>120.14</v>
      </c>
      <c r="AP88" s="6">
        <f t="array" aca="1" ref="AP88" ca="1">IF(AP$82&gt;$Q$27,"",INDEX('Point Data'!$J$2:$J$225,MATCH(1,($AL88='Point Data'!$AP$2:$AP$225)*(AP$82='Point Data'!$D$2:$D$225),0)))</f>
        <v>109.16</v>
      </c>
      <c r="AQ88" s="6">
        <f t="array" aca="1" ref="AQ88" ca="1">IF(AQ$82&gt;$Q$27,"",INDEX('Point Data'!$J$2:$J$225,MATCH(1,($AL88='Point Data'!$AP$2:$AP$225)*(AQ$82='Point Data'!$D$2:$D$225),0)))</f>
        <v>113.92</v>
      </c>
      <c r="AR88" s="6">
        <f t="array" aca="1" ref="AR88" ca="1">IF(AR$82&gt;$Q$27,"",INDEX('Point Data'!$J$2:$J$225,MATCH(1,($AL88='Point Data'!$AP$2:$AP$225)*(AR$82='Point Data'!$D$2:$D$225),0)))</f>
        <v>108.9</v>
      </c>
      <c r="AS88" s="6">
        <f t="array" aca="1" ref="AS88" ca="1">IF(AS$82&gt;$Q$27,"",INDEX('Point Data'!$J$2:$J$225,MATCH(1,($AL88='Point Data'!$AP$2:$AP$225)*(AS$82='Point Data'!$D$2:$D$225),0)))</f>
        <v>113.68</v>
      </c>
      <c r="AT88" s="6">
        <f t="array" aca="1" ref="AT88" ca="1">IF(AT$82&gt;$Q$27,"",INDEX('Point Data'!$J$2:$J$225,MATCH(1,($AL88='Point Data'!$AP$2:$AP$225)*(AT$82='Point Data'!$D$2:$D$225),0)))</f>
        <v>92.41</v>
      </c>
      <c r="AU88" s="6">
        <f t="array" aca="1" ref="AU88" ca="1">IF(AU$82&gt;$Q$27,"",INDEX('Point Data'!$J$2:$J$225,MATCH(1,($AL88='Point Data'!$AP$2:$AP$225)*(AU$82='Point Data'!$D$2:$D$225),0)))</f>
        <v>105.85</v>
      </c>
      <c r="AV88" s="6">
        <f t="array" aca="1" ref="AV88" ca="1">IF(AV$82&gt;$Q$27,"",INDEX('Point Data'!$J$2:$J$225,MATCH(1,($AL88='Point Data'!$AP$2:$AP$225)*(AV$82='Point Data'!$D$2:$D$225),0)))</f>
        <v>103.51</v>
      </c>
      <c r="AW88" s="6">
        <f t="array" aca="1" ref="AW88" ca="1">IF(AW$82&gt;$Q$27,"",INDEX('Point Data'!$J$2:$J$225,MATCH(1,($AL88='Point Data'!$AP$2:$AP$225)*(AW$82='Point Data'!$D$2:$D$225),0)))</f>
        <v>112.3</v>
      </c>
      <c r="AX88" s="6">
        <f t="array" aca="1" ref="AX88" ca="1">IF(AX$82&gt;$Q$27,"",INDEX('Point Data'!$J$2:$J$225,MATCH(1,($AL88='Point Data'!$AP$2:$AP$225)*(AX$82='Point Data'!$D$2:$D$225),0)))</f>
        <v>112.45</v>
      </c>
      <c r="AY88" s="6">
        <f t="array" aca="1" ref="AY88" ca="1">IF(AY$82&gt;$Q$27,"",INDEX('Point Data'!$J$2:$J$225,MATCH(1,($AL88='Point Data'!$AP$2:$AP$225)*(AY$82='Point Data'!$D$2:$D$225),0)))</f>
        <v>104.84</v>
      </c>
      <c r="AZ88" s="6">
        <f t="shared" ca="1" si="7"/>
        <v>120.14</v>
      </c>
      <c r="BA88" s="6">
        <f t="shared" ca="1" si="8"/>
        <v>113.68</v>
      </c>
      <c r="BB88" s="445">
        <f t="shared" ca="1" si="13"/>
        <v>109.57923076923075</v>
      </c>
      <c r="BC88" s="6">
        <f t="shared" ca="1" si="9"/>
        <v>105.85</v>
      </c>
      <c r="BD88" s="6">
        <f t="shared" ca="1" si="10"/>
        <v>92.41</v>
      </c>
      <c r="BE88" s="6">
        <f t="shared" ca="1" si="11"/>
        <v>6.9297768861852767</v>
      </c>
    </row>
    <row r="89" spans="4:57">
      <c r="D89" s="498"/>
      <c r="E89" s="498"/>
      <c r="F89" s="498"/>
      <c r="G89" s="499"/>
      <c r="H89" s="63">
        <f t="array" aca="1" ref="H89" ca="1">INDEX('Point Data'!$Z$2:$Z$225,MATCH(1,($D10='Point Data'!$B$2:$B$225)*($Q$27='Point Data'!$D$2:$D$225),0))</f>
        <v>7</v>
      </c>
      <c r="I89" s="63">
        <f t="shared" ca="1" si="12"/>
        <v>6</v>
      </c>
      <c r="J89" s="63">
        <v>0</v>
      </c>
      <c r="K89" s="499"/>
      <c r="L89" s="499"/>
      <c r="M89" s="499"/>
      <c r="N89" s="499"/>
      <c r="O89" s="499"/>
      <c r="P89" s="499"/>
      <c r="Q89" s="499"/>
      <c r="R89" s="499"/>
      <c r="S89" s="499"/>
      <c r="T89" s="499"/>
      <c r="U89" s="499"/>
      <c r="V89" s="499"/>
      <c r="W89" s="499"/>
      <c r="X89" s="499"/>
      <c r="Y89" s="499"/>
      <c r="Z89" s="499"/>
      <c r="AA89" s="499"/>
      <c r="AB89" s="499"/>
      <c r="AC89" s="499"/>
      <c r="AD89" s="499"/>
      <c r="AL89" s="128">
        <v>7</v>
      </c>
      <c r="AM89" s="6">
        <f t="array" aca="1" ref="AM89" ca="1">IF(AM$82&gt;$Q$27,"",INDEX('Point Data'!$J$2:$J$225,MATCH(1,($AL89='Point Data'!$AP$2:$AP$225)*(AM$82='Point Data'!$D$2:$D$225),0)))</f>
        <v>106.84</v>
      </c>
      <c r="AN89" s="6">
        <f t="array" aca="1" ref="AN89" ca="1">IF(AN$82&gt;$Q$27,"",INDEX('Point Data'!$J$2:$J$225,MATCH(1,($AL89='Point Data'!$AP$2:$AP$225)*(AN$82='Point Data'!$D$2:$D$225),0)))</f>
        <v>111.67</v>
      </c>
      <c r="AO89" s="6">
        <f t="array" aca="1" ref="AO89" ca="1">IF(AO$82&gt;$Q$27,"",INDEX('Point Data'!$J$2:$J$225,MATCH(1,($AL89='Point Data'!$AP$2:$AP$225)*(AO$82='Point Data'!$D$2:$D$225),0)))</f>
        <v>113.11</v>
      </c>
      <c r="AP89" s="6">
        <f t="array" aca="1" ref="AP89" ca="1">IF(AP$82&gt;$Q$27,"",INDEX('Point Data'!$J$2:$J$225,MATCH(1,($AL89='Point Data'!$AP$2:$AP$225)*(AP$82='Point Data'!$D$2:$D$225),0)))</f>
        <v>108.47</v>
      </c>
      <c r="AQ89" s="6">
        <f t="array" aca="1" ref="AQ89" ca="1">IF(AQ$82&gt;$Q$27,"",INDEX('Point Data'!$J$2:$J$225,MATCH(1,($AL89='Point Data'!$AP$2:$AP$225)*(AQ$82='Point Data'!$D$2:$D$225),0)))</f>
        <v>105.79</v>
      </c>
      <c r="AR89" s="6">
        <f t="array" aca="1" ref="AR89" ca="1">IF(AR$82&gt;$Q$27,"",INDEX('Point Data'!$J$2:$J$225,MATCH(1,($AL89='Point Data'!$AP$2:$AP$225)*(AR$82='Point Data'!$D$2:$D$225),0)))</f>
        <v>98.77</v>
      </c>
      <c r="AS89" s="6">
        <f t="array" aca="1" ref="AS89" ca="1">IF(AS$82&gt;$Q$27,"",INDEX('Point Data'!$J$2:$J$225,MATCH(1,($AL89='Point Data'!$AP$2:$AP$225)*(AS$82='Point Data'!$D$2:$D$225),0)))</f>
        <v>104.38</v>
      </c>
      <c r="AT89" s="6">
        <f t="array" aca="1" ref="AT89" ca="1">IF(AT$82&gt;$Q$27,"",INDEX('Point Data'!$J$2:$J$225,MATCH(1,($AL89='Point Data'!$AP$2:$AP$225)*(AT$82='Point Data'!$D$2:$D$225),0)))</f>
        <v>90.03</v>
      </c>
      <c r="AU89" s="6">
        <f t="array" aca="1" ref="AU89" ca="1">IF(AU$82&gt;$Q$27,"",INDEX('Point Data'!$J$2:$J$225,MATCH(1,($AL89='Point Data'!$AP$2:$AP$225)*(AU$82='Point Data'!$D$2:$D$225),0)))</f>
        <v>95.29</v>
      </c>
      <c r="AV89" s="6">
        <f t="array" aca="1" ref="AV89" ca="1">IF(AV$82&gt;$Q$27,"",INDEX('Point Data'!$J$2:$J$225,MATCH(1,($AL89='Point Data'!$AP$2:$AP$225)*(AV$82='Point Data'!$D$2:$D$225),0)))</f>
        <v>100.87</v>
      </c>
      <c r="AW89" s="6">
        <f t="array" aca="1" ref="AW89" ca="1">IF(AW$82&gt;$Q$27,"",INDEX('Point Data'!$J$2:$J$225,MATCH(1,($AL89='Point Data'!$AP$2:$AP$225)*(AW$82='Point Data'!$D$2:$D$225),0)))</f>
        <v>104.72</v>
      </c>
      <c r="AX89" s="6">
        <f t="array" aca="1" ref="AX89" ca="1">IF(AX$82&gt;$Q$27,"",INDEX('Point Data'!$J$2:$J$225,MATCH(1,($AL89='Point Data'!$AP$2:$AP$225)*(AX$82='Point Data'!$D$2:$D$225),0)))</f>
        <v>106.11</v>
      </c>
      <c r="AY89" s="6">
        <f t="array" aca="1" ref="AY89" ca="1">IF(AY$82&gt;$Q$27,"",INDEX('Point Data'!$J$2:$J$225,MATCH(1,($AL89='Point Data'!$AP$2:$AP$225)*(AY$82='Point Data'!$D$2:$D$225),0)))</f>
        <v>102.1</v>
      </c>
      <c r="AZ89" s="6">
        <f t="shared" ca="1" si="7"/>
        <v>113.11</v>
      </c>
      <c r="BA89" s="6">
        <f t="shared" ca="1" si="8"/>
        <v>106.84</v>
      </c>
      <c r="BB89" s="445">
        <f t="shared" ca="1" si="13"/>
        <v>103.70384615384613</v>
      </c>
      <c r="BC89" s="6">
        <f t="shared" ca="1" si="9"/>
        <v>100.87</v>
      </c>
      <c r="BD89" s="6">
        <f t="shared" ca="1" si="10"/>
        <v>90.03</v>
      </c>
      <c r="BE89" s="6">
        <f t="shared" ca="1" si="11"/>
        <v>6.3824701833244504</v>
      </c>
    </row>
    <row r="90" spans="4:57" ht="16" thickBot="1">
      <c r="D90" s="498"/>
      <c r="E90" s="498"/>
      <c r="F90" s="498"/>
      <c r="G90" s="499"/>
      <c r="H90" s="11">
        <f t="array" aca="1" ref="H90" ca="1">INDEX('Point Data'!$Z$2:$Z$225,MATCH(1,($D11='Point Data'!$B$2:$B$225)*($Q$27='Point Data'!$D$2:$D$225),0))</f>
        <v>8</v>
      </c>
      <c r="I90" s="11">
        <f t="shared" ca="1" si="12"/>
        <v>5</v>
      </c>
      <c r="J90" s="11">
        <v>0</v>
      </c>
      <c r="K90" s="499"/>
      <c r="L90" s="499"/>
      <c r="M90" s="499"/>
      <c r="N90" s="499"/>
      <c r="O90" s="499"/>
      <c r="P90" s="499"/>
      <c r="Q90" s="499"/>
      <c r="R90" s="499"/>
      <c r="S90" s="499"/>
      <c r="T90" s="499"/>
      <c r="U90" s="499"/>
      <c r="V90" s="499"/>
      <c r="W90" s="499"/>
      <c r="X90" s="499"/>
      <c r="Y90" s="499"/>
      <c r="Z90" s="499"/>
      <c r="AA90" s="499"/>
      <c r="AB90" s="499"/>
      <c r="AC90" s="499"/>
      <c r="AD90" s="499"/>
      <c r="AL90" s="128">
        <v>8</v>
      </c>
      <c r="AM90" s="6">
        <f t="array" aca="1" ref="AM90" ca="1">IF(AM$82&gt;$Q$27,"",INDEX('Point Data'!$J$2:$J$225,MATCH(1,($AL90='Point Data'!$AP$2:$AP$225)*(AM$82='Point Data'!$D$2:$D$225),0)))</f>
        <v>103.84</v>
      </c>
      <c r="AN90" s="6">
        <f t="array" aca="1" ref="AN90" ca="1">IF(AN$82&gt;$Q$27,"",INDEX('Point Data'!$J$2:$J$225,MATCH(1,($AL90='Point Data'!$AP$2:$AP$225)*(AN$82='Point Data'!$D$2:$D$225),0)))</f>
        <v>111.23</v>
      </c>
      <c r="AO90" s="6">
        <f t="array" aca="1" ref="AO90" ca="1">IF(AO$82&gt;$Q$27,"",INDEX('Point Data'!$J$2:$J$225,MATCH(1,($AL90='Point Data'!$AP$2:$AP$225)*(AO$82='Point Data'!$D$2:$D$225),0)))</f>
        <v>108.7</v>
      </c>
      <c r="AP90" s="6">
        <f t="array" aca="1" ref="AP90" ca="1">IF(AP$82&gt;$Q$27,"",INDEX('Point Data'!$J$2:$J$225,MATCH(1,($AL90='Point Data'!$AP$2:$AP$225)*(AP$82='Point Data'!$D$2:$D$225),0)))</f>
        <v>108.26</v>
      </c>
      <c r="AQ90" s="6">
        <f t="array" aca="1" ref="AQ90" ca="1">IF(AQ$82&gt;$Q$27,"",INDEX('Point Data'!$J$2:$J$225,MATCH(1,($AL90='Point Data'!$AP$2:$AP$225)*(AQ$82='Point Data'!$D$2:$D$225),0)))</f>
        <v>105.13</v>
      </c>
      <c r="AR90" s="6">
        <f t="array" aca="1" ref="AR90" ca="1">IF(AR$82&gt;$Q$27,"",INDEX('Point Data'!$J$2:$J$225,MATCH(1,($AL90='Point Data'!$AP$2:$AP$225)*(AR$82='Point Data'!$D$2:$D$225),0)))</f>
        <v>98.25</v>
      </c>
      <c r="AS90" s="6">
        <f t="array" aca="1" ref="AS90" ca="1">IF(AS$82&gt;$Q$27,"",INDEX('Point Data'!$J$2:$J$225,MATCH(1,($AL90='Point Data'!$AP$2:$AP$225)*(AS$82='Point Data'!$D$2:$D$225),0)))</f>
        <v>96.92</v>
      </c>
      <c r="AT90" s="6">
        <f t="array" aca="1" ref="AT90" ca="1">IF(AT$82&gt;$Q$27,"",INDEX('Point Data'!$J$2:$J$225,MATCH(1,($AL90='Point Data'!$AP$2:$AP$225)*(AT$82='Point Data'!$D$2:$D$225),0)))</f>
        <v>88.93</v>
      </c>
      <c r="AU90" s="6">
        <f t="array" aca="1" ref="AU90" ca="1">IF(AU$82&gt;$Q$27,"",INDEX('Point Data'!$J$2:$J$225,MATCH(1,($AL90='Point Data'!$AP$2:$AP$225)*(AU$82='Point Data'!$D$2:$D$225),0)))</f>
        <v>90.79</v>
      </c>
      <c r="AV90" s="6">
        <f t="array" aca="1" ref="AV90" ca="1">IF(AV$82&gt;$Q$27,"",INDEX('Point Data'!$J$2:$J$225,MATCH(1,($AL90='Point Data'!$AP$2:$AP$225)*(AV$82='Point Data'!$D$2:$D$225),0)))</f>
        <v>89.63</v>
      </c>
      <c r="AW90" s="6">
        <f t="array" aca="1" ref="AW90" ca="1">IF(AW$82&gt;$Q$27,"",INDEX('Point Data'!$J$2:$J$225,MATCH(1,($AL90='Point Data'!$AP$2:$AP$225)*(AW$82='Point Data'!$D$2:$D$225),0)))</f>
        <v>100.09</v>
      </c>
      <c r="AX90" s="6">
        <f t="array" aca="1" ref="AX90" ca="1">IF(AX$82&gt;$Q$27,"",INDEX('Point Data'!$J$2:$J$225,MATCH(1,($AL90='Point Data'!$AP$2:$AP$225)*(AX$82='Point Data'!$D$2:$D$225),0)))</f>
        <v>98.98</v>
      </c>
      <c r="AY90" s="6">
        <f t="array" aca="1" ref="AY90" ca="1">IF(AY$82&gt;$Q$27,"",INDEX('Point Data'!$J$2:$J$225,MATCH(1,($AL90='Point Data'!$AP$2:$AP$225)*(AY$82='Point Data'!$D$2:$D$225),0)))</f>
        <v>101.68</v>
      </c>
      <c r="AZ90" s="6">
        <f t="shared" ca="1" si="7"/>
        <v>111.23</v>
      </c>
      <c r="BA90" s="6">
        <f t="shared" ca="1" si="8"/>
        <v>105.13</v>
      </c>
      <c r="BB90" s="445">
        <f t="shared" ca="1" si="13"/>
        <v>100.18692307692308</v>
      </c>
      <c r="BC90" s="6">
        <f t="shared" ca="1" si="9"/>
        <v>96.92</v>
      </c>
      <c r="BD90" s="6">
        <f t="shared" ca="1" si="10"/>
        <v>88.93</v>
      </c>
      <c r="BE90" s="6">
        <f t="shared" ca="1" si="11"/>
        <v>7.3141670574023498</v>
      </c>
    </row>
    <row r="91" spans="4:57">
      <c r="D91" s="498"/>
      <c r="E91" s="498"/>
      <c r="F91" s="498"/>
      <c r="G91" s="499"/>
      <c r="H91" s="122">
        <f t="array" aca="1" ref="H91" ca="1">INDEX('Point Data'!$Z$2:$Z$225,MATCH(1,($D12='Point Data'!$B$2:$B$225)*($Q$27='Point Data'!$D$2:$D$225),0))</f>
        <v>8</v>
      </c>
      <c r="I91" s="122">
        <f t="shared" ca="1" si="12"/>
        <v>5</v>
      </c>
      <c r="J91" s="122">
        <v>0</v>
      </c>
      <c r="K91" s="499"/>
      <c r="L91" s="499"/>
      <c r="M91" s="499"/>
      <c r="N91" s="499"/>
      <c r="O91" s="499"/>
      <c r="P91" s="499"/>
      <c r="Q91" s="499"/>
      <c r="R91" s="499"/>
      <c r="S91" s="499"/>
      <c r="T91" s="499"/>
      <c r="U91" s="499"/>
      <c r="V91" s="499"/>
      <c r="W91" s="499"/>
      <c r="X91" s="499"/>
      <c r="Y91" s="499"/>
      <c r="Z91" s="499"/>
      <c r="AA91" s="499"/>
      <c r="AB91" s="499"/>
      <c r="AC91" s="499"/>
      <c r="AD91" s="499"/>
      <c r="AL91" s="128">
        <v>9</v>
      </c>
      <c r="AM91" s="6">
        <f t="array" aca="1" ref="AM91" ca="1">IF(AM$82&gt;$Q$27,"",INDEX('Point Data'!$J$2:$J$225,MATCH(1,($AL91='Point Data'!$AP$2:$AP$225)*(AM$82='Point Data'!$D$2:$D$225),0)))</f>
        <v>103.56</v>
      </c>
      <c r="AN91" s="6">
        <f t="array" aca="1" ref="AN91" ca="1">IF(AN$82&gt;$Q$27,"",INDEX('Point Data'!$J$2:$J$225,MATCH(1,($AL91='Point Data'!$AP$2:$AP$225)*(AN$82='Point Data'!$D$2:$D$225),0)))</f>
        <v>110.03</v>
      </c>
      <c r="AO91" s="6">
        <f t="array" aca="1" ref="AO91" ca="1">IF(AO$82&gt;$Q$27,"",INDEX('Point Data'!$J$2:$J$225,MATCH(1,($AL91='Point Data'!$AP$2:$AP$225)*(AO$82='Point Data'!$D$2:$D$225),0)))</f>
        <v>107.92</v>
      </c>
      <c r="AP91" s="6">
        <f t="array" aca="1" ref="AP91" ca="1">IF(AP$82&gt;$Q$27,"",INDEX('Point Data'!$J$2:$J$225,MATCH(1,($AL91='Point Data'!$AP$2:$AP$225)*(AP$82='Point Data'!$D$2:$D$225),0)))</f>
        <v>106.32</v>
      </c>
      <c r="AQ91" s="6">
        <f t="array" aca="1" ref="AQ91" ca="1">IF(AQ$82&gt;$Q$27,"",INDEX('Point Data'!$J$2:$J$225,MATCH(1,($AL91='Point Data'!$AP$2:$AP$225)*(AQ$82='Point Data'!$D$2:$D$225),0)))</f>
        <v>103.25</v>
      </c>
      <c r="AR91" s="6">
        <f t="array" aca="1" ref="AR91" ca="1">IF(AR$82&gt;$Q$27,"",INDEX('Point Data'!$J$2:$J$225,MATCH(1,($AL91='Point Data'!$AP$2:$AP$225)*(AR$82='Point Data'!$D$2:$D$225),0)))</f>
        <v>97.96</v>
      </c>
      <c r="AS91" s="6">
        <f t="array" aca="1" ref="AS91" ca="1">IF(AS$82&gt;$Q$27,"",INDEX('Point Data'!$J$2:$J$225,MATCH(1,($AL91='Point Data'!$AP$2:$AP$225)*(AS$82='Point Data'!$D$2:$D$225),0)))</f>
        <v>96.84</v>
      </c>
      <c r="AT91" s="6">
        <f t="array" aca="1" ref="AT91" ca="1">IF(AT$82&gt;$Q$27,"",INDEX('Point Data'!$J$2:$J$225,MATCH(1,($AL91='Point Data'!$AP$2:$AP$225)*(AT$82='Point Data'!$D$2:$D$225),0)))</f>
        <v>87.31</v>
      </c>
      <c r="AU91" s="6">
        <f t="array" aca="1" ref="AU91" ca="1">IF(AU$82&gt;$Q$27,"",INDEX('Point Data'!$J$2:$J$225,MATCH(1,($AL91='Point Data'!$AP$2:$AP$225)*(AU$82='Point Data'!$D$2:$D$225),0)))</f>
        <v>90.25</v>
      </c>
      <c r="AV91" s="6">
        <f t="array" aca="1" ref="AV91" ca="1">IF(AV$82&gt;$Q$27,"",INDEX('Point Data'!$J$2:$J$225,MATCH(1,($AL91='Point Data'!$AP$2:$AP$225)*(AV$82='Point Data'!$D$2:$D$225),0)))</f>
        <v>85.59</v>
      </c>
      <c r="AW91" s="6">
        <f t="array" aca="1" ref="AW91" ca="1">IF(AW$82&gt;$Q$27,"",INDEX('Point Data'!$J$2:$J$225,MATCH(1,($AL91='Point Data'!$AP$2:$AP$225)*(AW$82='Point Data'!$D$2:$D$225),0)))</f>
        <v>99.54</v>
      </c>
      <c r="AX91" s="6">
        <f t="array" aca="1" ref="AX91" ca="1">IF(AX$82&gt;$Q$27,"",INDEX('Point Data'!$J$2:$J$225,MATCH(1,($AL91='Point Data'!$AP$2:$AP$225)*(AX$82='Point Data'!$D$2:$D$225),0)))</f>
        <v>98.78</v>
      </c>
      <c r="AY91" s="6">
        <f t="array" aca="1" ref="AY91" ca="1">IF(AY$82&gt;$Q$27,"",INDEX('Point Data'!$J$2:$J$225,MATCH(1,($AL91='Point Data'!$AP$2:$AP$225)*(AY$82='Point Data'!$D$2:$D$225),0)))</f>
        <v>95.1</v>
      </c>
      <c r="AZ91" s="6">
        <f t="shared" ca="1" si="7"/>
        <v>110.03</v>
      </c>
      <c r="BA91" s="6">
        <f t="shared" ca="1" si="8"/>
        <v>103.56</v>
      </c>
      <c r="BB91" s="445">
        <f t="shared" ca="1" si="13"/>
        <v>98.65</v>
      </c>
      <c r="BC91" s="6">
        <f t="shared" ca="1" si="9"/>
        <v>95.1</v>
      </c>
      <c r="BD91" s="6">
        <f t="shared" ca="1" si="10"/>
        <v>85.59</v>
      </c>
      <c r="BE91" s="6">
        <f t="shared" ca="1" si="11"/>
        <v>7.6725549851402164</v>
      </c>
    </row>
    <row r="92" spans="4:57">
      <c r="D92" s="498"/>
      <c r="E92" s="498"/>
      <c r="F92" s="498"/>
      <c r="G92" s="499"/>
      <c r="H92" s="64">
        <f t="array" aca="1" ref="H92" ca="1">INDEX('Point Data'!$Z$2:$Z$225,MATCH(1,($D13='Point Data'!$B$2:$B$225)*($Q$27='Point Data'!$D$2:$D$225),0))</f>
        <v>7</v>
      </c>
      <c r="I92" s="64">
        <f t="shared" ca="1" si="12"/>
        <v>6</v>
      </c>
      <c r="J92" s="64">
        <v>0</v>
      </c>
      <c r="K92" s="499"/>
      <c r="L92" s="499"/>
      <c r="M92" s="499"/>
      <c r="N92" s="499"/>
      <c r="O92" s="499"/>
      <c r="P92" s="499"/>
      <c r="Q92" s="499"/>
      <c r="R92" s="499"/>
      <c r="S92" s="499"/>
      <c r="T92" s="499"/>
      <c r="U92" s="499"/>
      <c r="V92" s="499"/>
      <c r="W92" s="499"/>
      <c r="X92" s="499"/>
      <c r="Y92" s="499"/>
      <c r="Z92" s="499"/>
      <c r="AA92" s="499"/>
      <c r="AB92" s="499"/>
      <c r="AC92" s="499"/>
      <c r="AD92" s="499"/>
      <c r="AL92" s="128">
        <v>10</v>
      </c>
      <c r="AM92" s="6">
        <f t="array" aca="1" ref="AM92" ca="1">IF(AM$82&gt;$Q$27,"",INDEX('Point Data'!$J$2:$J$225,MATCH(1,($AL92='Point Data'!$AP$2:$AP$225)*(AM$82='Point Data'!$D$2:$D$225),0)))</f>
        <v>101.04</v>
      </c>
      <c r="AN92" s="6">
        <f t="array" aca="1" ref="AN92" ca="1">IF(AN$82&gt;$Q$27,"",INDEX('Point Data'!$J$2:$J$225,MATCH(1,($AL92='Point Data'!$AP$2:$AP$225)*(AN$82='Point Data'!$D$2:$D$225),0)))</f>
        <v>108.89</v>
      </c>
      <c r="AO92" s="6">
        <f t="array" aca="1" ref="AO92" ca="1">IF(AO$82&gt;$Q$27,"",INDEX('Point Data'!$J$2:$J$225,MATCH(1,($AL92='Point Data'!$AP$2:$AP$225)*(AO$82='Point Data'!$D$2:$D$225),0)))</f>
        <v>102.88</v>
      </c>
      <c r="AP92" s="6">
        <f t="array" aca="1" ref="AP92" ca="1">IF(AP$82&gt;$Q$27,"",INDEX('Point Data'!$J$2:$J$225,MATCH(1,($AL92='Point Data'!$AP$2:$AP$225)*(AP$82='Point Data'!$D$2:$D$225),0)))</f>
        <v>99.49</v>
      </c>
      <c r="AQ92" s="6">
        <f t="array" aca="1" ref="AQ92" ca="1">IF(AQ$82&gt;$Q$27,"",INDEX('Point Data'!$J$2:$J$225,MATCH(1,($AL92='Point Data'!$AP$2:$AP$225)*(AQ$82='Point Data'!$D$2:$D$225),0)))</f>
        <v>99.27</v>
      </c>
      <c r="AR92" s="6">
        <f t="array" aca="1" ref="AR92" ca="1">IF(AR$82&gt;$Q$27,"",INDEX('Point Data'!$J$2:$J$225,MATCH(1,($AL92='Point Data'!$AP$2:$AP$225)*(AR$82='Point Data'!$D$2:$D$225),0)))</f>
        <v>94.69</v>
      </c>
      <c r="AS92" s="6">
        <f t="array" aca="1" ref="AS92" ca="1">IF(AS$82&gt;$Q$27,"",INDEX('Point Data'!$J$2:$J$225,MATCH(1,($AL92='Point Data'!$AP$2:$AP$225)*(AS$82='Point Data'!$D$2:$D$225),0)))</f>
        <v>95.12</v>
      </c>
      <c r="AT92" s="6">
        <f t="array" aca="1" ref="AT92" ca="1">IF(AT$82&gt;$Q$27,"",INDEX('Point Data'!$J$2:$J$225,MATCH(1,($AL92='Point Data'!$AP$2:$AP$225)*(AT$82='Point Data'!$D$2:$D$225),0)))</f>
        <v>82.72</v>
      </c>
      <c r="AU92" s="6">
        <f t="array" aca="1" ref="AU92" ca="1">IF(AU$82&gt;$Q$27,"",INDEX('Point Data'!$J$2:$J$225,MATCH(1,($AL92='Point Data'!$AP$2:$AP$225)*(AU$82='Point Data'!$D$2:$D$225),0)))</f>
        <v>87.91</v>
      </c>
      <c r="AV92" s="6">
        <f t="array" aca="1" ref="AV92" ca="1">IF(AV$82&gt;$Q$27,"",INDEX('Point Data'!$J$2:$J$225,MATCH(1,($AL92='Point Data'!$AP$2:$AP$225)*(AV$82='Point Data'!$D$2:$D$225),0)))</f>
        <v>83.44</v>
      </c>
      <c r="AW92" s="6">
        <f t="array" aca="1" ref="AW92" ca="1">IF(AW$82&gt;$Q$27,"",INDEX('Point Data'!$J$2:$J$225,MATCH(1,($AL92='Point Data'!$AP$2:$AP$225)*(AW$82='Point Data'!$D$2:$D$225),0)))</f>
        <v>92.94</v>
      </c>
      <c r="AX92" s="6">
        <f t="array" aca="1" ref="AX92" ca="1">IF(AX$82&gt;$Q$27,"",INDEX('Point Data'!$J$2:$J$225,MATCH(1,($AL92='Point Data'!$AP$2:$AP$225)*(AX$82='Point Data'!$D$2:$D$225),0)))</f>
        <v>97.24</v>
      </c>
      <c r="AY92" s="6">
        <f t="array" aca="1" ref="AY92" ca="1">IF(AY$82&gt;$Q$27,"",INDEX('Point Data'!$J$2:$J$225,MATCH(1,($AL92='Point Data'!$AP$2:$AP$225)*(AY$82='Point Data'!$D$2:$D$225),0)))</f>
        <v>90.95</v>
      </c>
      <c r="AZ92" s="6">
        <f t="shared" ca="1" si="7"/>
        <v>108.89</v>
      </c>
      <c r="BA92" s="6">
        <f t="shared" ca="1" si="8"/>
        <v>99.49</v>
      </c>
      <c r="BB92" s="445">
        <f t="shared" ca="1" si="13"/>
        <v>95.121538461538478</v>
      </c>
      <c r="BC92" s="6">
        <f t="shared" ca="1" si="9"/>
        <v>90.95</v>
      </c>
      <c r="BD92" s="6">
        <f t="shared" ca="1" si="10"/>
        <v>82.72</v>
      </c>
      <c r="BE92" s="6">
        <f t="shared" ca="1" si="11"/>
        <v>7.5838829612033685</v>
      </c>
    </row>
    <row r="93" spans="4:57">
      <c r="D93" s="498"/>
      <c r="E93" s="498"/>
      <c r="F93" s="498"/>
      <c r="G93" s="499"/>
      <c r="H93" s="50">
        <f t="array" aca="1" ref="H93" ca="1">INDEX('Point Data'!$Z$2:$Z$225,MATCH(1,($D14='Point Data'!$B$2:$B$225)*($Q$27='Point Data'!$D$2:$D$225),0))</f>
        <v>5</v>
      </c>
      <c r="I93" s="50">
        <f t="shared" ca="1" si="12"/>
        <v>8</v>
      </c>
      <c r="J93" s="50">
        <v>0</v>
      </c>
      <c r="K93" s="499"/>
      <c r="L93" s="499"/>
      <c r="M93" s="499"/>
      <c r="N93" s="499"/>
      <c r="O93" s="499"/>
      <c r="P93" s="499"/>
      <c r="Q93" s="499"/>
      <c r="R93" s="499"/>
      <c r="S93" s="499"/>
      <c r="T93" s="499"/>
      <c r="U93" s="499"/>
      <c r="V93" s="499"/>
      <c r="W93" s="499"/>
      <c r="X93" s="499"/>
      <c r="Y93" s="499"/>
      <c r="Z93" s="499"/>
      <c r="AA93" s="499"/>
      <c r="AB93" s="499"/>
      <c r="AC93" s="499"/>
      <c r="AD93" s="499"/>
      <c r="AL93" s="128">
        <v>11</v>
      </c>
      <c r="AM93" s="6">
        <f t="array" aca="1" ref="AM93" ca="1">IF(AM$82&gt;$Q$27,"",INDEX('Point Data'!$J$2:$J$225,MATCH(1,($AL93='Point Data'!$AP$2:$AP$225)*(AM$82='Point Data'!$D$2:$D$225),0)))</f>
        <v>97.6</v>
      </c>
      <c r="AN93" s="6">
        <f t="array" aca="1" ref="AN93" ca="1">IF(AN$82&gt;$Q$27,"",INDEX('Point Data'!$J$2:$J$225,MATCH(1,($AL93='Point Data'!$AP$2:$AP$225)*(AN$82='Point Data'!$D$2:$D$225),0)))</f>
        <v>101.32</v>
      </c>
      <c r="AO93" s="6">
        <f t="array" aca="1" ref="AO93" ca="1">IF(AO$82&gt;$Q$27,"",INDEX('Point Data'!$J$2:$J$225,MATCH(1,($AL93='Point Data'!$AP$2:$AP$225)*(AO$82='Point Data'!$D$2:$D$225),0)))</f>
        <v>101.93</v>
      </c>
      <c r="AP93" s="6">
        <f t="array" aca="1" ref="AP93" ca="1">IF(AP$82&gt;$Q$27,"",INDEX('Point Data'!$J$2:$J$225,MATCH(1,($AL93='Point Data'!$AP$2:$AP$225)*(AP$82='Point Data'!$D$2:$D$225),0)))</f>
        <v>97.92</v>
      </c>
      <c r="AQ93" s="6">
        <f t="array" aca="1" ref="AQ93" ca="1">IF(AQ$82&gt;$Q$27,"",INDEX('Point Data'!$J$2:$J$225,MATCH(1,($AL93='Point Data'!$AP$2:$AP$225)*(AQ$82='Point Data'!$D$2:$D$225),0)))</f>
        <v>93.88</v>
      </c>
      <c r="AR93" s="6">
        <f t="array" aca="1" ref="AR93" ca="1">IF(AR$82&gt;$Q$27,"",INDEX('Point Data'!$J$2:$J$225,MATCH(1,($AL93='Point Data'!$AP$2:$AP$225)*(AR$82='Point Data'!$D$2:$D$225),0)))</f>
        <v>91.59</v>
      </c>
      <c r="AS93" s="6">
        <f t="array" aca="1" ref="AS93" ca="1">IF(AS$82&gt;$Q$27,"",INDEX('Point Data'!$J$2:$J$225,MATCH(1,($AL93='Point Data'!$AP$2:$AP$225)*(AS$82='Point Data'!$D$2:$D$225),0)))</f>
        <v>93.71</v>
      </c>
      <c r="AT93" s="6">
        <f t="array" aca="1" ref="AT93" ca="1">IF(AT$82&gt;$Q$27,"",INDEX('Point Data'!$J$2:$J$225,MATCH(1,($AL93='Point Data'!$AP$2:$AP$225)*(AT$82='Point Data'!$D$2:$D$225),0)))</f>
        <v>81.650000000000006</v>
      </c>
      <c r="AU93" s="6">
        <f t="array" aca="1" ref="AU93" ca="1">IF(AU$82&gt;$Q$27,"",INDEX('Point Data'!$J$2:$J$225,MATCH(1,($AL93='Point Data'!$AP$2:$AP$225)*(AU$82='Point Data'!$D$2:$D$225),0)))</f>
        <v>87.41</v>
      </c>
      <c r="AV93" s="6">
        <f t="array" aca="1" ref="AV93" ca="1">IF(AV$82&gt;$Q$27,"",INDEX('Point Data'!$J$2:$J$225,MATCH(1,($AL93='Point Data'!$AP$2:$AP$225)*(AV$82='Point Data'!$D$2:$D$225),0)))</f>
        <v>77.27</v>
      </c>
      <c r="AW93" s="6">
        <f t="array" aca="1" ref="AW93" ca="1">IF(AW$82&gt;$Q$27,"",INDEX('Point Data'!$J$2:$J$225,MATCH(1,($AL93='Point Data'!$AP$2:$AP$225)*(AW$82='Point Data'!$D$2:$D$225),0)))</f>
        <v>91.73</v>
      </c>
      <c r="AX93" s="6">
        <f t="array" aca="1" ref="AX93" ca="1">IF(AX$82&gt;$Q$27,"",INDEX('Point Data'!$J$2:$J$225,MATCH(1,($AL93='Point Data'!$AP$2:$AP$225)*(AX$82='Point Data'!$D$2:$D$225),0)))</f>
        <v>88.25</v>
      </c>
      <c r="AY93" s="6">
        <f t="array" aca="1" ref="AY93" ca="1">IF(AY$82&gt;$Q$27,"",INDEX('Point Data'!$J$2:$J$225,MATCH(1,($AL93='Point Data'!$AP$2:$AP$225)*(AY$82='Point Data'!$D$2:$D$225),0)))</f>
        <v>90.75</v>
      </c>
      <c r="AZ93" s="6">
        <f t="shared" ca="1" si="7"/>
        <v>101.93</v>
      </c>
      <c r="BA93" s="6">
        <f t="shared" ca="1" si="8"/>
        <v>97.6</v>
      </c>
      <c r="BB93" s="445">
        <f t="shared" ca="1" si="13"/>
        <v>91.923846153846156</v>
      </c>
      <c r="BC93" s="6">
        <f t="shared" ca="1" si="9"/>
        <v>88.25</v>
      </c>
      <c r="BD93" s="6">
        <f t="shared" ca="1" si="10"/>
        <v>77.27</v>
      </c>
      <c r="BE93" s="6">
        <f t="shared" ca="1" si="11"/>
        <v>7.1838146069962239</v>
      </c>
    </row>
    <row r="94" spans="4:57">
      <c r="D94" s="498"/>
      <c r="E94" s="498"/>
      <c r="F94" s="498"/>
      <c r="G94" s="499"/>
      <c r="H94" s="49">
        <f t="array" aca="1" ref="H94" ca="1">INDEX('Point Data'!$Z$2:$Z$225,MATCH(1,($D15='Point Data'!$B$2:$B$225)*($Q$27='Point Data'!$D$2:$D$225),0))</f>
        <v>5</v>
      </c>
      <c r="I94" s="49">
        <f t="shared" ca="1" si="12"/>
        <v>8</v>
      </c>
      <c r="J94" s="49">
        <v>0</v>
      </c>
      <c r="K94" s="499"/>
      <c r="L94" s="499"/>
      <c r="M94" s="499"/>
      <c r="N94" s="499"/>
      <c r="O94" s="499"/>
      <c r="P94" s="499"/>
      <c r="Q94" s="499"/>
      <c r="R94" s="499"/>
      <c r="S94" s="499"/>
      <c r="T94" s="499"/>
      <c r="U94" s="499"/>
      <c r="V94" s="499"/>
      <c r="W94" s="499"/>
      <c r="X94" s="499"/>
      <c r="Y94" s="499"/>
      <c r="Z94" s="499"/>
      <c r="AA94" s="499"/>
      <c r="AB94" s="499"/>
      <c r="AC94" s="499"/>
      <c r="AD94" s="499"/>
      <c r="AL94" s="128">
        <v>12</v>
      </c>
      <c r="AM94" s="6">
        <f t="array" aca="1" ref="AM94" ca="1">IF(AM$82&gt;$Q$27,"",INDEX('Point Data'!$J$2:$J$225,MATCH(1,($AL94='Point Data'!$AP$2:$AP$225)*(AM$82='Point Data'!$D$2:$D$225),0)))</f>
        <v>96.78</v>
      </c>
      <c r="AN94" s="6">
        <f t="array" aca="1" ref="AN94" ca="1">IF(AN$82&gt;$Q$27,"",INDEX('Point Data'!$J$2:$J$225,MATCH(1,($AL94='Point Data'!$AP$2:$AP$225)*(AN$82='Point Data'!$D$2:$D$225),0)))</f>
        <v>100.51</v>
      </c>
      <c r="AO94" s="6">
        <f t="array" aca="1" ref="AO94" ca="1">IF(AO$82&gt;$Q$27,"",INDEX('Point Data'!$J$2:$J$225,MATCH(1,($AL94='Point Data'!$AP$2:$AP$225)*(AO$82='Point Data'!$D$2:$D$225),0)))</f>
        <v>96.08</v>
      </c>
      <c r="AP94" s="6">
        <f t="array" aca="1" ref="AP94" ca="1">IF(AP$82&gt;$Q$27,"",INDEX('Point Data'!$J$2:$J$225,MATCH(1,($AL94='Point Data'!$AP$2:$AP$225)*(AP$82='Point Data'!$D$2:$D$225),0)))</f>
        <v>93.77</v>
      </c>
      <c r="AQ94" s="6">
        <f t="array" aca="1" ref="AQ94" ca="1">IF(AQ$82&gt;$Q$27,"",INDEX('Point Data'!$J$2:$J$225,MATCH(1,($AL94='Point Data'!$AP$2:$AP$225)*(AQ$82='Point Data'!$D$2:$D$225),0)))</f>
        <v>92.34</v>
      </c>
      <c r="AR94" s="6">
        <f t="array" aca="1" ref="AR94" ca="1">IF(AR$82&gt;$Q$27,"",INDEX('Point Data'!$J$2:$J$225,MATCH(1,($AL94='Point Data'!$AP$2:$AP$225)*(AR$82='Point Data'!$D$2:$D$225),0)))</f>
        <v>84.33</v>
      </c>
      <c r="AS94" s="6">
        <f t="array" aca="1" ref="AS94" ca="1">IF(AS$82&gt;$Q$27,"",INDEX('Point Data'!$J$2:$J$225,MATCH(1,($AL94='Point Data'!$AP$2:$AP$225)*(AS$82='Point Data'!$D$2:$D$225),0)))</f>
        <v>90.52</v>
      </c>
      <c r="AT94" s="6">
        <f t="array" aca="1" ref="AT94" ca="1">IF(AT$82&gt;$Q$27,"",INDEX('Point Data'!$J$2:$J$225,MATCH(1,($AL94='Point Data'!$AP$2:$AP$225)*(AT$82='Point Data'!$D$2:$D$225),0)))</f>
        <v>80.22</v>
      </c>
      <c r="AU94" s="6">
        <f t="array" aca="1" ref="AU94" ca="1">IF(AU$82&gt;$Q$27,"",INDEX('Point Data'!$J$2:$J$225,MATCH(1,($AL94='Point Data'!$AP$2:$AP$225)*(AU$82='Point Data'!$D$2:$D$225),0)))</f>
        <v>87.25</v>
      </c>
      <c r="AV94" s="6">
        <f t="array" aca="1" ref="AV94" ca="1">IF(AV$82&gt;$Q$27,"",INDEX('Point Data'!$J$2:$J$225,MATCH(1,($AL94='Point Data'!$AP$2:$AP$225)*(AV$82='Point Data'!$D$2:$D$225),0)))</f>
        <v>75.64</v>
      </c>
      <c r="AW94" s="6">
        <f t="array" aca="1" ref="AW94" ca="1">IF(AW$82&gt;$Q$27,"",INDEX('Point Data'!$J$2:$J$225,MATCH(1,($AL94='Point Data'!$AP$2:$AP$225)*(AW$82='Point Data'!$D$2:$D$225),0)))</f>
        <v>91.31</v>
      </c>
      <c r="AX94" s="6">
        <f t="array" aca="1" ref="AX94" ca="1">IF(AX$82&gt;$Q$27,"",INDEX('Point Data'!$J$2:$J$225,MATCH(1,($AL94='Point Data'!$AP$2:$AP$225)*(AX$82='Point Data'!$D$2:$D$225),0)))</f>
        <v>87.75</v>
      </c>
      <c r="AY94" s="6">
        <f t="array" aca="1" ref="AY94" ca="1">IF(AY$82&gt;$Q$27,"",INDEX('Point Data'!$J$2:$J$225,MATCH(1,($AL94='Point Data'!$AP$2:$AP$225)*(AY$82='Point Data'!$D$2:$D$225),0)))</f>
        <v>90.68</v>
      </c>
      <c r="AZ94" s="6">
        <f t="shared" ca="1" si="7"/>
        <v>100.51</v>
      </c>
      <c r="BA94" s="6">
        <f t="shared" ca="1" si="8"/>
        <v>93.77</v>
      </c>
      <c r="BB94" s="445">
        <f t="shared" ca="1" si="13"/>
        <v>89.783076923076933</v>
      </c>
      <c r="BC94" s="6">
        <f t="shared" ca="1" si="9"/>
        <v>87.25</v>
      </c>
      <c r="BD94" s="6">
        <f t="shared" ca="1" si="10"/>
        <v>75.64</v>
      </c>
      <c r="BE94" s="6">
        <f t="shared" ca="1" si="11"/>
        <v>6.8407630965843094</v>
      </c>
    </row>
    <row r="95" spans="4:57">
      <c r="D95" s="498"/>
      <c r="E95" s="498"/>
      <c r="F95" s="498"/>
      <c r="G95" s="499"/>
      <c r="H95" s="49">
        <f t="array" aca="1" ref="H95" ca="1">INDEX('Point Data'!$Z$2:$Z$225,MATCH(1,($D16='Point Data'!$B$2:$B$225)*($Q$27='Point Data'!$D$2:$D$225),0))</f>
        <v>5</v>
      </c>
      <c r="I95" s="49">
        <f t="shared" ca="1" si="12"/>
        <v>8</v>
      </c>
      <c r="J95" s="49">
        <v>0</v>
      </c>
      <c r="K95" s="499"/>
      <c r="L95" s="499"/>
      <c r="M95" s="499"/>
      <c r="N95" s="499"/>
      <c r="O95" s="499"/>
      <c r="P95" s="499"/>
      <c r="Q95" s="499"/>
      <c r="R95" s="499"/>
      <c r="S95" s="499"/>
      <c r="T95" s="499"/>
      <c r="U95" s="499"/>
      <c r="V95" s="499"/>
      <c r="W95" s="499"/>
      <c r="X95" s="499"/>
      <c r="Y95" s="499"/>
      <c r="Z95" s="499"/>
      <c r="AA95" s="499"/>
      <c r="AB95" s="499"/>
      <c r="AC95" s="499"/>
      <c r="AD95" s="499"/>
      <c r="AL95" s="128">
        <v>13</v>
      </c>
      <c r="AM95" s="6">
        <f t="array" aca="1" ref="AM95" ca="1">IF(AM$82&gt;$Q$27,"",INDEX('Point Data'!$J$2:$J$225,MATCH(1,($AL95='Point Data'!$AP$2:$AP$225)*(AM$82='Point Data'!$D$2:$D$225),0)))</f>
        <v>95.97</v>
      </c>
      <c r="AN95" s="6">
        <f t="array" aca="1" ref="AN95" ca="1">IF(AN$82&gt;$Q$27,"",INDEX('Point Data'!$J$2:$J$225,MATCH(1,($AL95='Point Data'!$AP$2:$AP$225)*(AN$82='Point Data'!$D$2:$D$225),0)))</f>
        <v>98.65</v>
      </c>
      <c r="AO95" s="6">
        <f t="array" aca="1" ref="AO95" ca="1">IF(AO$82&gt;$Q$27,"",INDEX('Point Data'!$J$2:$J$225,MATCH(1,($AL95='Point Data'!$AP$2:$AP$225)*(AO$82='Point Data'!$D$2:$D$225),0)))</f>
        <v>88.72</v>
      </c>
      <c r="AP95" s="6">
        <f t="array" aca="1" ref="AP95" ca="1">IF(AP$82&gt;$Q$27,"",INDEX('Point Data'!$J$2:$J$225,MATCH(1,($AL95='Point Data'!$AP$2:$AP$225)*(AP$82='Point Data'!$D$2:$D$225),0)))</f>
        <v>92.02</v>
      </c>
      <c r="AQ95" s="6">
        <f t="array" aca="1" ref="AQ95" ca="1">IF(AQ$82&gt;$Q$27,"",INDEX('Point Data'!$J$2:$J$225,MATCH(1,($AL95='Point Data'!$AP$2:$AP$225)*(AQ$82='Point Data'!$D$2:$D$225),0)))</f>
        <v>84.54</v>
      </c>
      <c r="AR95" s="6">
        <f t="array" aca="1" ref="AR95" ca="1">IF(AR$82&gt;$Q$27,"",INDEX('Point Data'!$J$2:$J$225,MATCH(1,($AL95='Point Data'!$AP$2:$AP$225)*(AR$82='Point Data'!$D$2:$D$225),0)))</f>
        <v>74.430000000000007</v>
      </c>
      <c r="AS95" s="6">
        <f t="array" aca="1" ref="AS95" ca="1">IF(AS$82&gt;$Q$27,"",INDEX('Point Data'!$J$2:$J$225,MATCH(1,($AL95='Point Data'!$AP$2:$AP$225)*(AS$82='Point Data'!$D$2:$D$225),0)))</f>
        <v>90.17</v>
      </c>
      <c r="AT95" s="6">
        <f t="array" aca="1" ref="AT95" ca="1">IF(AT$82&gt;$Q$27,"",INDEX('Point Data'!$J$2:$J$225,MATCH(1,($AL95='Point Data'!$AP$2:$AP$225)*(AT$82='Point Data'!$D$2:$D$225),0)))</f>
        <v>73.22</v>
      </c>
      <c r="AU95" s="6">
        <f t="array" aca="1" ref="AU95" ca="1">IF(AU$82&gt;$Q$27,"",INDEX('Point Data'!$J$2:$J$225,MATCH(1,($AL95='Point Data'!$AP$2:$AP$225)*(AU$82='Point Data'!$D$2:$D$225),0)))</f>
        <v>82.36</v>
      </c>
      <c r="AV95" s="6">
        <f t="array" aca="1" ref="AV95" ca="1">IF(AV$82&gt;$Q$27,"",INDEX('Point Data'!$J$2:$J$225,MATCH(1,($AL95='Point Data'!$AP$2:$AP$225)*(AV$82='Point Data'!$D$2:$D$225),0)))</f>
        <v>73.91</v>
      </c>
      <c r="AW95" s="6">
        <f t="array" aca="1" ref="AW95" ca="1">IF(AW$82&gt;$Q$27,"",INDEX('Point Data'!$J$2:$J$225,MATCH(1,($AL95='Point Data'!$AP$2:$AP$225)*(AW$82='Point Data'!$D$2:$D$225),0)))</f>
        <v>85.8</v>
      </c>
      <c r="AX95" s="6">
        <f t="array" aca="1" ref="AX95" ca="1">IF(AX$82&gt;$Q$27,"",INDEX('Point Data'!$J$2:$J$225,MATCH(1,($AL95='Point Data'!$AP$2:$AP$225)*(AX$82='Point Data'!$D$2:$D$225),0)))</f>
        <v>85.52</v>
      </c>
      <c r="AY95" s="6">
        <f t="array" aca="1" ref="AY95" ca="1">IF(AY$82&gt;$Q$27,"",INDEX('Point Data'!$J$2:$J$225,MATCH(1,($AL95='Point Data'!$AP$2:$AP$225)*(AY$82='Point Data'!$D$2:$D$225),0)))</f>
        <v>84.35</v>
      </c>
      <c r="AZ95" s="6">
        <f t="shared" ca="1" si="7"/>
        <v>98.65</v>
      </c>
      <c r="BA95" s="6">
        <f t="shared" ca="1" si="8"/>
        <v>90.17</v>
      </c>
      <c r="BB95" s="445">
        <f t="shared" ca="1" si="13"/>
        <v>85.358461538461526</v>
      </c>
      <c r="BC95" s="6">
        <f t="shared" ca="1" si="9"/>
        <v>82.36</v>
      </c>
      <c r="BD95" s="6">
        <f t="shared" ca="1" si="10"/>
        <v>73.22</v>
      </c>
      <c r="BE95" s="6">
        <f t="shared" ca="1" si="11"/>
        <v>8.0458900959370201</v>
      </c>
    </row>
    <row r="96" spans="4:57">
      <c r="D96" s="498"/>
      <c r="E96" s="498"/>
      <c r="F96" s="498"/>
      <c r="G96" s="499"/>
      <c r="H96" s="63">
        <f t="array" aca="1" ref="H96" ca="1">INDEX('Point Data'!$Z$2:$Z$225,MATCH(1,($D17='Point Data'!$B$2:$B$225)*($Q$27='Point Data'!$D$2:$D$225),0))</f>
        <v>5</v>
      </c>
      <c r="I96" s="63">
        <f t="shared" ca="1" si="12"/>
        <v>8</v>
      </c>
      <c r="J96" s="63">
        <v>0</v>
      </c>
      <c r="K96" s="499"/>
      <c r="L96" s="499"/>
      <c r="M96" s="499"/>
      <c r="N96" s="499"/>
      <c r="O96" s="499"/>
      <c r="P96" s="499"/>
      <c r="Q96" s="499"/>
      <c r="R96" s="499"/>
      <c r="S96" s="499"/>
      <c r="T96" s="499"/>
      <c r="U96" s="499"/>
      <c r="V96" s="499"/>
      <c r="W96" s="499"/>
      <c r="X96" s="499"/>
      <c r="Y96" s="499"/>
      <c r="Z96" s="499"/>
      <c r="AA96" s="499"/>
      <c r="AB96" s="499"/>
      <c r="AC96" s="499"/>
      <c r="AD96" s="499"/>
      <c r="AL96" s="128">
        <v>14</v>
      </c>
      <c r="AM96" s="6">
        <f t="array" aca="1" ref="AM96" ca="1">IF(AM$82&gt;$Q$27,"",INDEX('Point Data'!$J$2:$J$225,MATCH(1,($AL96='Point Data'!$AP$2:$AP$225)*(AM$82='Point Data'!$D$2:$D$225),0)))</f>
        <v>90.29</v>
      </c>
      <c r="AN96" s="6">
        <f t="array" aca="1" ref="AN96" ca="1">IF(AN$82&gt;$Q$27,"",INDEX('Point Data'!$J$2:$J$225,MATCH(1,($AL96='Point Data'!$AP$2:$AP$225)*(AN$82='Point Data'!$D$2:$D$225),0)))</f>
        <v>94.86</v>
      </c>
      <c r="AO96" s="6">
        <f t="array" aca="1" ref="AO96" ca="1">IF(AO$82&gt;$Q$27,"",INDEX('Point Data'!$J$2:$J$225,MATCH(1,($AL96='Point Data'!$AP$2:$AP$225)*(AO$82='Point Data'!$D$2:$D$225),0)))</f>
        <v>86.82</v>
      </c>
      <c r="AP96" s="6">
        <f t="array" aca="1" ref="AP96" ca="1">IF(AP$82&gt;$Q$27,"",INDEX('Point Data'!$J$2:$J$225,MATCH(1,($AL96='Point Data'!$AP$2:$AP$225)*(AP$82='Point Data'!$D$2:$D$225),0)))</f>
        <v>87.35</v>
      </c>
      <c r="AQ96" s="6">
        <f t="array" aca="1" ref="AQ96" ca="1">IF(AQ$82&gt;$Q$27,"",INDEX('Point Data'!$J$2:$J$225,MATCH(1,($AL96='Point Data'!$AP$2:$AP$225)*(AQ$82='Point Data'!$D$2:$D$225),0)))</f>
        <v>81.97</v>
      </c>
      <c r="AR96" s="6">
        <f t="array" aca="1" ref="AR96" ca="1">IF(AR$82&gt;$Q$27,"",INDEX('Point Data'!$J$2:$J$225,MATCH(1,($AL96='Point Data'!$AP$2:$AP$225)*(AR$82='Point Data'!$D$2:$D$225),0)))</f>
        <v>73.25</v>
      </c>
      <c r="AS96" s="6">
        <f t="array" aca="1" ref="AS96" ca="1">IF(AS$82&gt;$Q$27,"",INDEX('Point Data'!$J$2:$J$225,MATCH(1,($AL96='Point Data'!$AP$2:$AP$225)*(AS$82='Point Data'!$D$2:$D$225),0)))</f>
        <v>75.430000000000007</v>
      </c>
      <c r="AT96" s="6">
        <f t="array" aca="1" ref="AT96" ca="1">IF(AT$82&gt;$Q$27,"",INDEX('Point Data'!$J$2:$J$225,MATCH(1,($AL96='Point Data'!$AP$2:$AP$225)*(AT$82='Point Data'!$D$2:$D$225),0)))</f>
        <v>70.75</v>
      </c>
      <c r="AU96" s="6">
        <f t="array" aca="1" ref="AU96" ca="1">IF(AU$82&gt;$Q$27,"",INDEX('Point Data'!$J$2:$J$225,MATCH(1,($AL96='Point Data'!$AP$2:$AP$225)*(AU$82='Point Data'!$D$2:$D$225),0)))</f>
        <v>76.75</v>
      </c>
      <c r="AV96" s="6">
        <f t="array" aca="1" ref="AV96" ca="1">IF(AV$82&gt;$Q$27,"",INDEX('Point Data'!$J$2:$J$225,MATCH(1,($AL96='Point Data'!$AP$2:$AP$225)*(AV$82='Point Data'!$D$2:$D$225),0)))</f>
        <v>72.900000000000006</v>
      </c>
      <c r="AW96" s="6">
        <f t="array" aca="1" ref="AW96" ca="1">IF(AW$82&gt;$Q$27,"",INDEX('Point Data'!$J$2:$J$225,MATCH(1,($AL96='Point Data'!$AP$2:$AP$225)*(AW$82='Point Data'!$D$2:$D$225),0)))</f>
        <v>83.37</v>
      </c>
      <c r="AX96" s="6">
        <f t="array" aca="1" ref="AX96" ca="1">IF(AX$82&gt;$Q$27,"",INDEX('Point Data'!$J$2:$J$225,MATCH(1,($AL96='Point Data'!$AP$2:$AP$225)*(AX$82='Point Data'!$D$2:$D$225),0)))</f>
        <v>72.25</v>
      </c>
      <c r="AY96" s="6">
        <f t="array" aca="1" ref="AY96" ca="1">IF(AY$82&gt;$Q$27,"",INDEX('Point Data'!$J$2:$J$225,MATCH(1,($AL96='Point Data'!$AP$2:$AP$225)*(AY$82='Point Data'!$D$2:$D$225),0)))</f>
        <v>84.18</v>
      </c>
      <c r="AZ96" s="6">
        <f t="shared" ca="1" si="7"/>
        <v>94.86</v>
      </c>
      <c r="BA96" s="6">
        <f t="shared" ca="1" si="8"/>
        <v>86.82</v>
      </c>
      <c r="BB96" s="445">
        <f t="shared" ca="1" si="13"/>
        <v>80.782307692307697</v>
      </c>
      <c r="BC96" s="6">
        <f t="shared" ca="1" si="9"/>
        <v>73.25</v>
      </c>
      <c r="BD96" s="6">
        <f t="shared" ca="1" si="10"/>
        <v>70.75</v>
      </c>
      <c r="BE96" s="6">
        <f t="shared" ca="1" si="11"/>
        <v>7.7730175970534479</v>
      </c>
    </row>
    <row r="97" spans="4:57">
      <c r="D97" s="498"/>
      <c r="E97" s="498"/>
      <c r="F97" s="498"/>
      <c r="G97" s="499"/>
      <c r="H97" s="49">
        <f t="array" aca="1" ref="H97" ca="1">INDEX('Point Data'!$Z$2:$Z$225,MATCH(1,($D18='Point Data'!$B$2:$B$225)*($Q$27='Point Data'!$D$2:$D$225),0))</f>
        <v>4</v>
      </c>
      <c r="I97" s="49">
        <f t="shared" ca="1" si="12"/>
        <v>9</v>
      </c>
      <c r="J97" s="49">
        <v>0</v>
      </c>
      <c r="K97" s="499"/>
      <c r="L97" s="499"/>
      <c r="M97" s="499"/>
      <c r="N97" s="499"/>
      <c r="O97" s="499"/>
      <c r="P97" s="499"/>
      <c r="Q97" s="499"/>
      <c r="R97" s="499"/>
      <c r="S97" s="499"/>
      <c r="T97" s="499"/>
      <c r="U97" s="499"/>
      <c r="V97" s="499"/>
      <c r="W97" s="499"/>
      <c r="X97" s="499"/>
      <c r="Y97" s="499"/>
      <c r="Z97" s="499"/>
      <c r="AA97" s="499"/>
      <c r="AB97" s="499"/>
      <c r="AC97" s="499"/>
      <c r="AD97" s="499"/>
      <c r="AL97" s="128">
        <v>15</v>
      </c>
      <c r="AM97" s="6">
        <f t="array" aca="1" ref="AM97" ca="1">IF(AM$82&gt;$Q$27,"",INDEX('Point Data'!$J$2:$J$225,MATCH(1,($AL97='Point Data'!$AP$2:$AP$225)*(AM$82='Point Data'!$D$2:$D$225),0)))</f>
        <v>88.33</v>
      </c>
      <c r="AN97" s="6">
        <f t="array" aca="1" ref="AN97" ca="1">IF(AN$82&gt;$Q$27,"",INDEX('Point Data'!$J$2:$J$225,MATCH(1,($AL97='Point Data'!$AP$2:$AP$225)*(AN$82='Point Data'!$D$2:$D$225),0)))</f>
        <v>89.02</v>
      </c>
      <c r="AO97" s="6">
        <f t="array" aca="1" ref="AO97" ca="1">IF(AO$82&gt;$Q$27,"",INDEX('Point Data'!$J$2:$J$225,MATCH(1,($AL97='Point Data'!$AP$2:$AP$225)*(AO$82='Point Data'!$D$2:$D$225),0)))</f>
        <v>84.94</v>
      </c>
      <c r="AP97" s="6">
        <f t="array" aca="1" ref="AP97" ca="1">IF(AP$82&gt;$Q$27,"",INDEX('Point Data'!$J$2:$J$225,MATCH(1,($AL97='Point Data'!$AP$2:$AP$225)*(AP$82='Point Data'!$D$2:$D$225),0)))</f>
        <v>84.76</v>
      </c>
      <c r="AQ97" s="6">
        <f t="array" aca="1" ref="AQ97" ca="1">IF(AQ$82&gt;$Q$27,"",INDEX('Point Data'!$J$2:$J$225,MATCH(1,($AL97='Point Data'!$AP$2:$AP$225)*(AQ$82='Point Data'!$D$2:$D$225),0)))</f>
        <v>66.3</v>
      </c>
      <c r="AR97" s="6">
        <f t="array" aca="1" ref="AR97" ca="1">IF(AR$82&gt;$Q$27,"",INDEX('Point Data'!$J$2:$J$225,MATCH(1,($AL97='Point Data'!$AP$2:$AP$225)*(AR$82='Point Data'!$D$2:$D$225),0)))</f>
        <v>68.94</v>
      </c>
      <c r="AS97" s="6">
        <f t="array" aca="1" ref="AS97" ca="1">IF(AS$82&gt;$Q$27,"",INDEX('Point Data'!$J$2:$J$225,MATCH(1,($AL97='Point Data'!$AP$2:$AP$225)*(AS$82='Point Data'!$D$2:$D$225),0)))</f>
        <v>68.06</v>
      </c>
      <c r="AT97" s="6">
        <f t="array" aca="1" ref="AT97" ca="1">IF(AT$82&gt;$Q$27,"",INDEX('Point Data'!$J$2:$J$225,MATCH(1,($AL97='Point Data'!$AP$2:$AP$225)*(AT$82='Point Data'!$D$2:$D$225),0)))</f>
        <v>67.86</v>
      </c>
      <c r="AU97" s="6">
        <f t="array" aca="1" ref="AU97" ca="1">IF(AU$82&gt;$Q$27,"",INDEX('Point Data'!$J$2:$J$225,MATCH(1,($AL97='Point Data'!$AP$2:$AP$225)*(AU$82='Point Data'!$D$2:$D$225),0)))</f>
        <v>73.540000000000006</v>
      </c>
      <c r="AV97" s="6">
        <f t="array" aca="1" ref="AV97" ca="1">IF(AV$82&gt;$Q$27,"",INDEX('Point Data'!$J$2:$J$225,MATCH(1,($AL97='Point Data'!$AP$2:$AP$225)*(AV$82='Point Data'!$D$2:$D$225),0)))</f>
        <v>71.05</v>
      </c>
      <c r="AW97" s="6">
        <f t="array" aca="1" ref="AW97" ca="1">IF(AW$82&gt;$Q$27,"",INDEX('Point Data'!$J$2:$J$225,MATCH(1,($AL97='Point Data'!$AP$2:$AP$225)*(AW$82='Point Data'!$D$2:$D$225),0)))</f>
        <v>79.53</v>
      </c>
      <c r="AX97" s="6">
        <f t="array" aca="1" ref="AX97" ca="1">IF(AX$82&gt;$Q$27,"",INDEX('Point Data'!$J$2:$J$225,MATCH(1,($AL97='Point Data'!$AP$2:$AP$225)*(AX$82='Point Data'!$D$2:$D$225),0)))</f>
        <v>64.040000000000006</v>
      </c>
      <c r="AY97" s="6">
        <f t="array" aca="1" ref="AY97" ca="1">IF(AY$82&gt;$Q$27,"",INDEX('Point Data'!$J$2:$J$225,MATCH(1,($AL97='Point Data'!$AP$2:$AP$225)*(AY$82='Point Data'!$D$2:$D$225),0)))</f>
        <v>83.64</v>
      </c>
      <c r="AZ97" s="6">
        <f t="shared" ca="1" si="7"/>
        <v>89.02</v>
      </c>
      <c r="BA97" s="6">
        <f t="shared" ca="1" si="8"/>
        <v>84.76</v>
      </c>
      <c r="BB97" s="445">
        <f t="shared" ca="1" si="13"/>
        <v>76.154615384615369</v>
      </c>
      <c r="BC97" s="6">
        <f t="shared" ca="1" si="9"/>
        <v>68.06</v>
      </c>
      <c r="BD97" s="6">
        <f t="shared" ca="1" si="10"/>
        <v>64.040000000000006</v>
      </c>
      <c r="BE97" s="6">
        <f t="shared" ca="1" si="11"/>
        <v>9.1084334688470641</v>
      </c>
    </row>
    <row r="98" spans="4:57">
      <c r="D98" s="462"/>
      <c r="E98" s="462"/>
      <c r="F98" s="462"/>
      <c r="H98" s="63">
        <f t="array" aca="1" ref="H98" ca="1">INDEX('Point Data'!$Z$2:$Z$225,MATCH(1,($D19='Point Data'!$B$2:$B$225)*($Q$27='Point Data'!$D$2:$D$225),0))</f>
        <v>4</v>
      </c>
      <c r="I98" s="63">
        <f t="shared" ca="1" si="12"/>
        <v>9</v>
      </c>
      <c r="J98" s="63">
        <v>0</v>
      </c>
      <c r="L98" s="499"/>
      <c r="M98" s="499"/>
      <c r="N98" s="499"/>
      <c r="O98" s="499"/>
      <c r="P98" s="499"/>
      <c r="Q98" s="499"/>
      <c r="R98" s="499"/>
      <c r="S98" s="499"/>
      <c r="T98" s="499"/>
      <c r="U98" s="499"/>
      <c r="V98" s="499"/>
      <c r="W98" s="499"/>
      <c r="X98" s="499"/>
      <c r="Y98" s="499"/>
      <c r="Z98" s="499"/>
      <c r="AA98" s="499"/>
      <c r="AB98" s="499"/>
      <c r="AC98" s="499"/>
      <c r="AD98" s="499"/>
      <c r="AL98" s="128">
        <v>16</v>
      </c>
      <c r="AM98" s="6">
        <f t="array" aca="1" ref="AM98" ca="1">IF(AM$82&gt;$Q$27,"",INDEX('Point Data'!$J$2:$J$225,MATCH(1,($AL98='Point Data'!$AP$2:$AP$225)*(AM$82='Point Data'!$D$2:$D$225),0)))</f>
        <v>84.93</v>
      </c>
      <c r="AN98" s="6">
        <f t="array" aca="1" ref="AN98" ca="1">IF(AN$82&gt;$Q$27,"",INDEX('Point Data'!$J$2:$J$225,MATCH(1,($AL98='Point Data'!$AP$2:$AP$225)*(AN$82='Point Data'!$D$2:$D$225),0)))</f>
        <v>79.11</v>
      </c>
      <c r="AO98" s="6">
        <f t="array" aca="1" ref="AO98" ca="1">IF(AO$82&gt;$Q$27,"",INDEX('Point Data'!$J$2:$J$225,MATCH(1,($AL98='Point Data'!$AP$2:$AP$225)*(AO$82='Point Data'!$D$2:$D$225),0)))</f>
        <v>75.260000000000005</v>
      </c>
      <c r="AP98" s="6">
        <f t="array" aca="1" ref="AP98" ca="1">IF(AP$82&gt;$Q$27,"",INDEX('Point Data'!$J$2:$J$225,MATCH(1,($AL98='Point Data'!$AP$2:$AP$225)*(AP$82='Point Data'!$D$2:$D$225),0)))</f>
        <v>53.05</v>
      </c>
      <c r="AQ98" s="6">
        <f t="array" aca="1" ref="AQ98" ca="1">IF(AQ$82&gt;$Q$27,"",INDEX('Point Data'!$J$2:$J$225,MATCH(1,($AL98='Point Data'!$AP$2:$AP$225)*(AQ$82='Point Data'!$D$2:$D$225),0)))</f>
        <v>54.24</v>
      </c>
      <c r="AR98" s="6">
        <f t="array" aca="1" ref="AR98" ca="1">IF(AR$82&gt;$Q$27,"",INDEX('Point Data'!$J$2:$J$225,MATCH(1,($AL98='Point Data'!$AP$2:$AP$225)*(AR$82='Point Data'!$D$2:$D$225),0)))</f>
        <v>67.37</v>
      </c>
      <c r="AS98" s="6">
        <f t="array" aca="1" ref="AS98" ca="1">IF(AS$82&gt;$Q$27,"",INDEX('Point Data'!$J$2:$J$225,MATCH(1,($AL98='Point Data'!$AP$2:$AP$225)*(AS$82='Point Data'!$D$2:$D$225),0)))</f>
        <v>66.319999999999993</v>
      </c>
      <c r="AT98" s="6">
        <f t="array" aca="1" ref="AT98" ca="1">IF(AT$82&gt;$Q$27,"",INDEX('Point Data'!$J$2:$J$225,MATCH(1,($AL98='Point Data'!$AP$2:$AP$225)*(AT$82='Point Data'!$D$2:$D$225),0)))</f>
        <v>67.62</v>
      </c>
      <c r="AU98" s="6">
        <f t="array" aca="1" ref="AU98" ca="1">IF(AU$82&gt;$Q$27,"",INDEX('Point Data'!$J$2:$J$225,MATCH(1,($AL98='Point Data'!$AP$2:$AP$225)*(AU$82='Point Data'!$D$2:$D$225),0)))</f>
        <v>56.32</v>
      </c>
      <c r="AV98" s="6">
        <f t="array" aca="1" ref="AV98" ca="1">IF(AV$82&gt;$Q$27,"",INDEX('Point Data'!$J$2:$J$225,MATCH(1,($AL98='Point Data'!$AP$2:$AP$225)*(AV$82='Point Data'!$D$2:$D$225),0)))</f>
        <v>59.04</v>
      </c>
      <c r="AW98" s="6">
        <f t="array" aca="1" ref="AW98" ca="1">IF(AW$82&gt;$Q$27,"",INDEX('Point Data'!$J$2:$J$225,MATCH(1,($AL98='Point Data'!$AP$2:$AP$225)*(AW$82='Point Data'!$D$2:$D$225),0)))</f>
        <v>69.319999999999993</v>
      </c>
      <c r="AX98" s="6">
        <f t="array" aca="1" ref="AX98" ca="1">IF(AX$82&gt;$Q$27,"",INDEX('Point Data'!$J$2:$J$225,MATCH(1,($AL98='Point Data'!$AP$2:$AP$225)*(AX$82='Point Data'!$D$2:$D$225),0)))</f>
        <v>51.3</v>
      </c>
      <c r="AY98" s="6">
        <f t="array" aca="1" ref="AY98" ca="1">IF(AY$82&gt;$Q$27,"",INDEX('Point Data'!$J$2:$J$225,MATCH(1,($AL98='Point Data'!$AP$2:$AP$225)*(AY$82='Point Data'!$D$2:$D$225),0)))</f>
        <v>72.98</v>
      </c>
      <c r="AZ98" s="6">
        <f t="shared" ca="1" si="7"/>
        <v>84.93</v>
      </c>
      <c r="BA98" s="6">
        <f t="shared" ca="1" si="8"/>
        <v>72.98</v>
      </c>
      <c r="BB98" s="445">
        <f t="shared" ca="1" si="13"/>
        <v>65.912307692307706</v>
      </c>
      <c r="BC98" s="6">
        <f t="shared" ca="1" si="9"/>
        <v>56.32</v>
      </c>
      <c r="BD98" s="6">
        <f t="shared" ca="1" si="10"/>
        <v>51.3</v>
      </c>
      <c r="BE98" s="6">
        <f t="shared" ca="1" si="11"/>
        <v>10.584758030493704</v>
      </c>
    </row>
    <row r="99" spans="4:57" ht="16" thickBot="1">
      <c r="D99" s="462"/>
      <c r="E99" s="462"/>
      <c r="F99" s="462"/>
      <c r="H99" s="29">
        <f t="array" aca="1" ref="H99" ca="1">INDEX('Point Data'!$Z$2:$Z$225,MATCH(1,($D20='Point Data'!$B$2:$B$225)*($Q$27='Point Data'!$D$2:$D$225),0))</f>
        <v>4</v>
      </c>
      <c r="I99" s="29">
        <f t="shared" ca="1" si="12"/>
        <v>9</v>
      </c>
      <c r="J99" s="29">
        <v>0</v>
      </c>
      <c r="L99" s="499"/>
      <c r="M99" s="499"/>
      <c r="N99" s="499"/>
      <c r="O99" s="499"/>
      <c r="P99" s="499"/>
      <c r="Q99" s="499"/>
      <c r="R99" s="499"/>
      <c r="S99" s="499"/>
      <c r="T99" s="499"/>
      <c r="U99" s="499"/>
      <c r="V99" s="499"/>
      <c r="W99" s="499"/>
      <c r="X99" s="499"/>
      <c r="Y99" s="499"/>
      <c r="Z99" s="499"/>
      <c r="AA99" s="499"/>
      <c r="AB99" s="499"/>
      <c r="AC99" s="499"/>
      <c r="AD99" s="499"/>
      <c r="AZ99" s="2"/>
      <c r="BC99" s="127"/>
    </row>
    <row r="100" spans="4:57">
      <c r="L100" s="499"/>
      <c r="M100" s="499"/>
      <c r="N100" s="499"/>
      <c r="O100" s="499"/>
      <c r="P100" s="499"/>
      <c r="Q100" s="499"/>
      <c r="R100" s="499"/>
      <c r="S100" s="499"/>
      <c r="T100" s="499"/>
      <c r="U100" s="499"/>
      <c r="V100" s="499"/>
      <c r="W100" s="499"/>
      <c r="X100" s="499"/>
      <c r="Y100" s="499"/>
      <c r="Z100" s="499"/>
      <c r="AA100" s="499"/>
      <c r="AB100" s="499"/>
      <c r="AC100" s="499"/>
      <c r="AD100" s="499"/>
      <c r="AL100" s="129" t="s">
        <v>77</v>
      </c>
      <c r="AM100" s="129">
        <v>1</v>
      </c>
      <c r="AN100" s="129">
        <v>2</v>
      </c>
      <c r="AO100" s="129">
        <v>3</v>
      </c>
      <c r="AP100" s="129">
        <v>4</v>
      </c>
      <c r="AQ100" s="129">
        <v>5</v>
      </c>
      <c r="AR100" s="129">
        <v>6</v>
      </c>
      <c r="AS100" s="129">
        <v>7</v>
      </c>
      <c r="AT100" s="129">
        <v>8</v>
      </c>
      <c r="AU100" s="129">
        <v>9</v>
      </c>
      <c r="AV100" s="129">
        <v>10</v>
      </c>
      <c r="AW100" s="129">
        <v>11</v>
      </c>
      <c r="AX100" s="129">
        <v>12</v>
      </c>
      <c r="AY100" s="129">
        <v>13</v>
      </c>
      <c r="AZ100" s="129" t="s">
        <v>55</v>
      </c>
      <c r="BA100" s="129" t="s">
        <v>75</v>
      </c>
      <c r="BB100" s="129" t="s">
        <v>72</v>
      </c>
      <c r="BC100" s="129" t="s">
        <v>76</v>
      </c>
      <c r="BD100" s="129" t="s">
        <v>73</v>
      </c>
      <c r="BE100" s="129" t="s">
        <v>74</v>
      </c>
    </row>
    <row r="101" spans="4:57">
      <c r="AL101" s="209" t="str">
        <f>'Point Data'!$B$2</f>
        <v>Team 1</v>
      </c>
      <c r="AM101" s="75">
        <f t="array" aca="1" ref="AM101" ca="1">IF(AM$100&gt;$Q$27,"",INDEX('Point Data'!$AP$2:$AP$225,MATCH(1,($AL101='Point Data'!$B$2:$B$225)*(AM$100='Point Data'!$D$2:$D$225),0)))</f>
        <v>7</v>
      </c>
      <c r="AN101" s="75">
        <f t="array" aca="1" ref="AN101" ca="1">IF(AN$100&gt;$Q$27,"",INDEX('Point Data'!$AP$2:$AP$225,MATCH(1,($AL101='Point Data'!$B$2:$B$225)*(AN$100='Point Data'!$D$2:$D$225),0)))</f>
        <v>14</v>
      </c>
      <c r="AO101" s="75">
        <f t="array" aca="1" ref="AO101" ca="1">IF(AO$100&gt;$Q$27,"",INDEX('Point Data'!$AP$2:$AP$225,MATCH(1,($AL101='Point Data'!$B$2:$B$225)*(AO$100='Point Data'!$D$2:$D$225),0)))</f>
        <v>7</v>
      </c>
      <c r="AP101" s="75">
        <f t="array" aca="1" ref="AP101" ca="1">IF(AP$100&gt;$Q$27,"",INDEX('Point Data'!$AP$2:$AP$225,MATCH(1,($AL101='Point Data'!$B$2:$B$225)*(AP$100='Point Data'!$D$2:$D$225),0)))</f>
        <v>11</v>
      </c>
      <c r="AQ101" s="75">
        <f t="array" aca="1" ref="AQ101" ca="1">IF(AQ$100&gt;$Q$27,"",INDEX('Point Data'!$AP$2:$AP$225,MATCH(1,($AL101='Point Data'!$B$2:$B$225)*(AQ$100='Point Data'!$D$2:$D$225),0)))</f>
        <v>15</v>
      </c>
      <c r="AR101" s="75">
        <f t="array" aca="1" ref="AR101" ca="1">IF(AR$100&gt;$Q$27,"",INDEX('Point Data'!$AP$2:$AP$225,MATCH(1,($AL101='Point Data'!$B$2:$B$225)*(AR$100='Point Data'!$D$2:$D$225),0)))</f>
        <v>13</v>
      </c>
      <c r="AS101" s="75">
        <f t="array" aca="1" ref="AS101" ca="1">IF(AS$100&gt;$Q$27,"",INDEX('Point Data'!$AP$2:$AP$225,MATCH(1,($AL101='Point Data'!$B$2:$B$225)*(AS$100='Point Data'!$D$2:$D$225),0)))</f>
        <v>9</v>
      </c>
      <c r="AT101" s="75">
        <f t="array" aca="1" ref="AT101" ca="1">IF(AT$100&gt;$Q$27,"",INDEX('Point Data'!$AP$2:$AP$225,MATCH(1,($AL101='Point Data'!$B$2:$B$225)*(AT$100='Point Data'!$D$2:$D$225),0)))</f>
        <v>15</v>
      </c>
      <c r="AU101" s="75">
        <f t="array" aca="1" ref="AU101" ca="1">IF(AU$100&gt;$Q$27,"",INDEX('Point Data'!$AP$2:$AP$225,MATCH(1,($AL101='Point Data'!$B$2:$B$225)*(AU$100='Point Data'!$D$2:$D$225),0)))</f>
        <v>14</v>
      </c>
      <c r="AV101" s="75">
        <f t="array" aca="1" ref="AV101" ca="1">IF(AV$100&gt;$Q$27,"",INDEX('Point Data'!$AP$2:$AP$225,MATCH(1,($AL101='Point Data'!$B$2:$B$225)*(AV$100='Point Data'!$D$2:$D$225),0)))</f>
        <v>13</v>
      </c>
      <c r="AW101" s="75">
        <f t="array" aca="1" ref="AW101" ca="1">IF(AW$100&gt;$Q$27,"",INDEX('Point Data'!$AP$2:$AP$225,MATCH(1,($AL101='Point Data'!$B$2:$B$225)*(AW$100='Point Data'!$D$2:$D$225),0)))</f>
        <v>8</v>
      </c>
      <c r="AX101" s="75">
        <f t="array" aca="1" ref="AX101" ca="1">IF(AX$100&gt;$Q$27,"",INDEX('Point Data'!$AP$2:$AP$225,MATCH(1,($AL101='Point Data'!$B$2:$B$225)*(AX$100='Point Data'!$D$2:$D$225),0)))</f>
        <v>8</v>
      </c>
      <c r="AY101" s="6">
        <f t="array" aca="1" ref="AY101" ca="1">IF(AY$100&gt;$Q$27,"",INDEX('Point Data'!$AP$2:$AP$225,MATCH(1,($AL101='Point Data'!$B$2:$B$225)*(AY$100='Point Data'!$D$2:$D$225),0)))</f>
        <v>9</v>
      </c>
      <c r="AZ101" s="75">
        <f t="shared" ref="AZ101:AZ116" ca="1" si="14">MAX($AM101:$AY101)</f>
        <v>15</v>
      </c>
      <c r="BA101" s="6">
        <f t="shared" ref="BA101:BA116" ca="1" si="15">_xlfn.QUARTILE.INC($AM101:$AY101,3)</f>
        <v>14</v>
      </c>
      <c r="BB101" s="6">
        <f t="shared" ref="BB101:BB116" ca="1" si="16">AVERAGE($AM101:$AY101)</f>
        <v>11</v>
      </c>
      <c r="BC101" s="6">
        <f t="shared" ref="BC101:BC116" ca="1" si="17">_xlfn.QUARTILE.INC($AM101:$AY101,1)</f>
        <v>8</v>
      </c>
      <c r="BD101" s="75">
        <f t="shared" ref="BD101:BD116" ca="1" si="18">MIN($AM101:$AY101)</f>
        <v>7</v>
      </c>
      <c r="BE101" s="6">
        <f t="shared" ref="BE101:BE116" ca="1" si="19">_xlfn.STDEV.S($AM101:$AY101)</f>
        <v>3.1091263510296048</v>
      </c>
    </row>
    <row r="102" spans="4:57">
      <c r="D102" s="499"/>
      <c r="E102" s="499"/>
      <c r="F102" s="499"/>
      <c r="G102" s="499"/>
      <c r="H102" s="499"/>
      <c r="I102" s="499"/>
      <c r="J102" s="499"/>
      <c r="K102" s="499"/>
      <c r="L102" s="499"/>
      <c r="M102" s="499"/>
      <c r="N102" s="499"/>
      <c r="O102" s="499"/>
      <c r="P102" s="499"/>
      <c r="Q102" s="499"/>
      <c r="R102" s="499"/>
      <c r="S102" s="499"/>
      <c r="T102" s="499"/>
      <c r="U102" s="499"/>
      <c r="V102" s="499"/>
      <c r="W102" s="499"/>
      <c r="X102" s="499"/>
      <c r="AL102" s="209" t="str">
        <f>'Point Data'!$B$16</f>
        <v>Team 2</v>
      </c>
      <c r="AM102" s="75">
        <f t="array" aca="1" ref="AM102" ca="1">IF(AM$100&gt;$Q$27,"",INDEX('Point Data'!$AP$2:$AP$225,MATCH(1,($AL102='Point Data'!$B$2:$B$225)*(AM$100='Point Data'!$D$2:$D$225),0)))</f>
        <v>10</v>
      </c>
      <c r="AN102" s="75">
        <f t="array" aca="1" ref="AN102" ca="1">IF(AN$100&gt;$Q$27,"",INDEX('Point Data'!$AP$2:$AP$225,MATCH(1,($AL102='Point Data'!$B$2:$B$225)*(AN$100='Point Data'!$D$2:$D$225),0)))</f>
        <v>6</v>
      </c>
      <c r="AO102" s="75">
        <f t="array" aca="1" ref="AO102" ca="1">IF(AO$100&gt;$Q$27,"",INDEX('Point Data'!$AP$2:$AP$225,MATCH(1,($AL102='Point Data'!$B$2:$B$225)*(AO$100='Point Data'!$D$2:$D$225),0)))</f>
        <v>14</v>
      </c>
      <c r="AP102" s="75">
        <f t="array" aca="1" ref="AP102" ca="1">IF(AP$100&gt;$Q$27,"",INDEX('Point Data'!$AP$2:$AP$225,MATCH(1,($AL102='Point Data'!$B$2:$B$225)*(AP$100='Point Data'!$D$2:$D$225),0)))</f>
        <v>3</v>
      </c>
      <c r="AQ102" s="75">
        <f t="array" aca="1" ref="AQ102" ca="1">IF(AQ$100&gt;$Q$27,"",INDEX('Point Data'!$AP$2:$AP$225,MATCH(1,($AL102='Point Data'!$B$2:$B$225)*(AQ$100='Point Data'!$D$2:$D$225),0)))</f>
        <v>1</v>
      </c>
      <c r="AR102" s="75">
        <f t="array" aca="1" ref="AR102" ca="1">IF(AR$100&gt;$Q$27,"",INDEX('Point Data'!$AP$2:$AP$225,MATCH(1,($AL102='Point Data'!$B$2:$B$225)*(AR$100='Point Data'!$D$2:$D$225),0)))</f>
        <v>9</v>
      </c>
      <c r="AS102" s="75">
        <f t="array" aca="1" ref="AS102" ca="1">IF(AS$100&gt;$Q$27,"",INDEX('Point Data'!$AP$2:$AP$225,MATCH(1,($AL102='Point Data'!$B$2:$B$225)*(AS$100='Point Data'!$D$2:$D$225),0)))</f>
        <v>12</v>
      </c>
      <c r="AT102" s="75">
        <f t="array" aca="1" ref="AT102" ca="1">IF(AT$100&gt;$Q$27,"",INDEX('Point Data'!$AP$2:$AP$225,MATCH(1,($AL102='Point Data'!$B$2:$B$225)*(AT$100='Point Data'!$D$2:$D$225),0)))</f>
        <v>9</v>
      </c>
      <c r="AU102" s="75">
        <f t="array" aca="1" ref="AU102" ca="1">IF(AU$100&gt;$Q$27,"",INDEX('Point Data'!$AP$2:$AP$225,MATCH(1,($AL102='Point Data'!$B$2:$B$225)*(AU$100='Point Data'!$D$2:$D$225),0)))</f>
        <v>6</v>
      </c>
      <c r="AV102" s="75">
        <f t="array" aca="1" ref="AV102" ca="1">IF(AV$100&gt;$Q$27,"",INDEX('Point Data'!$AP$2:$AP$225,MATCH(1,($AL102='Point Data'!$B$2:$B$225)*(AV$100='Point Data'!$D$2:$D$225),0)))</f>
        <v>14</v>
      </c>
      <c r="AW102" s="75">
        <f t="array" aca="1" ref="AW102" ca="1">IF(AW$100&gt;$Q$27,"",INDEX('Point Data'!$AP$2:$AP$225,MATCH(1,($AL102='Point Data'!$B$2:$B$225)*(AW$100='Point Data'!$D$2:$D$225),0)))</f>
        <v>10</v>
      </c>
      <c r="AX102" s="75">
        <f t="array" aca="1" ref="AX102" ca="1">IF(AX$100&gt;$Q$27,"",INDEX('Point Data'!$AP$2:$AP$225,MATCH(1,($AL102='Point Data'!$B$2:$B$225)*(AX$100='Point Data'!$D$2:$D$225),0)))</f>
        <v>10</v>
      </c>
      <c r="AY102" s="6">
        <f t="array" aca="1" ref="AY102" ca="1">IF(AY$100&gt;$Q$27,"",INDEX('Point Data'!$AP$2:$AP$225,MATCH(1,($AL102='Point Data'!$B$2:$B$225)*(AY$100='Point Data'!$D$2:$D$225),0)))</f>
        <v>11</v>
      </c>
      <c r="AZ102" s="75">
        <f t="shared" ca="1" si="14"/>
        <v>14</v>
      </c>
      <c r="BA102" s="6">
        <f t="shared" ca="1" si="15"/>
        <v>11</v>
      </c>
      <c r="BB102" s="6">
        <f t="shared" ca="1" si="16"/>
        <v>8.8461538461538467</v>
      </c>
      <c r="BC102" s="6">
        <f t="shared" ca="1" si="17"/>
        <v>6</v>
      </c>
      <c r="BD102" s="75">
        <f t="shared" ca="1" si="18"/>
        <v>1</v>
      </c>
      <c r="BE102" s="6">
        <f t="shared" ca="1" si="19"/>
        <v>3.9125046080090833</v>
      </c>
    </row>
    <row r="103" spans="4:57">
      <c r="D103" s="499"/>
      <c r="E103" s="499"/>
      <c r="F103" s="499"/>
      <c r="G103" s="499"/>
      <c r="H103" s="499"/>
      <c r="I103" s="499"/>
      <c r="J103" s="499"/>
      <c r="K103" s="498"/>
      <c r="L103" s="498"/>
      <c r="M103" s="498"/>
      <c r="N103" s="498"/>
      <c r="O103" s="498"/>
      <c r="P103" s="498"/>
      <c r="Q103" s="498"/>
      <c r="R103" s="498"/>
      <c r="S103" s="498"/>
      <c r="T103" s="498"/>
      <c r="U103" s="498"/>
      <c r="V103" s="498"/>
      <c r="W103" s="498"/>
      <c r="X103" s="498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L103" s="209" t="str">
        <f>'Point Data'!$B$30</f>
        <v>Team 3</v>
      </c>
      <c r="AM103" s="75">
        <f t="array" aca="1" ref="AM103" ca="1">IF(AM$100&gt;$Q$27,"",INDEX('Point Data'!$AP$2:$AP$225,MATCH(1,($AL103='Point Data'!$B$2:$B$225)*(AM$100='Point Data'!$D$2:$D$225),0)))</f>
        <v>8</v>
      </c>
      <c r="AN103" s="75">
        <f t="array" aca="1" ref="AN103" ca="1">IF(AN$100&gt;$Q$27,"",INDEX('Point Data'!$AP$2:$AP$225,MATCH(1,($AL103='Point Data'!$B$2:$B$225)*(AN$100='Point Data'!$D$2:$D$225),0)))</f>
        <v>9</v>
      </c>
      <c r="AO103" s="75">
        <f t="array" aca="1" ref="AO103" ca="1">IF(AO$100&gt;$Q$27,"",INDEX('Point Data'!$AP$2:$AP$225,MATCH(1,($AL103='Point Data'!$B$2:$B$225)*(AO$100='Point Data'!$D$2:$D$225),0)))</f>
        <v>16</v>
      </c>
      <c r="AP103" s="75">
        <f t="array" aca="1" ref="AP103" ca="1">IF(AP$100&gt;$Q$27,"",INDEX('Point Data'!$AP$2:$AP$225,MATCH(1,($AL103='Point Data'!$B$2:$B$225)*(AP$100='Point Data'!$D$2:$D$225),0)))</f>
        <v>13</v>
      </c>
      <c r="AQ103" s="75">
        <f t="array" aca="1" ref="AQ103" ca="1">IF(AQ$100&gt;$Q$27,"",INDEX('Point Data'!$AP$2:$AP$225,MATCH(1,($AL103='Point Data'!$B$2:$B$225)*(AQ$100='Point Data'!$D$2:$D$225),0)))</f>
        <v>5</v>
      </c>
      <c r="AR103" s="75">
        <f t="array" aca="1" ref="AR103" ca="1">IF(AR$100&gt;$Q$27,"",INDEX('Point Data'!$AP$2:$AP$225,MATCH(1,($AL103='Point Data'!$B$2:$B$225)*(AR$100='Point Data'!$D$2:$D$225),0)))</f>
        <v>16</v>
      </c>
      <c r="AS103" s="75">
        <f t="array" aca="1" ref="AS103" ca="1">IF(AS$100&gt;$Q$27,"",INDEX('Point Data'!$AP$2:$AP$225,MATCH(1,($AL103='Point Data'!$B$2:$B$225)*(AS$100='Point Data'!$D$2:$D$225),0)))</f>
        <v>4</v>
      </c>
      <c r="AT103" s="75">
        <f t="array" aca="1" ref="AT103" ca="1">IF(AT$100&gt;$Q$27,"",INDEX('Point Data'!$AP$2:$AP$225,MATCH(1,($AL103='Point Data'!$B$2:$B$225)*(AT$100='Point Data'!$D$2:$D$225),0)))</f>
        <v>12</v>
      </c>
      <c r="AU103" s="75">
        <f t="array" aca="1" ref="AU103" ca="1">IF(AU$100&gt;$Q$27,"",INDEX('Point Data'!$AP$2:$AP$225,MATCH(1,($AL103='Point Data'!$B$2:$B$225)*(AU$100='Point Data'!$D$2:$D$225),0)))</f>
        <v>11</v>
      </c>
      <c r="AV103" s="75">
        <f t="array" aca="1" ref="AV103" ca="1">IF(AV$100&gt;$Q$27,"",INDEX('Point Data'!$AP$2:$AP$225,MATCH(1,($AL103='Point Data'!$B$2:$B$225)*(AV$100='Point Data'!$D$2:$D$225),0)))</f>
        <v>15</v>
      </c>
      <c r="AW103" s="75">
        <f t="array" aca="1" ref="AW103" ca="1">IF(AW$100&gt;$Q$27,"",INDEX('Point Data'!$AP$2:$AP$225,MATCH(1,($AL103='Point Data'!$B$2:$B$225)*(AW$100='Point Data'!$D$2:$D$225),0)))</f>
        <v>6</v>
      </c>
      <c r="AX103" s="75">
        <f t="array" aca="1" ref="AX103" ca="1">IF(AX$100&gt;$Q$27,"",INDEX('Point Data'!$AP$2:$AP$225,MATCH(1,($AL103='Point Data'!$B$2:$B$225)*(AX$100='Point Data'!$D$2:$D$225),0)))</f>
        <v>12</v>
      </c>
      <c r="AY103" s="6">
        <f t="array" aca="1" ref="AY103" ca="1">IF(AY$100&gt;$Q$27,"",INDEX('Point Data'!$AP$2:$AP$225,MATCH(1,($AL103='Point Data'!$B$2:$B$225)*(AY$100='Point Data'!$D$2:$D$225),0)))</f>
        <v>5</v>
      </c>
      <c r="AZ103" s="75">
        <f t="shared" ca="1" si="14"/>
        <v>16</v>
      </c>
      <c r="BA103" s="6">
        <f t="shared" ca="1" si="15"/>
        <v>13</v>
      </c>
      <c r="BB103" s="6">
        <f t="shared" ca="1" si="16"/>
        <v>10.153846153846153</v>
      </c>
      <c r="BC103" s="6">
        <f t="shared" ca="1" si="17"/>
        <v>6</v>
      </c>
      <c r="BD103" s="75">
        <f t="shared" ca="1" si="18"/>
        <v>4</v>
      </c>
      <c r="BE103" s="6">
        <f t="shared" ca="1" si="19"/>
        <v>4.2981808913026178</v>
      </c>
    </row>
    <row r="104" spans="4:57">
      <c r="D104" s="499"/>
      <c r="E104" s="499"/>
      <c r="F104" s="499"/>
      <c r="G104" s="499"/>
      <c r="H104" s="499"/>
      <c r="I104" s="499"/>
      <c r="J104" s="499"/>
      <c r="K104" s="498"/>
      <c r="L104" s="498"/>
      <c r="M104" s="498"/>
      <c r="N104" s="498"/>
      <c r="O104" s="498"/>
      <c r="P104" s="498"/>
      <c r="Q104" s="498"/>
      <c r="R104" s="498"/>
      <c r="S104" s="498"/>
      <c r="T104" s="498"/>
      <c r="U104" s="498"/>
      <c r="V104" s="498"/>
      <c r="W104" s="498"/>
      <c r="X104" s="498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L104" s="209" t="str">
        <f>'Point Data'!$B$44</f>
        <v>Team 4</v>
      </c>
      <c r="AM104" s="75">
        <f t="array" aca="1" ref="AM104" ca="1">IF(AM$100&gt;$Q$27,"",INDEX('Point Data'!$AP$2:$AP$225,MATCH(1,($AL104='Point Data'!$B$2:$B$225)*(AM$100='Point Data'!$D$2:$D$225),0)))</f>
        <v>15</v>
      </c>
      <c r="AN104" s="75">
        <f t="array" aca="1" ref="AN104" ca="1">IF(AN$100&gt;$Q$27,"",INDEX('Point Data'!$AP$2:$AP$225,MATCH(1,($AL104='Point Data'!$B$2:$B$225)*(AN$100='Point Data'!$D$2:$D$225),0)))</f>
        <v>15</v>
      </c>
      <c r="AO104" s="75">
        <f t="array" aca="1" ref="AO104" ca="1">IF(AO$100&gt;$Q$27,"",INDEX('Point Data'!$AP$2:$AP$225,MATCH(1,($AL104='Point Data'!$B$2:$B$225)*(AO$100='Point Data'!$D$2:$D$225),0)))</f>
        <v>5</v>
      </c>
      <c r="AP104" s="75">
        <f t="array" aca="1" ref="AP104" ca="1">IF(AP$100&gt;$Q$27,"",INDEX('Point Data'!$AP$2:$AP$225,MATCH(1,($AL104='Point Data'!$B$2:$B$225)*(AP$100='Point Data'!$D$2:$D$225),0)))</f>
        <v>15</v>
      </c>
      <c r="AQ104" s="75">
        <f t="array" aca="1" ref="AQ104" ca="1">IF(AQ$100&gt;$Q$27,"",INDEX('Point Data'!$AP$2:$AP$225,MATCH(1,($AL104='Point Data'!$B$2:$B$225)*(AQ$100='Point Data'!$D$2:$D$225),0)))</f>
        <v>11</v>
      </c>
      <c r="AR104" s="75">
        <f t="array" aca="1" ref="AR104" ca="1">IF(AR$100&gt;$Q$27,"",INDEX('Point Data'!$AP$2:$AP$225,MATCH(1,($AL104='Point Data'!$B$2:$B$225)*(AR$100='Point Data'!$D$2:$D$225),0)))</f>
        <v>1</v>
      </c>
      <c r="AS104" s="75">
        <f t="array" aca="1" ref="AS104" ca="1">IF(AS$100&gt;$Q$27,"",INDEX('Point Data'!$AP$2:$AP$225,MATCH(1,($AL104='Point Data'!$B$2:$B$225)*(AS$100='Point Data'!$D$2:$D$225),0)))</f>
        <v>3</v>
      </c>
      <c r="AT104" s="75">
        <f t="array" aca="1" ref="AT104" ca="1">IF(AT$100&gt;$Q$27,"",INDEX('Point Data'!$AP$2:$AP$225,MATCH(1,($AL104='Point Data'!$B$2:$B$225)*(AT$100='Point Data'!$D$2:$D$225),0)))</f>
        <v>6</v>
      </c>
      <c r="AU104" s="75">
        <f t="array" aca="1" ref="AU104" ca="1">IF(AU$100&gt;$Q$27,"",INDEX('Point Data'!$AP$2:$AP$225,MATCH(1,($AL104='Point Data'!$B$2:$B$225)*(AU$100='Point Data'!$D$2:$D$225),0)))</f>
        <v>16</v>
      </c>
      <c r="AV104" s="75">
        <f t="array" aca="1" ref="AV104" ca="1">IF(AV$100&gt;$Q$27,"",INDEX('Point Data'!$AP$2:$AP$225,MATCH(1,($AL104='Point Data'!$B$2:$B$225)*(AV$100='Point Data'!$D$2:$D$225),0)))</f>
        <v>7</v>
      </c>
      <c r="AW104" s="75">
        <f t="array" aca="1" ref="AW104" ca="1">IF(AW$100&gt;$Q$27,"",INDEX('Point Data'!$AP$2:$AP$225,MATCH(1,($AL104='Point Data'!$B$2:$B$225)*(AW$100='Point Data'!$D$2:$D$225),0)))</f>
        <v>11</v>
      </c>
      <c r="AX104" s="75">
        <f t="array" aca="1" ref="AX104" ca="1">IF(AX$100&gt;$Q$27,"",INDEX('Point Data'!$AP$2:$AP$225,MATCH(1,($AL104='Point Data'!$B$2:$B$225)*(AX$100='Point Data'!$D$2:$D$225),0)))</f>
        <v>3</v>
      </c>
      <c r="AY104" s="6">
        <f t="array" aca="1" ref="AY104" ca="1">IF(AY$100&gt;$Q$27,"",INDEX('Point Data'!$AP$2:$AP$225,MATCH(1,($AL104='Point Data'!$B$2:$B$225)*(AY$100='Point Data'!$D$2:$D$225),0)))</f>
        <v>6</v>
      </c>
      <c r="AZ104" s="75">
        <f t="shared" ca="1" si="14"/>
        <v>16</v>
      </c>
      <c r="BA104" s="6">
        <f t="shared" ca="1" si="15"/>
        <v>15</v>
      </c>
      <c r="BB104" s="6">
        <f t="shared" ca="1" si="16"/>
        <v>8.7692307692307701</v>
      </c>
      <c r="BC104" s="6">
        <f t="shared" ca="1" si="17"/>
        <v>5</v>
      </c>
      <c r="BD104" s="75">
        <f t="shared" ca="1" si="18"/>
        <v>1</v>
      </c>
      <c r="BE104" s="6">
        <f t="shared" ca="1" si="19"/>
        <v>5.3096428968724148</v>
      </c>
    </row>
    <row r="105" spans="4:57">
      <c r="D105" s="499"/>
      <c r="E105" s="499"/>
      <c r="F105" s="499"/>
      <c r="G105" s="499"/>
      <c r="H105" s="499"/>
      <c r="I105" s="499"/>
      <c r="J105" s="499"/>
      <c r="K105" s="498"/>
      <c r="L105" s="498"/>
      <c r="M105" s="498"/>
      <c r="N105" s="498"/>
      <c r="O105" s="498"/>
      <c r="P105" s="498"/>
      <c r="Q105" s="498"/>
      <c r="R105" s="498"/>
      <c r="S105" s="498"/>
      <c r="T105" s="498"/>
      <c r="U105" s="498"/>
      <c r="V105" s="498"/>
      <c r="W105" s="498"/>
      <c r="X105" s="498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L105" s="209" t="str">
        <f>'Point Data'!$B$58</f>
        <v>Team 5</v>
      </c>
      <c r="AM105" s="75">
        <f t="array" aca="1" ref="AM105" ca="1">IF(AM$100&gt;$Q$27,"",INDEX('Point Data'!$AP$2:$AP$225,MATCH(1,($AL105='Point Data'!$B$2:$B$225)*(AM$100='Point Data'!$D$2:$D$225),0)))</f>
        <v>12</v>
      </c>
      <c r="AN105" s="75">
        <f t="array" aca="1" ref="AN105" ca="1">IF(AN$100&gt;$Q$27,"",INDEX('Point Data'!$AP$2:$AP$225,MATCH(1,($AL105='Point Data'!$B$2:$B$225)*(AN$100='Point Data'!$D$2:$D$225),0)))</f>
        <v>13</v>
      </c>
      <c r="AO105" s="75">
        <f t="array" aca="1" ref="AO105" ca="1">IF(AO$100&gt;$Q$27,"",INDEX('Point Data'!$AP$2:$AP$225,MATCH(1,($AL105='Point Data'!$B$2:$B$225)*(AO$100='Point Data'!$D$2:$D$225),0)))</f>
        <v>1</v>
      </c>
      <c r="AP105" s="75">
        <f t="array" aca="1" ref="AP105" ca="1">IF(AP$100&gt;$Q$27,"",INDEX('Point Data'!$AP$2:$AP$225,MATCH(1,($AL105='Point Data'!$B$2:$B$225)*(AP$100='Point Data'!$D$2:$D$225),0)))</f>
        <v>5</v>
      </c>
      <c r="AQ105" s="75">
        <f t="array" aca="1" ref="AQ105" ca="1">IF(AQ$100&gt;$Q$27,"",INDEX('Point Data'!$AP$2:$AP$225,MATCH(1,($AL105='Point Data'!$B$2:$B$225)*(AQ$100='Point Data'!$D$2:$D$225),0)))</f>
        <v>7</v>
      </c>
      <c r="AR105" s="75">
        <f t="array" aca="1" ref="AR105" ca="1">IF(AR$100&gt;$Q$27,"",INDEX('Point Data'!$AP$2:$AP$225,MATCH(1,($AL105='Point Data'!$B$2:$B$225)*(AR$100='Point Data'!$D$2:$D$225),0)))</f>
        <v>10</v>
      </c>
      <c r="AS105" s="75">
        <f t="array" aca="1" ref="AS105" ca="1">IF(AS$100&gt;$Q$27,"",INDEX('Point Data'!$AP$2:$AP$225,MATCH(1,($AL105='Point Data'!$B$2:$B$225)*(AS$100='Point Data'!$D$2:$D$225),0)))</f>
        <v>1</v>
      </c>
      <c r="AT105" s="75">
        <f t="array" aca="1" ref="AT105" ca="1">IF(AT$100&gt;$Q$27,"",INDEX('Point Data'!$AP$2:$AP$225,MATCH(1,($AL105='Point Data'!$B$2:$B$225)*(AT$100='Point Data'!$D$2:$D$225),0)))</f>
        <v>3</v>
      </c>
      <c r="AU105" s="75">
        <f t="array" aca="1" ref="AU105" ca="1">IF(AU$100&gt;$Q$27,"",INDEX('Point Data'!$AP$2:$AP$225,MATCH(1,($AL105='Point Data'!$B$2:$B$225)*(AU$100='Point Data'!$D$2:$D$225),0)))</f>
        <v>1</v>
      </c>
      <c r="AV105" s="75">
        <f t="array" aca="1" ref="AV105" ca="1">IF(AV$100&gt;$Q$27,"",INDEX('Point Data'!$AP$2:$AP$225,MATCH(1,($AL105='Point Data'!$B$2:$B$225)*(AV$100='Point Data'!$D$2:$D$225),0)))</f>
        <v>4</v>
      </c>
      <c r="AW105" s="75">
        <f t="array" aca="1" ref="AW105" ca="1">IF(AW$100&gt;$Q$27,"",INDEX('Point Data'!$AP$2:$AP$225,MATCH(1,($AL105='Point Data'!$B$2:$B$225)*(AW$100='Point Data'!$D$2:$D$225),0)))</f>
        <v>2</v>
      </c>
      <c r="AX105" s="75">
        <f t="array" aca="1" ref="AX105" ca="1">IF(AX$100&gt;$Q$27,"",INDEX('Point Data'!$AP$2:$AP$225,MATCH(1,($AL105='Point Data'!$B$2:$B$225)*(AX$100='Point Data'!$D$2:$D$225),0)))</f>
        <v>11</v>
      </c>
      <c r="AY105" s="6">
        <f t="array" aca="1" ref="AY105" ca="1">IF(AY$100&gt;$Q$27,"",INDEX('Point Data'!$AP$2:$AP$225,MATCH(1,($AL105='Point Data'!$B$2:$B$225)*(AY$100='Point Data'!$D$2:$D$225),0)))</f>
        <v>12</v>
      </c>
      <c r="AZ105" s="75">
        <f t="shared" ca="1" si="14"/>
        <v>13</v>
      </c>
      <c r="BA105" s="6">
        <f t="shared" ca="1" si="15"/>
        <v>11</v>
      </c>
      <c r="BB105" s="6">
        <f t="shared" ca="1" si="16"/>
        <v>6.3076923076923075</v>
      </c>
      <c r="BC105" s="6">
        <f t="shared" ca="1" si="17"/>
        <v>2</v>
      </c>
      <c r="BD105" s="75">
        <f t="shared" ca="1" si="18"/>
        <v>1</v>
      </c>
      <c r="BE105" s="6">
        <f t="shared" ca="1" si="19"/>
        <v>4.7149516679144474</v>
      </c>
    </row>
    <row r="106" spans="4:57">
      <c r="D106" s="499"/>
      <c r="E106" s="499"/>
      <c r="F106" s="499"/>
      <c r="G106" s="499"/>
      <c r="H106" s="499"/>
      <c r="I106" s="499"/>
      <c r="J106" s="499"/>
      <c r="K106" s="498"/>
      <c r="L106" s="498"/>
      <c r="M106" s="591"/>
      <c r="N106" s="591"/>
      <c r="O106" s="591"/>
      <c r="P106" s="591"/>
      <c r="Q106" s="498"/>
      <c r="R106" s="591"/>
      <c r="S106" s="591"/>
      <c r="T106" s="591"/>
      <c r="U106" s="591"/>
      <c r="V106" s="591"/>
      <c r="W106" s="589"/>
      <c r="X106" s="589"/>
      <c r="Y106" s="589"/>
      <c r="Z106" s="589"/>
      <c r="AA106" s="438"/>
      <c r="AB106" s="589"/>
      <c r="AC106" s="589"/>
      <c r="AD106" s="589"/>
      <c r="AE106" s="589"/>
      <c r="AF106" s="589"/>
      <c r="AG106" s="589"/>
      <c r="AH106" s="589"/>
      <c r="AI106" s="589"/>
      <c r="AJ106" s="23"/>
      <c r="AL106" s="209" t="str">
        <f>'Point Data'!$B$72</f>
        <v>Team 6</v>
      </c>
      <c r="AM106" s="75">
        <f t="array" aca="1" ref="AM106" ca="1">IF(AM$100&gt;$Q$27,"",INDEX('Point Data'!$AP$2:$AP$225,MATCH(1,($AL106='Point Data'!$B$2:$B$225)*(AM$100='Point Data'!$D$2:$D$225),0)))</f>
        <v>6</v>
      </c>
      <c r="AN106" s="75">
        <f t="array" aca="1" ref="AN106" ca="1">IF(AN$100&gt;$Q$27,"",INDEX('Point Data'!$AP$2:$AP$225,MATCH(1,($AL106='Point Data'!$B$2:$B$225)*(AN$100='Point Data'!$D$2:$D$225),0)))</f>
        <v>8</v>
      </c>
      <c r="AO106" s="75">
        <f t="array" aca="1" ref="AO106" ca="1">IF(AO$100&gt;$Q$27,"",INDEX('Point Data'!$AP$2:$AP$225,MATCH(1,($AL106='Point Data'!$B$2:$B$225)*(AO$100='Point Data'!$D$2:$D$225),0)))</f>
        <v>11</v>
      </c>
      <c r="AP106" s="75">
        <f t="array" aca="1" ref="AP106" ca="1">IF(AP$100&gt;$Q$27,"",INDEX('Point Data'!$AP$2:$AP$225,MATCH(1,($AL106='Point Data'!$B$2:$B$225)*(AP$100='Point Data'!$D$2:$D$225),0)))</f>
        <v>12</v>
      </c>
      <c r="AQ106" s="75">
        <f t="array" aca="1" ref="AQ106" ca="1">IF(AQ$100&gt;$Q$27,"",INDEX('Point Data'!$AP$2:$AP$225,MATCH(1,($AL106='Point Data'!$B$2:$B$225)*(AQ$100='Point Data'!$D$2:$D$225),0)))</f>
        <v>12</v>
      </c>
      <c r="AR106" s="75">
        <f t="array" aca="1" ref="AR106" ca="1">IF(AR$100&gt;$Q$27,"",INDEX('Point Data'!$AP$2:$AP$225,MATCH(1,($AL106='Point Data'!$B$2:$B$225)*(AR$100='Point Data'!$D$2:$D$225),0)))</f>
        <v>11</v>
      </c>
      <c r="AS106" s="75">
        <f t="array" aca="1" ref="AS106" ca="1">IF(AS$100&gt;$Q$27,"",INDEX('Point Data'!$AP$2:$AP$225,MATCH(1,($AL106='Point Data'!$B$2:$B$225)*(AS$100='Point Data'!$D$2:$D$225),0)))</f>
        <v>6</v>
      </c>
      <c r="AT106" s="75">
        <f t="array" aca="1" ref="AT106" ca="1">IF(AT$100&gt;$Q$27,"",INDEX('Point Data'!$AP$2:$AP$225,MATCH(1,($AL106='Point Data'!$B$2:$B$225)*(AT$100='Point Data'!$D$2:$D$225),0)))</f>
        <v>5</v>
      </c>
      <c r="AU106" s="75">
        <f t="array" aca="1" ref="AU106" ca="1">IF(AU$100&gt;$Q$27,"",INDEX('Point Data'!$AP$2:$AP$225,MATCH(1,($AL106='Point Data'!$B$2:$B$225)*(AU$100='Point Data'!$D$2:$D$225),0)))</f>
        <v>15</v>
      </c>
      <c r="AV106" s="75">
        <f t="array" aca="1" ref="AV106" ca="1">IF(AV$100&gt;$Q$27,"",INDEX('Point Data'!$AP$2:$AP$225,MATCH(1,($AL106='Point Data'!$B$2:$B$225)*(AV$100='Point Data'!$D$2:$D$225),0)))</f>
        <v>1</v>
      </c>
      <c r="AW106" s="75">
        <f t="array" aca="1" ref="AW106" ca="1">IF(AW$100&gt;$Q$27,"",INDEX('Point Data'!$AP$2:$AP$225,MATCH(1,($AL106='Point Data'!$B$2:$B$225)*(AW$100='Point Data'!$D$2:$D$225),0)))</f>
        <v>14</v>
      </c>
      <c r="AX106" s="75">
        <f t="array" aca="1" ref="AX106" ca="1">IF(AX$100&gt;$Q$27,"",INDEX('Point Data'!$AP$2:$AP$225,MATCH(1,($AL106='Point Data'!$B$2:$B$225)*(AX$100='Point Data'!$D$2:$D$225),0)))</f>
        <v>6</v>
      </c>
      <c r="AY106" s="6">
        <f t="array" aca="1" ref="AY106" ca="1">IF(AY$100&gt;$Q$27,"",INDEX('Point Data'!$AP$2:$AP$225,MATCH(1,($AL106='Point Data'!$B$2:$B$225)*(AY$100='Point Data'!$D$2:$D$225),0)))</f>
        <v>8</v>
      </c>
      <c r="AZ106" s="75">
        <f t="shared" ca="1" si="14"/>
        <v>15</v>
      </c>
      <c r="BA106" s="6">
        <f t="shared" ca="1" si="15"/>
        <v>12</v>
      </c>
      <c r="BB106" s="6">
        <f t="shared" ca="1" si="16"/>
        <v>8.8461538461538467</v>
      </c>
      <c r="BC106" s="6">
        <f t="shared" ca="1" si="17"/>
        <v>6</v>
      </c>
      <c r="BD106" s="75">
        <f t="shared" ca="1" si="18"/>
        <v>1</v>
      </c>
      <c r="BE106" s="6">
        <f t="shared" ca="1" si="19"/>
        <v>4.0382783841251353</v>
      </c>
    </row>
    <row r="107" spans="4:57">
      <c r="D107" s="499"/>
      <c r="E107" s="499"/>
      <c r="F107" s="499"/>
      <c r="G107" s="499"/>
      <c r="H107" s="499"/>
      <c r="I107" s="499"/>
      <c r="J107" s="499"/>
      <c r="K107" s="498"/>
      <c r="L107" s="498"/>
      <c r="M107" s="498"/>
      <c r="N107" s="498"/>
      <c r="O107" s="498"/>
      <c r="P107" s="498"/>
      <c r="Q107" s="498"/>
      <c r="R107" s="498"/>
      <c r="S107" s="498"/>
      <c r="T107" s="498"/>
      <c r="U107" s="498"/>
      <c r="V107" s="498"/>
      <c r="W107" s="497"/>
      <c r="X107" s="497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23"/>
      <c r="AL107" s="209" t="str">
        <f>'Point Data'!$B$86</f>
        <v>Team 7</v>
      </c>
      <c r="AM107" s="75">
        <f t="array" aca="1" ref="AM107" ca="1">IF(AM$100&gt;$Q$27,"",INDEX('Point Data'!$AP$2:$AP$225,MATCH(1,($AL107='Point Data'!$B$2:$B$225)*(AM$100='Point Data'!$D$2:$D$225),0)))</f>
        <v>9</v>
      </c>
      <c r="AN107" s="75">
        <f t="array" aca="1" ref="AN107" ca="1">IF(AN$100&gt;$Q$27,"",INDEX('Point Data'!$AP$2:$AP$225,MATCH(1,($AL107='Point Data'!$B$2:$B$225)*(AN$100='Point Data'!$D$2:$D$225),0)))</f>
        <v>5</v>
      </c>
      <c r="AO107" s="75">
        <f t="array" aca="1" ref="AO107" ca="1">IF(AO$100&gt;$Q$27,"",INDEX('Point Data'!$AP$2:$AP$225,MATCH(1,($AL107='Point Data'!$B$2:$B$225)*(AO$100='Point Data'!$D$2:$D$225),0)))</f>
        <v>2</v>
      </c>
      <c r="AP107" s="75">
        <f t="array" aca="1" ref="AP107" ca="1">IF(AP$100&gt;$Q$27,"",INDEX('Point Data'!$AP$2:$AP$225,MATCH(1,($AL107='Point Data'!$B$2:$B$225)*(AP$100='Point Data'!$D$2:$D$225),0)))</f>
        <v>14</v>
      </c>
      <c r="AQ107" s="75">
        <f t="array" aca="1" ref="AQ107" ca="1">IF(AQ$100&gt;$Q$27,"",INDEX('Point Data'!$AP$2:$AP$225,MATCH(1,($AL107='Point Data'!$B$2:$B$225)*(AQ$100='Point Data'!$D$2:$D$225),0)))</f>
        <v>6</v>
      </c>
      <c r="AR107" s="75">
        <f t="array" aca="1" ref="AR107" ca="1">IF(AR$100&gt;$Q$27,"",INDEX('Point Data'!$AP$2:$AP$225,MATCH(1,($AL107='Point Data'!$B$2:$B$225)*(AR$100='Point Data'!$D$2:$D$225),0)))</f>
        <v>4</v>
      </c>
      <c r="AS107" s="75">
        <f t="array" aca="1" ref="AS107" ca="1">IF(AS$100&gt;$Q$27,"",INDEX('Point Data'!$AP$2:$AP$225,MATCH(1,($AL107='Point Data'!$B$2:$B$225)*(AS$100='Point Data'!$D$2:$D$225),0)))</f>
        <v>2</v>
      </c>
      <c r="AT107" s="75">
        <f t="array" aca="1" ref="AT107" ca="1">IF(AT$100&gt;$Q$27,"",INDEX('Point Data'!$AP$2:$AP$225,MATCH(1,($AL107='Point Data'!$B$2:$B$225)*(AT$100='Point Data'!$D$2:$D$225),0)))</f>
        <v>7</v>
      </c>
      <c r="AU107" s="75">
        <f t="array" aca="1" ref="AU107" ca="1">IF(AU$100&gt;$Q$27,"",INDEX('Point Data'!$AP$2:$AP$225,MATCH(1,($AL107='Point Data'!$B$2:$B$225)*(AU$100='Point Data'!$D$2:$D$225),0)))</f>
        <v>9</v>
      </c>
      <c r="AV107" s="75">
        <f t="array" aca="1" ref="AV107" ca="1">IF(AV$100&gt;$Q$27,"",INDEX('Point Data'!$AP$2:$AP$225,MATCH(1,($AL107='Point Data'!$B$2:$B$225)*(AV$100='Point Data'!$D$2:$D$225),0)))</f>
        <v>5</v>
      </c>
      <c r="AW107" s="75">
        <f t="array" aca="1" ref="AW107" ca="1">IF(AW$100&gt;$Q$27,"",INDEX('Point Data'!$AP$2:$AP$225,MATCH(1,($AL107='Point Data'!$B$2:$B$225)*(AW$100='Point Data'!$D$2:$D$225),0)))</f>
        <v>3</v>
      </c>
      <c r="AX107" s="75">
        <f t="array" aca="1" ref="AX107" ca="1">IF(AX$100&gt;$Q$27,"",INDEX('Point Data'!$AP$2:$AP$225,MATCH(1,($AL107='Point Data'!$B$2:$B$225)*(AX$100='Point Data'!$D$2:$D$225),0)))</f>
        <v>9</v>
      </c>
      <c r="AY107" s="6">
        <f t="array" aca="1" ref="AY107" ca="1">IF(AY$100&gt;$Q$27,"",INDEX('Point Data'!$AP$2:$AP$225,MATCH(1,($AL107='Point Data'!$B$2:$B$225)*(AY$100='Point Data'!$D$2:$D$225),0)))</f>
        <v>14</v>
      </c>
      <c r="AZ107" s="75">
        <f t="shared" ca="1" si="14"/>
        <v>14</v>
      </c>
      <c r="BA107" s="6">
        <f t="shared" ca="1" si="15"/>
        <v>9</v>
      </c>
      <c r="BB107" s="6">
        <f t="shared" ca="1" si="16"/>
        <v>6.8461538461538458</v>
      </c>
      <c r="BC107" s="6">
        <f t="shared" ca="1" si="17"/>
        <v>4</v>
      </c>
      <c r="BD107" s="75">
        <f t="shared" ca="1" si="18"/>
        <v>2</v>
      </c>
      <c r="BE107" s="6">
        <f t="shared" ca="1" si="19"/>
        <v>4.0175895311773262</v>
      </c>
    </row>
    <row r="108" spans="4:57">
      <c r="D108" s="499"/>
      <c r="E108" s="499"/>
      <c r="F108" s="499"/>
      <c r="G108" s="499"/>
      <c r="H108" s="499"/>
      <c r="I108" s="499"/>
      <c r="J108" s="499"/>
      <c r="K108" s="498"/>
      <c r="L108" s="498"/>
      <c r="M108" s="498"/>
      <c r="N108" s="498"/>
      <c r="O108" s="498"/>
      <c r="P108" s="498"/>
      <c r="Q108" s="498"/>
      <c r="R108" s="498"/>
      <c r="S108" s="498"/>
      <c r="T108" s="498"/>
      <c r="U108" s="498"/>
      <c r="V108" s="498"/>
      <c r="W108" s="498"/>
      <c r="X108" s="498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L108" s="209" t="str">
        <f>'Point Data'!$B$100</f>
        <v>Team 8</v>
      </c>
      <c r="AM108" s="75">
        <f t="array" aca="1" ref="AM108" ca="1">IF(AM$100&gt;$Q$27,"",INDEX('Point Data'!$AP$2:$AP$225,MATCH(1,($AL108='Point Data'!$B$2:$B$225)*(AM$100='Point Data'!$D$2:$D$225),0)))</f>
        <v>3</v>
      </c>
      <c r="AN108" s="75">
        <f t="array" aca="1" ref="AN108" ca="1">IF(AN$100&gt;$Q$27,"",INDEX('Point Data'!$AP$2:$AP$225,MATCH(1,($AL108='Point Data'!$B$2:$B$225)*(AN$100='Point Data'!$D$2:$D$225),0)))</f>
        <v>7</v>
      </c>
      <c r="AO108" s="75">
        <f t="array" aca="1" ref="AO108" ca="1">IF(AO$100&gt;$Q$27,"",INDEX('Point Data'!$AP$2:$AP$225,MATCH(1,($AL108='Point Data'!$B$2:$B$225)*(AO$100='Point Data'!$D$2:$D$225),0)))</f>
        <v>3</v>
      </c>
      <c r="AP108" s="75">
        <f t="array" aca="1" ref="AP108" ca="1">IF(AP$100&gt;$Q$27,"",INDEX('Point Data'!$AP$2:$AP$225,MATCH(1,($AL108='Point Data'!$B$2:$B$225)*(AP$100='Point Data'!$D$2:$D$225),0)))</f>
        <v>4</v>
      </c>
      <c r="AQ108" s="75">
        <f t="array" aca="1" ref="AQ108" ca="1">IF(AQ$100&gt;$Q$27,"",INDEX('Point Data'!$AP$2:$AP$225,MATCH(1,($AL108='Point Data'!$B$2:$B$225)*(AQ$100='Point Data'!$D$2:$D$225),0)))</f>
        <v>14</v>
      </c>
      <c r="AR108" s="75">
        <f t="array" aca="1" ref="AR108" ca="1">IF(AR$100&gt;$Q$27,"",INDEX('Point Data'!$AP$2:$AP$225,MATCH(1,($AL108='Point Data'!$B$2:$B$225)*(AR$100='Point Data'!$D$2:$D$225),0)))</f>
        <v>6</v>
      </c>
      <c r="AS108" s="75">
        <f t="array" aca="1" ref="AS108" ca="1">IF(AS$100&gt;$Q$27,"",INDEX('Point Data'!$AP$2:$AP$225,MATCH(1,($AL108='Point Data'!$B$2:$B$225)*(AS$100='Point Data'!$D$2:$D$225),0)))</f>
        <v>10</v>
      </c>
      <c r="AT108" s="75">
        <f t="array" aca="1" ref="AT108" ca="1">IF(AT$100&gt;$Q$27,"",INDEX('Point Data'!$AP$2:$AP$225,MATCH(1,($AL108='Point Data'!$B$2:$B$225)*(AT$100='Point Data'!$D$2:$D$225),0)))</f>
        <v>8</v>
      </c>
      <c r="AU108" s="75">
        <f t="array" aca="1" ref="AU108" ca="1">IF(AU$100&gt;$Q$27,"",INDEX('Point Data'!$AP$2:$AP$225,MATCH(1,($AL108='Point Data'!$B$2:$B$225)*(AU$100='Point Data'!$D$2:$D$225),0)))</f>
        <v>3</v>
      </c>
      <c r="AV108" s="75">
        <f t="array" aca="1" ref="AV108" ca="1">IF(AV$100&gt;$Q$27,"",INDEX('Point Data'!$AP$2:$AP$225,MATCH(1,($AL108='Point Data'!$B$2:$B$225)*(AV$100='Point Data'!$D$2:$D$225),0)))</f>
        <v>8</v>
      </c>
      <c r="AW108" s="75">
        <f t="array" aca="1" ref="AW108" ca="1">IF(AW$100&gt;$Q$27,"",INDEX('Point Data'!$AP$2:$AP$225,MATCH(1,($AL108='Point Data'!$B$2:$B$225)*(AW$100='Point Data'!$D$2:$D$225),0)))</f>
        <v>7</v>
      </c>
      <c r="AX108" s="75">
        <f t="array" aca="1" ref="AX108" ca="1">IF(AX$100&gt;$Q$27,"",INDEX('Point Data'!$AP$2:$AP$225,MATCH(1,($AL108='Point Data'!$B$2:$B$225)*(AX$100='Point Data'!$D$2:$D$225),0)))</f>
        <v>1</v>
      </c>
      <c r="AY108" s="6">
        <f t="array" aca="1" ref="AY108" ca="1">IF(AY$100&gt;$Q$27,"",INDEX('Point Data'!$AP$2:$AP$225,MATCH(1,($AL108='Point Data'!$B$2:$B$225)*(AY$100='Point Data'!$D$2:$D$225),0)))</f>
        <v>7</v>
      </c>
      <c r="AZ108" s="75">
        <f t="shared" ca="1" si="14"/>
        <v>14</v>
      </c>
      <c r="BA108" s="6">
        <f t="shared" ca="1" si="15"/>
        <v>8</v>
      </c>
      <c r="BB108" s="6">
        <f t="shared" ca="1" si="16"/>
        <v>6.2307692307692308</v>
      </c>
      <c r="BC108" s="6">
        <f t="shared" ca="1" si="17"/>
        <v>3</v>
      </c>
      <c r="BD108" s="75">
        <f t="shared" ca="1" si="18"/>
        <v>1</v>
      </c>
      <c r="BE108" s="6">
        <f t="shared" ca="1" si="19"/>
        <v>3.4917485150433865</v>
      </c>
    </row>
    <row r="109" spans="4:57">
      <c r="D109" s="499"/>
      <c r="E109" s="499"/>
      <c r="F109" s="499"/>
      <c r="G109" s="499"/>
      <c r="H109" s="499"/>
      <c r="I109" s="499"/>
      <c r="J109" s="499"/>
      <c r="K109" s="498"/>
      <c r="L109" s="498"/>
      <c r="M109" s="498"/>
      <c r="N109" s="498"/>
      <c r="O109" s="498"/>
      <c r="P109" s="498"/>
      <c r="Q109" s="498"/>
      <c r="R109" s="498"/>
      <c r="S109" s="498"/>
      <c r="T109" s="498"/>
      <c r="U109" s="498"/>
      <c r="V109" s="498"/>
      <c r="W109" s="498"/>
      <c r="X109" s="498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L109" s="50" t="str">
        <f>'Point Data'!$B$114</f>
        <v>Team 9</v>
      </c>
      <c r="AM109" s="75">
        <f t="array" aca="1" ref="AM109" ca="1">IF(AM$100&gt;$Q$27,"",INDEX('Point Data'!$AP$2:$AP$225,MATCH(1,($AL109='Point Data'!$B$2:$B$225)*(AM$100='Point Data'!$D$2:$D$225),0)))</f>
        <v>1</v>
      </c>
      <c r="AN109" s="75">
        <f t="array" aca="1" ref="AN109" ca="1">IF(AN$100&gt;$Q$27,"",INDEX('Point Data'!$AP$2:$AP$225,MATCH(1,($AL109='Point Data'!$B$2:$B$225)*(AN$100='Point Data'!$D$2:$D$225),0)))</f>
        <v>2</v>
      </c>
      <c r="AO109" s="75">
        <f t="array" aca="1" ref="AO109" ca="1">IF(AO$100&gt;$Q$27,"",INDEX('Point Data'!$AP$2:$AP$225,MATCH(1,($AL109='Point Data'!$B$2:$B$225)*(AO$100='Point Data'!$D$2:$D$225),0)))</f>
        <v>12</v>
      </c>
      <c r="AP109" s="75">
        <f t="array" aca="1" ref="AP109" ca="1">IF(AP$100&gt;$Q$27,"",INDEX('Point Data'!$AP$2:$AP$225,MATCH(1,($AL109='Point Data'!$B$2:$B$225)*(AP$100='Point Data'!$D$2:$D$225),0)))</f>
        <v>7</v>
      </c>
      <c r="AQ109" s="75">
        <f t="array" aca="1" ref="AQ109" ca="1">IF(AQ$100&gt;$Q$27,"",INDEX('Point Data'!$AP$2:$AP$225,MATCH(1,($AL109='Point Data'!$B$2:$B$225)*(AQ$100='Point Data'!$D$2:$D$225),0)))</f>
        <v>2</v>
      </c>
      <c r="AR109" s="75">
        <f t="array" aca="1" ref="AR109" ca="1">IF(AR$100&gt;$Q$27,"",INDEX('Point Data'!$AP$2:$AP$225,MATCH(1,($AL109='Point Data'!$B$2:$B$225)*(AR$100='Point Data'!$D$2:$D$225),0)))</f>
        <v>8</v>
      </c>
      <c r="AS109" s="75">
        <f t="array" aca="1" ref="AS109" ca="1">IF(AS$100&gt;$Q$27,"",INDEX('Point Data'!$AP$2:$AP$225,MATCH(1,($AL109='Point Data'!$B$2:$B$225)*(AS$100='Point Data'!$D$2:$D$225),0)))</f>
        <v>5</v>
      </c>
      <c r="AT109" s="75">
        <f t="array" aca="1" ref="AT109" ca="1">IF(AT$100&gt;$Q$27,"",INDEX('Point Data'!$AP$2:$AP$225,MATCH(1,($AL109='Point Data'!$B$2:$B$225)*(AT$100='Point Data'!$D$2:$D$225),0)))</f>
        <v>10</v>
      </c>
      <c r="AU109" s="75">
        <f t="array" aca="1" ref="AU109" ca="1">IF(AU$100&gt;$Q$27,"",INDEX('Point Data'!$AP$2:$AP$225,MATCH(1,($AL109='Point Data'!$B$2:$B$225)*(AU$100='Point Data'!$D$2:$D$225),0)))</f>
        <v>5</v>
      </c>
      <c r="AV109" s="75">
        <f t="array" aca="1" ref="AV109" ca="1">IF(AV$100&gt;$Q$27,"",INDEX('Point Data'!$AP$2:$AP$225,MATCH(1,($AL109='Point Data'!$B$2:$B$225)*(AV$100='Point Data'!$D$2:$D$225),0)))</f>
        <v>3</v>
      </c>
      <c r="AW109" s="75">
        <f t="array" aca="1" ref="AW109" ca="1">IF(AW$100&gt;$Q$27,"",INDEX('Point Data'!$AP$2:$AP$225,MATCH(1,($AL109='Point Data'!$B$2:$B$225)*(AW$100='Point Data'!$D$2:$D$225),0)))</f>
        <v>1</v>
      </c>
      <c r="AX109" s="75">
        <f t="array" aca="1" ref="AX109" ca="1">IF(AX$100&gt;$Q$27,"",INDEX('Point Data'!$AP$2:$AP$225,MATCH(1,($AL109='Point Data'!$B$2:$B$225)*(AX$100='Point Data'!$D$2:$D$225),0)))</f>
        <v>2</v>
      </c>
      <c r="AY109" s="6">
        <f t="array" aca="1" ref="AY109" ca="1">IF(AY$100&gt;$Q$27,"",INDEX('Point Data'!$AP$2:$AP$225,MATCH(1,($AL109='Point Data'!$B$2:$B$225)*(AY$100='Point Data'!$D$2:$D$225),0)))</f>
        <v>2</v>
      </c>
      <c r="AZ109" s="75">
        <f t="shared" ca="1" si="14"/>
        <v>12</v>
      </c>
      <c r="BA109" s="6">
        <f t="shared" ca="1" si="15"/>
        <v>7</v>
      </c>
      <c r="BB109" s="6">
        <f t="shared" ca="1" si="16"/>
        <v>4.615384615384615</v>
      </c>
      <c r="BC109" s="6">
        <f t="shared" ca="1" si="17"/>
        <v>2</v>
      </c>
      <c r="BD109" s="75">
        <f t="shared" ca="1" si="18"/>
        <v>1</v>
      </c>
      <c r="BE109" s="6">
        <f t="shared" ca="1" si="19"/>
        <v>3.6179750675956281</v>
      </c>
    </row>
    <row r="110" spans="4:57">
      <c r="D110" s="499"/>
      <c r="E110" s="499"/>
      <c r="F110" s="499"/>
      <c r="G110" s="499"/>
      <c r="H110" s="499"/>
      <c r="I110" s="499"/>
      <c r="J110" s="499"/>
      <c r="K110" s="498"/>
      <c r="L110" s="498"/>
      <c r="M110" s="498"/>
      <c r="N110" s="498"/>
      <c r="O110" s="498"/>
      <c r="P110" s="498"/>
      <c r="Q110" s="498"/>
      <c r="R110" s="498"/>
      <c r="S110" s="498"/>
      <c r="T110" s="498"/>
      <c r="U110" s="498"/>
      <c r="V110" s="498"/>
      <c r="W110" s="498"/>
      <c r="X110" s="498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L110" s="50" t="str">
        <f>'Point Data'!$B$128</f>
        <v>Team 10</v>
      </c>
      <c r="AM110" s="75">
        <f t="array" aca="1" ref="AM110" ca="1">IF(AM$100&gt;$Q$27,"",INDEX('Point Data'!$AP$2:$AP$225,MATCH(1,($AL110='Point Data'!$B$2:$B$225)*(AM$100='Point Data'!$D$2:$D$225),0)))</f>
        <v>13</v>
      </c>
      <c r="AN110" s="75">
        <f t="array" aca="1" ref="AN110" ca="1">IF(AN$100&gt;$Q$27,"",INDEX('Point Data'!$AP$2:$AP$225,MATCH(1,($AL110='Point Data'!$B$2:$B$225)*(AN$100='Point Data'!$D$2:$D$225),0)))</f>
        <v>12</v>
      </c>
      <c r="AO110" s="75">
        <f t="array" aca="1" ref="AO110" ca="1">IF(AO$100&gt;$Q$27,"",INDEX('Point Data'!$AP$2:$AP$225,MATCH(1,($AL110='Point Data'!$B$2:$B$225)*(AO$100='Point Data'!$D$2:$D$225),0)))</f>
        <v>4</v>
      </c>
      <c r="AP110" s="75">
        <f t="array" aca="1" ref="AP110" ca="1">IF(AP$100&gt;$Q$27,"",INDEX('Point Data'!$AP$2:$AP$225,MATCH(1,($AL110='Point Data'!$B$2:$B$225)*(AP$100='Point Data'!$D$2:$D$225),0)))</f>
        <v>1</v>
      </c>
      <c r="AQ110" s="75">
        <f t="array" aca="1" ref="AQ110" ca="1">IF(AQ$100&gt;$Q$27,"",INDEX('Point Data'!$AP$2:$AP$225,MATCH(1,($AL110='Point Data'!$B$2:$B$225)*(AQ$100='Point Data'!$D$2:$D$225),0)))</f>
        <v>9</v>
      </c>
      <c r="AR110" s="75">
        <f t="array" aca="1" ref="AR110" ca="1">IF(AR$100&gt;$Q$27,"",INDEX('Point Data'!$AP$2:$AP$225,MATCH(1,($AL110='Point Data'!$B$2:$B$225)*(AR$100='Point Data'!$D$2:$D$225),0)))</f>
        <v>5</v>
      </c>
      <c r="AS110" s="75">
        <f t="array" aca="1" ref="AS110" ca="1">IF(AS$100&gt;$Q$27,"",INDEX('Point Data'!$AP$2:$AP$225,MATCH(1,($AL110='Point Data'!$B$2:$B$225)*(AS$100='Point Data'!$D$2:$D$225),0)))</f>
        <v>15</v>
      </c>
      <c r="AT110" s="75">
        <f t="array" aca="1" ref="AT110" ca="1">IF(AT$100&gt;$Q$27,"",INDEX('Point Data'!$AP$2:$AP$225,MATCH(1,($AL110='Point Data'!$B$2:$B$225)*(AT$100='Point Data'!$D$2:$D$225),0)))</f>
        <v>11</v>
      </c>
      <c r="AU110" s="75">
        <f t="array" aca="1" ref="AU110" ca="1">IF(AU$100&gt;$Q$27,"",INDEX('Point Data'!$AP$2:$AP$225,MATCH(1,($AL110='Point Data'!$B$2:$B$225)*(AU$100='Point Data'!$D$2:$D$225),0)))</f>
        <v>4</v>
      </c>
      <c r="AV110" s="75">
        <f t="array" aca="1" ref="AV110" ca="1">IF(AV$100&gt;$Q$27,"",INDEX('Point Data'!$AP$2:$AP$225,MATCH(1,($AL110='Point Data'!$B$2:$B$225)*(AV$100='Point Data'!$D$2:$D$225),0)))</f>
        <v>16</v>
      </c>
      <c r="AW110" s="75">
        <f t="array" aca="1" ref="AW110" ca="1">IF(AW$100&gt;$Q$27,"",INDEX('Point Data'!$AP$2:$AP$225,MATCH(1,($AL110='Point Data'!$B$2:$B$225)*(AW$100='Point Data'!$D$2:$D$225),0)))</f>
        <v>12</v>
      </c>
      <c r="AX110" s="75">
        <f t="array" aca="1" ref="AX110" ca="1">IF(AX$100&gt;$Q$27,"",INDEX('Point Data'!$AP$2:$AP$225,MATCH(1,($AL110='Point Data'!$B$2:$B$225)*(AX$100='Point Data'!$D$2:$D$225),0)))</f>
        <v>16</v>
      </c>
      <c r="AY110" s="6">
        <f t="array" aca="1" ref="AY110" ca="1">IF(AY$100&gt;$Q$27,"",INDEX('Point Data'!$AP$2:$AP$225,MATCH(1,($AL110='Point Data'!$B$2:$B$225)*(AY$100='Point Data'!$D$2:$D$225),0)))</f>
        <v>13</v>
      </c>
      <c r="AZ110" s="75">
        <f t="shared" ca="1" si="14"/>
        <v>16</v>
      </c>
      <c r="BA110" s="6">
        <f t="shared" ca="1" si="15"/>
        <v>13</v>
      </c>
      <c r="BB110" s="6">
        <f t="shared" ca="1" si="16"/>
        <v>10.076923076923077</v>
      </c>
      <c r="BC110" s="6">
        <f t="shared" ca="1" si="17"/>
        <v>5</v>
      </c>
      <c r="BD110" s="75">
        <f t="shared" ca="1" si="18"/>
        <v>1</v>
      </c>
      <c r="BE110" s="6">
        <f t="shared" ca="1" si="19"/>
        <v>5.0242999257199745</v>
      </c>
    </row>
    <row r="111" spans="4:57">
      <c r="D111" s="499"/>
      <c r="E111" s="499"/>
      <c r="F111" s="499"/>
      <c r="G111" s="499"/>
      <c r="H111" s="499"/>
      <c r="I111" s="499"/>
      <c r="J111" s="499"/>
      <c r="K111" s="498"/>
      <c r="L111" s="498"/>
      <c r="M111" s="498"/>
      <c r="N111" s="498"/>
      <c r="O111" s="498"/>
      <c r="P111" s="498"/>
      <c r="Q111" s="498"/>
      <c r="R111" s="498"/>
      <c r="S111" s="498"/>
      <c r="T111" s="498"/>
      <c r="U111" s="498"/>
      <c r="V111" s="498"/>
      <c r="W111" s="498"/>
      <c r="X111" s="498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L111" s="50" t="str">
        <f>'Point Data'!$B$142</f>
        <v>Team 11</v>
      </c>
      <c r="AM111" s="75">
        <f t="array" aca="1" ref="AM111" ca="1">IF(AM$100&gt;$Q$27,"",INDEX('Point Data'!$AP$2:$AP$225,MATCH(1,($AL111='Point Data'!$B$2:$B$225)*(AM$100='Point Data'!$D$2:$D$225),0)))</f>
        <v>2</v>
      </c>
      <c r="AN111" s="75">
        <f t="array" aca="1" ref="AN111" ca="1">IF(AN$100&gt;$Q$27,"",INDEX('Point Data'!$AP$2:$AP$225,MATCH(1,($AL111='Point Data'!$B$2:$B$225)*(AN$100='Point Data'!$D$2:$D$225),0)))</f>
        <v>11</v>
      </c>
      <c r="AO111" s="75">
        <f t="array" aca="1" ref="AO111" ca="1">IF(AO$100&gt;$Q$27,"",INDEX('Point Data'!$AP$2:$AP$225,MATCH(1,($AL111='Point Data'!$B$2:$B$225)*(AO$100='Point Data'!$D$2:$D$225),0)))</f>
        <v>9</v>
      </c>
      <c r="AP111" s="75">
        <f t="array" aca="1" ref="AP111" ca="1">IF(AP$100&gt;$Q$27,"",INDEX('Point Data'!$AP$2:$AP$225,MATCH(1,($AL111='Point Data'!$B$2:$B$225)*(AP$100='Point Data'!$D$2:$D$225),0)))</f>
        <v>16</v>
      </c>
      <c r="AQ111" s="75">
        <f t="array" aca="1" ref="AQ111" ca="1">IF(AQ$100&gt;$Q$27,"",INDEX('Point Data'!$AP$2:$AP$225,MATCH(1,($AL111='Point Data'!$B$2:$B$225)*(AQ$100='Point Data'!$D$2:$D$225),0)))</f>
        <v>3</v>
      </c>
      <c r="AR111" s="75">
        <f t="array" aca="1" ref="AR111" ca="1">IF(AR$100&gt;$Q$27,"",INDEX('Point Data'!$AP$2:$AP$225,MATCH(1,($AL111='Point Data'!$B$2:$B$225)*(AR$100='Point Data'!$D$2:$D$225),0)))</f>
        <v>3</v>
      </c>
      <c r="AS111" s="75">
        <f t="array" aca="1" ref="AS111" ca="1">IF(AS$100&gt;$Q$27,"",INDEX('Point Data'!$AP$2:$AP$225,MATCH(1,($AL111='Point Data'!$B$2:$B$225)*(AS$100='Point Data'!$D$2:$D$225),0)))</f>
        <v>8</v>
      </c>
      <c r="AT111" s="75">
        <f t="array" aca="1" ref="AT111" ca="1">IF(AT$100&gt;$Q$27,"",INDEX('Point Data'!$AP$2:$AP$225,MATCH(1,($AL111='Point Data'!$B$2:$B$225)*(AT$100='Point Data'!$D$2:$D$225),0)))</f>
        <v>14</v>
      </c>
      <c r="AU111" s="75">
        <f t="array" aca="1" ref="AU111" ca="1">IF(AU$100&gt;$Q$27,"",INDEX('Point Data'!$AP$2:$AP$225,MATCH(1,($AL111='Point Data'!$B$2:$B$225)*(AU$100='Point Data'!$D$2:$D$225),0)))</f>
        <v>7</v>
      </c>
      <c r="AV111" s="75">
        <f t="array" aca="1" ref="AV111" ca="1">IF(AV$100&gt;$Q$27,"",INDEX('Point Data'!$AP$2:$AP$225,MATCH(1,($AL111='Point Data'!$B$2:$B$225)*(AV$100='Point Data'!$D$2:$D$225),0)))</f>
        <v>12</v>
      </c>
      <c r="AW111" s="75">
        <f t="array" aca="1" ref="AW111" ca="1">IF(AW$100&gt;$Q$27,"",INDEX('Point Data'!$AP$2:$AP$225,MATCH(1,($AL111='Point Data'!$B$2:$B$225)*(AW$100='Point Data'!$D$2:$D$225),0)))</f>
        <v>15</v>
      </c>
      <c r="AX111" s="75">
        <f t="array" aca="1" ref="AX111" ca="1">IF(AX$100&gt;$Q$27,"",INDEX('Point Data'!$AP$2:$AP$225,MATCH(1,($AL111='Point Data'!$B$2:$B$225)*(AX$100='Point Data'!$D$2:$D$225),0)))</f>
        <v>4</v>
      </c>
      <c r="AY111" s="6">
        <f t="array" aca="1" ref="AY111" ca="1">IF(AY$100&gt;$Q$27,"",INDEX('Point Data'!$AP$2:$AP$225,MATCH(1,($AL111='Point Data'!$B$2:$B$225)*(AY$100='Point Data'!$D$2:$D$225),0)))</f>
        <v>4</v>
      </c>
      <c r="AZ111" s="75">
        <f t="shared" ca="1" si="14"/>
        <v>16</v>
      </c>
      <c r="BA111" s="6">
        <f t="shared" ca="1" si="15"/>
        <v>12</v>
      </c>
      <c r="BB111" s="6">
        <f t="shared" ca="1" si="16"/>
        <v>8.3076923076923084</v>
      </c>
      <c r="BC111" s="6">
        <f t="shared" ca="1" si="17"/>
        <v>4</v>
      </c>
      <c r="BD111" s="75">
        <f t="shared" ca="1" si="18"/>
        <v>2</v>
      </c>
      <c r="BE111" s="6">
        <f t="shared" ca="1" si="19"/>
        <v>4.9393760635768453</v>
      </c>
    </row>
    <row r="112" spans="4:57">
      <c r="D112" s="499"/>
      <c r="E112" s="499"/>
      <c r="F112" s="499"/>
      <c r="G112" s="499"/>
      <c r="H112" s="499"/>
      <c r="I112" s="499"/>
      <c r="J112" s="499"/>
      <c r="K112" s="498"/>
      <c r="L112" s="498"/>
      <c r="M112" s="498"/>
      <c r="N112" s="498"/>
      <c r="O112" s="498"/>
      <c r="P112" s="498"/>
      <c r="Q112" s="498"/>
      <c r="R112" s="498"/>
      <c r="S112" s="498"/>
      <c r="T112" s="498"/>
      <c r="U112" s="498"/>
      <c r="V112" s="498"/>
      <c r="W112" s="498"/>
      <c r="X112" s="498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L112" s="50" t="str">
        <f>'Point Data'!$B$156</f>
        <v>Team 12</v>
      </c>
      <c r="AM112" s="75">
        <f t="array" aca="1" ref="AM112" ca="1">IF(AM$100&gt;$Q$27,"",INDEX('Point Data'!$AP$2:$AP$225,MATCH(1,($AL112='Point Data'!$B$2:$B$225)*(AM$100='Point Data'!$D$2:$D$225),0)))</f>
        <v>11</v>
      </c>
      <c r="AN112" s="75">
        <f t="array" aca="1" ref="AN112" ca="1">IF(AN$100&gt;$Q$27,"",INDEX('Point Data'!$AP$2:$AP$225,MATCH(1,($AL112='Point Data'!$B$2:$B$225)*(AN$100='Point Data'!$D$2:$D$225),0)))</f>
        <v>4</v>
      </c>
      <c r="AO112" s="75">
        <f t="array" aca="1" ref="AO112" ca="1">IF(AO$100&gt;$Q$27,"",INDEX('Point Data'!$AP$2:$AP$225,MATCH(1,($AL112='Point Data'!$B$2:$B$225)*(AO$100='Point Data'!$D$2:$D$225),0)))</f>
        <v>15</v>
      </c>
      <c r="AP112" s="75">
        <f t="array" aca="1" ref="AP112" ca="1">IF(AP$100&gt;$Q$27,"",INDEX('Point Data'!$AP$2:$AP$225,MATCH(1,($AL112='Point Data'!$B$2:$B$225)*(AP$100='Point Data'!$D$2:$D$225),0)))</f>
        <v>8</v>
      </c>
      <c r="AQ112" s="75">
        <f t="array" aca="1" ref="AQ112" ca="1">IF(AQ$100&gt;$Q$27,"",INDEX('Point Data'!$AP$2:$AP$225,MATCH(1,($AL112='Point Data'!$B$2:$B$225)*(AQ$100='Point Data'!$D$2:$D$225),0)))</f>
        <v>13</v>
      </c>
      <c r="AR112" s="75">
        <f t="array" aca="1" ref="AR112" ca="1">IF(AR$100&gt;$Q$27,"",INDEX('Point Data'!$AP$2:$AP$225,MATCH(1,($AL112='Point Data'!$B$2:$B$225)*(AR$100='Point Data'!$D$2:$D$225),0)))</f>
        <v>12</v>
      </c>
      <c r="AS112" s="75">
        <f t="array" aca="1" ref="AS112" ca="1">IF(AS$100&gt;$Q$27,"",INDEX('Point Data'!$AP$2:$AP$225,MATCH(1,($AL112='Point Data'!$B$2:$B$225)*(AS$100='Point Data'!$D$2:$D$225),0)))</f>
        <v>14</v>
      </c>
      <c r="AT112" s="75">
        <f t="array" aca="1" ref="AT112" ca="1">IF(AT$100&gt;$Q$27,"",INDEX('Point Data'!$AP$2:$AP$225,MATCH(1,($AL112='Point Data'!$B$2:$B$225)*(AT$100='Point Data'!$D$2:$D$225),0)))</f>
        <v>2</v>
      </c>
      <c r="AU112" s="75">
        <f t="array" aca="1" ref="AU112" ca="1">IF(AU$100&gt;$Q$27,"",INDEX('Point Data'!$AP$2:$AP$225,MATCH(1,($AL112='Point Data'!$B$2:$B$225)*(AU$100='Point Data'!$D$2:$D$225),0)))</f>
        <v>12</v>
      </c>
      <c r="AV112" s="75">
        <f t="array" aca="1" ref="AV112" ca="1">IF(AV$100&gt;$Q$27,"",INDEX('Point Data'!$AP$2:$AP$225,MATCH(1,($AL112='Point Data'!$B$2:$B$225)*(AV$100='Point Data'!$D$2:$D$225),0)))</f>
        <v>11</v>
      </c>
      <c r="AW112" s="75">
        <f t="array" aca="1" ref="AW112" ca="1">IF(AW$100&gt;$Q$27,"",INDEX('Point Data'!$AP$2:$AP$225,MATCH(1,($AL112='Point Data'!$B$2:$B$225)*(AW$100='Point Data'!$D$2:$D$225),0)))</f>
        <v>16</v>
      </c>
      <c r="AX112" s="75">
        <f t="array" aca="1" ref="AX112" ca="1">IF(AX$100&gt;$Q$27,"",INDEX('Point Data'!$AP$2:$AP$225,MATCH(1,($AL112='Point Data'!$B$2:$B$225)*(AX$100='Point Data'!$D$2:$D$225),0)))</f>
        <v>13</v>
      </c>
      <c r="AY112" s="6">
        <f t="array" aca="1" ref="AY112" ca="1">IF(AY$100&gt;$Q$27,"",INDEX('Point Data'!$AP$2:$AP$225,MATCH(1,($AL112='Point Data'!$B$2:$B$225)*(AY$100='Point Data'!$D$2:$D$225),0)))</f>
        <v>10</v>
      </c>
      <c r="AZ112" s="75">
        <f t="shared" ca="1" si="14"/>
        <v>16</v>
      </c>
      <c r="BA112" s="6">
        <f t="shared" ca="1" si="15"/>
        <v>13</v>
      </c>
      <c r="BB112" s="6">
        <f t="shared" ca="1" si="16"/>
        <v>10.846153846153847</v>
      </c>
      <c r="BC112" s="6">
        <f t="shared" ca="1" si="17"/>
        <v>10</v>
      </c>
      <c r="BD112" s="75">
        <f t="shared" ca="1" si="18"/>
        <v>2</v>
      </c>
      <c r="BE112" s="6">
        <f t="shared" ca="1" si="19"/>
        <v>4.0793413244083458</v>
      </c>
    </row>
    <row r="113" spans="11:57">
      <c r="K113" s="498"/>
      <c r="L113" s="498"/>
      <c r="M113" s="498"/>
      <c r="N113" s="498"/>
      <c r="O113" s="498"/>
      <c r="P113" s="498"/>
      <c r="Q113" s="498"/>
      <c r="R113" s="498"/>
      <c r="S113" s="498"/>
      <c r="T113" s="498"/>
      <c r="U113" s="498"/>
      <c r="V113" s="498"/>
      <c r="W113" s="498"/>
      <c r="X113" s="498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L113" s="50" t="str">
        <f>'Point Data'!$B$170</f>
        <v>Team 13</v>
      </c>
      <c r="AM113" s="75">
        <f t="array" aca="1" ref="AM113" ca="1">IF(AM$100&gt;$Q$27,"",INDEX('Point Data'!$AP$2:$AP$225,MATCH(1,($AL113='Point Data'!$B$2:$B$225)*(AM$100='Point Data'!$D$2:$D$225),0)))</f>
        <v>14</v>
      </c>
      <c r="AN113" s="75">
        <f t="array" aca="1" ref="AN113" ca="1">IF(AN$100&gt;$Q$27,"",INDEX('Point Data'!$AP$2:$AP$225,MATCH(1,($AL113='Point Data'!$B$2:$B$225)*(AN$100='Point Data'!$D$2:$D$225),0)))</f>
        <v>16</v>
      </c>
      <c r="AO113" s="75">
        <f t="array" aca="1" ref="AO113" ca="1">IF(AO$100&gt;$Q$27,"",INDEX('Point Data'!$AP$2:$AP$225,MATCH(1,($AL113='Point Data'!$B$2:$B$225)*(AO$100='Point Data'!$D$2:$D$225),0)))</f>
        <v>13</v>
      </c>
      <c r="AP113" s="75">
        <f t="array" aca="1" ref="AP113" ca="1">IF(AP$100&gt;$Q$27,"",INDEX('Point Data'!$AP$2:$AP$225,MATCH(1,($AL113='Point Data'!$B$2:$B$225)*(AP$100='Point Data'!$D$2:$D$225),0)))</f>
        <v>2</v>
      </c>
      <c r="AQ113" s="75">
        <f t="array" aca="1" ref="AQ113" ca="1">IF(AQ$100&gt;$Q$27,"",INDEX('Point Data'!$AP$2:$AP$225,MATCH(1,($AL113='Point Data'!$B$2:$B$225)*(AQ$100='Point Data'!$D$2:$D$225),0)))</f>
        <v>16</v>
      </c>
      <c r="AR113" s="75">
        <f t="array" aca="1" ref="AR113" ca="1">IF(AR$100&gt;$Q$27,"",INDEX('Point Data'!$AP$2:$AP$225,MATCH(1,($AL113='Point Data'!$B$2:$B$225)*(AR$100='Point Data'!$D$2:$D$225),0)))</f>
        <v>2</v>
      </c>
      <c r="AS113" s="75">
        <f t="array" aca="1" ref="AS113" ca="1">IF(AS$100&gt;$Q$27,"",INDEX('Point Data'!$AP$2:$AP$225,MATCH(1,($AL113='Point Data'!$B$2:$B$225)*(AS$100='Point Data'!$D$2:$D$225),0)))</f>
        <v>7</v>
      </c>
      <c r="AT113" s="75">
        <f t="array" aca="1" ref="AT113" ca="1">IF(AT$100&gt;$Q$27,"",INDEX('Point Data'!$AP$2:$AP$225,MATCH(1,($AL113='Point Data'!$B$2:$B$225)*(AT$100='Point Data'!$D$2:$D$225),0)))</f>
        <v>13</v>
      </c>
      <c r="AU113" s="75">
        <f t="array" aca="1" ref="AU113" ca="1">IF(AU$100&gt;$Q$27,"",INDEX('Point Data'!$AP$2:$AP$225,MATCH(1,($AL113='Point Data'!$B$2:$B$225)*(AU$100='Point Data'!$D$2:$D$225),0)))</f>
        <v>8</v>
      </c>
      <c r="AV113" s="75">
        <f t="array" aca="1" ref="AV113" ca="1">IF(AV$100&gt;$Q$27,"",INDEX('Point Data'!$AP$2:$AP$225,MATCH(1,($AL113='Point Data'!$B$2:$B$225)*(AV$100='Point Data'!$D$2:$D$225),0)))</f>
        <v>9</v>
      </c>
      <c r="AW113" s="75">
        <f t="array" aca="1" ref="AW113" ca="1">IF(AW$100&gt;$Q$27,"",INDEX('Point Data'!$AP$2:$AP$225,MATCH(1,($AL113='Point Data'!$B$2:$B$225)*(AW$100='Point Data'!$D$2:$D$225),0)))</f>
        <v>13</v>
      </c>
      <c r="AX113" s="75">
        <f t="array" aca="1" ref="AX113" ca="1">IF(AX$100&gt;$Q$27,"",INDEX('Point Data'!$AP$2:$AP$225,MATCH(1,($AL113='Point Data'!$B$2:$B$225)*(AX$100='Point Data'!$D$2:$D$225),0)))</f>
        <v>14</v>
      </c>
      <c r="AY113" s="6">
        <f t="array" aca="1" ref="AY113" ca="1">IF(AY$100&gt;$Q$27,"",INDEX('Point Data'!$AP$2:$AP$225,MATCH(1,($AL113='Point Data'!$B$2:$B$225)*(AY$100='Point Data'!$D$2:$D$225),0)))</f>
        <v>16</v>
      </c>
      <c r="AZ113" s="75">
        <f t="shared" ca="1" si="14"/>
        <v>16</v>
      </c>
      <c r="BA113" s="6">
        <f t="shared" ca="1" si="15"/>
        <v>14</v>
      </c>
      <c r="BB113" s="6">
        <f t="shared" ca="1" si="16"/>
        <v>11</v>
      </c>
      <c r="BC113" s="6">
        <f t="shared" ca="1" si="17"/>
        <v>8</v>
      </c>
      <c r="BD113" s="75">
        <f t="shared" ca="1" si="18"/>
        <v>2</v>
      </c>
      <c r="BE113" s="6">
        <f t="shared" ca="1" si="19"/>
        <v>4.9665548085837798</v>
      </c>
    </row>
    <row r="114" spans="11:57">
      <c r="K114" s="498"/>
      <c r="L114" s="498"/>
      <c r="M114" s="498"/>
      <c r="N114" s="498"/>
      <c r="O114" s="498"/>
      <c r="P114" s="498"/>
      <c r="Q114" s="498"/>
      <c r="R114" s="498"/>
      <c r="S114" s="498"/>
      <c r="T114" s="498"/>
      <c r="U114" s="498"/>
      <c r="V114" s="498"/>
      <c r="W114" s="498"/>
      <c r="X114" s="498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L114" s="50" t="str">
        <f>'Point Data'!$B$184</f>
        <v>Team 14</v>
      </c>
      <c r="AM114" s="75">
        <f t="array" aca="1" ref="AM114" ca="1">IF(AM$100&gt;$Q$27,"",INDEX('Point Data'!$AP$2:$AP$225,MATCH(1,($AL114='Point Data'!$B$2:$B$225)*(AM$100='Point Data'!$D$2:$D$225),0)))</f>
        <v>5</v>
      </c>
      <c r="AN114" s="75">
        <f t="array" aca="1" ref="AN114" ca="1">IF(AN$100&gt;$Q$27,"",INDEX('Point Data'!$AP$2:$AP$225,MATCH(1,($AL114='Point Data'!$B$2:$B$225)*(AN$100='Point Data'!$D$2:$D$225),0)))</f>
        <v>3</v>
      </c>
      <c r="AO114" s="75">
        <f t="array" aca="1" ref="AO114" ca="1">IF(AO$100&gt;$Q$27,"",INDEX('Point Data'!$AP$2:$AP$225,MATCH(1,($AL114='Point Data'!$B$2:$B$225)*(AO$100='Point Data'!$D$2:$D$225),0)))</f>
        <v>6</v>
      </c>
      <c r="AP114" s="75">
        <f t="array" aca="1" ref="AP114" ca="1">IF(AP$100&gt;$Q$27,"",INDEX('Point Data'!$AP$2:$AP$225,MATCH(1,($AL114='Point Data'!$B$2:$B$225)*(AP$100='Point Data'!$D$2:$D$225),0)))</f>
        <v>9</v>
      </c>
      <c r="AQ114" s="75">
        <f t="array" aca="1" ref="AQ114" ca="1">IF(AQ$100&gt;$Q$27,"",INDEX('Point Data'!$AP$2:$AP$225,MATCH(1,($AL114='Point Data'!$B$2:$B$225)*(AQ$100='Point Data'!$D$2:$D$225),0)))</f>
        <v>10</v>
      </c>
      <c r="AR114" s="75">
        <f t="array" aca="1" ref="AR114" ca="1">IF(AR$100&gt;$Q$27,"",INDEX('Point Data'!$AP$2:$AP$225,MATCH(1,($AL114='Point Data'!$B$2:$B$225)*(AR$100='Point Data'!$D$2:$D$225),0)))</f>
        <v>15</v>
      </c>
      <c r="AS114" s="75">
        <f t="array" aca="1" ref="AS114" ca="1">IF(AS$100&gt;$Q$27,"",INDEX('Point Data'!$AP$2:$AP$225,MATCH(1,($AL114='Point Data'!$B$2:$B$225)*(AS$100='Point Data'!$D$2:$D$225),0)))</f>
        <v>13</v>
      </c>
      <c r="AT114" s="75">
        <f t="array" aca="1" ref="AT114" ca="1">IF(AT$100&gt;$Q$27,"",INDEX('Point Data'!$AP$2:$AP$225,MATCH(1,($AL114='Point Data'!$B$2:$B$225)*(AT$100='Point Data'!$D$2:$D$225),0)))</f>
        <v>1</v>
      </c>
      <c r="AU114" s="75">
        <f t="array" aca="1" ref="AU114" ca="1">IF(AU$100&gt;$Q$27,"",INDEX('Point Data'!$AP$2:$AP$225,MATCH(1,($AL114='Point Data'!$B$2:$B$225)*(AU$100='Point Data'!$D$2:$D$225),0)))</f>
        <v>2</v>
      </c>
      <c r="AV114" s="75">
        <f t="array" aca="1" ref="AV114" ca="1">IF(AV$100&gt;$Q$27,"",INDEX('Point Data'!$AP$2:$AP$225,MATCH(1,($AL114='Point Data'!$B$2:$B$225)*(AV$100='Point Data'!$D$2:$D$225),0)))</f>
        <v>2</v>
      </c>
      <c r="AW114" s="75">
        <f t="array" aca="1" ref="AW114" ca="1">IF(AW$100&gt;$Q$27,"",INDEX('Point Data'!$AP$2:$AP$225,MATCH(1,($AL114='Point Data'!$B$2:$B$225)*(AW$100='Point Data'!$D$2:$D$225),0)))</f>
        <v>4</v>
      </c>
      <c r="AX114" s="75">
        <f t="array" aca="1" ref="AX114" ca="1">IF(AX$100&gt;$Q$27,"",INDEX('Point Data'!$AP$2:$AP$225,MATCH(1,($AL114='Point Data'!$B$2:$B$225)*(AX$100='Point Data'!$D$2:$D$225),0)))</f>
        <v>7</v>
      </c>
      <c r="AY114" s="6">
        <f t="array" aca="1" ref="AY114" ca="1">IF(AY$100&gt;$Q$27,"",INDEX('Point Data'!$AP$2:$AP$225,MATCH(1,($AL114='Point Data'!$B$2:$B$225)*(AY$100='Point Data'!$D$2:$D$225),0)))</f>
        <v>3</v>
      </c>
      <c r="AZ114" s="75">
        <f t="shared" ca="1" si="14"/>
        <v>15</v>
      </c>
      <c r="BA114" s="6">
        <f t="shared" ca="1" si="15"/>
        <v>9</v>
      </c>
      <c r="BB114" s="6">
        <f t="shared" ca="1" si="16"/>
        <v>6.1538461538461542</v>
      </c>
      <c r="BC114" s="6">
        <f t="shared" ca="1" si="17"/>
        <v>3</v>
      </c>
      <c r="BD114" s="75">
        <f t="shared" ca="1" si="18"/>
        <v>1</v>
      </c>
      <c r="BE114" s="6">
        <f t="shared" ca="1" si="19"/>
        <v>4.4318196760501936</v>
      </c>
    </row>
    <row r="115" spans="11:57">
      <c r="K115" s="498"/>
      <c r="L115" s="498"/>
      <c r="M115" s="498"/>
      <c r="N115" s="498"/>
      <c r="O115" s="498"/>
      <c r="P115" s="498"/>
      <c r="Q115" s="498"/>
      <c r="R115" s="498"/>
      <c r="S115" s="498"/>
      <c r="T115" s="498"/>
      <c r="U115" s="498"/>
      <c r="V115" s="498"/>
      <c r="W115" s="498"/>
      <c r="X115" s="498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L115" s="50" t="str">
        <f>'Point Data'!$B$198</f>
        <v>Team 15</v>
      </c>
      <c r="AM115" s="75">
        <f t="array" aca="1" ref="AM115" ca="1">IF(AM$100&gt;$Q$27,"",INDEX('Point Data'!$AP$2:$AP$225,MATCH(1,($AL115='Point Data'!$B$2:$B$225)*(AM$100='Point Data'!$D$2:$D$225),0)))</f>
        <v>4</v>
      </c>
      <c r="AN115" s="75">
        <f t="array" aca="1" ref="AN115" ca="1">IF(AN$100&gt;$Q$27,"",INDEX('Point Data'!$AP$2:$AP$225,MATCH(1,($AL115='Point Data'!$B$2:$B$225)*(AN$100='Point Data'!$D$2:$D$225),0)))</f>
        <v>1</v>
      </c>
      <c r="AO115" s="75">
        <f t="array" aca="1" ref="AO115" ca="1">IF(AO$100&gt;$Q$27,"",INDEX('Point Data'!$AP$2:$AP$225,MATCH(1,($AL115='Point Data'!$B$2:$B$225)*(AO$100='Point Data'!$D$2:$D$225),0)))</f>
        <v>8</v>
      </c>
      <c r="AP115" s="75">
        <f t="array" aca="1" ref="AP115" ca="1">IF(AP$100&gt;$Q$27,"",INDEX('Point Data'!$AP$2:$AP$225,MATCH(1,($AL115='Point Data'!$B$2:$B$225)*(AP$100='Point Data'!$D$2:$D$225),0)))</f>
        <v>6</v>
      </c>
      <c r="AQ115" s="75">
        <f t="array" aca="1" ref="AQ115" ca="1">IF(AQ$100&gt;$Q$27,"",INDEX('Point Data'!$AP$2:$AP$225,MATCH(1,($AL115='Point Data'!$B$2:$B$225)*(AQ$100='Point Data'!$D$2:$D$225),0)))</f>
        <v>8</v>
      </c>
      <c r="AR115" s="75">
        <f t="array" aca="1" ref="AR115" ca="1">IF(AR$100&gt;$Q$27,"",INDEX('Point Data'!$AP$2:$AP$225,MATCH(1,($AL115='Point Data'!$B$2:$B$225)*(AR$100='Point Data'!$D$2:$D$225),0)))</f>
        <v>14</v>
      </c>
      <c r="AS115" s="75">
        <f t="array" aca="1" ref="AS115" ca="1">IF(AS$100&gt;$Q$27,"",INDEX('Point Data'!$AP$2:$AP$225,MATCH(1,($AL115='Point Data'!$B$2:$B$225)*(AS$100='Point Data'!$D$2:$D$225),0)))</f>
        <v>11</v>
      </c>
      <c r="AT115" s="75">
        <f t="array" aca="1" ref="AT115" ca="1">IF(AT$100&gt;$Q$27,"",INDEX('Point Data'!$AP$2:$AP$225,MATCH(1,($AL115='Point Data'!$B$2:$B$225)*(AT$100='Point Data'!$D$2:$D$225),0)))</f>
        <v>4</v>
      </c>
      <c r="AU115" s="75">
        <f t="array" aca="1" ref="AU115" ca="1">IF(AU$100&gt;$Q$27,"",INDEX('Point Data'!$AP$2:$AP$225,MATCH(1,($AL115='Point Data'!$B$2:$B$225)*(AU$100='Point Data'!$D$2:$D$225),0)))</f>
        <v>13</v>
      </c>
      <c r="AV115" s="75">
        <f t="array" aca="1" ref="AV115" ca="1">IF(AV$100&gt;$Q$27,"",INDEX('Point Data'!$AP$2:$AP$225,MATCH(1,($AL115='Point Data'!$B$2:$B$225)*(AV$100='Point Data'!$D$2:$D$225),0)))</f>
        <v>6</v>
      </c>
      <c r="AW115" s="75">
        <f t="array" aca="1" ref="AW115" ca="1">IF(AW$100&gt;$Q$27,"",INDEX('Point Data'!$AP$2:$AP$225,MATCH(1,($AL115='Point Data'!$B$2:$B$225)*(AW$100='Point Data'!$D$2:$D$225),0)))</f>
        <v>5</v>
      </c>
      <c r="AX115" s="75">
        <f t="array" aca="1" ref="AX115" ca="1">IF(AX$100&gt;$Q$27,"",INDEX('Point Data'!$AP$2:$AP$225,MATCH(1,($AL115='Point Data'!$B$2:$B$225)*(AX$100='Point Data'!$D$2:$D$225),0)))</f>
        <v>15</v>
      </c>
      <c r="AY115" s="6">
        <f t="array" aca="1" ref="AY115" ca="1">IF(AY$100&gt;$Q$27,"",INDEX('Point Data'!$AP$2:$AP$225,MATCH(1,($AL115='Point Data'!$B$2:$B$225)*(AY$100='Point Data'!$D$2:$D$225),0)))</f>
        <v>1</v>
      </c>
      <c r="AZ115" s="75">
        <f t="shared" ca="1" si="14"/>
        <v>15</v>
      </c>
      <c r="BA115" s="6">
        <f t="shared" ca="1" si="15"/>
        <v>11</v>
      </c>
      <c r="BB115" s="6">
        <f t="shared" ca="1" si="16"/>
        <v>7.384615384615385</v>
      </c>
      <c r="BC115" s="6">
        <f t="shared" ca="1" si="17"/>
        <v>4</v>
      </c>
      <c r="BD115" s="75">
        <f t="shared" ca="1" si="18"/>
        <v>1</v>
      </c>
      <c r="BE115" s="6">
        <f t="shared" ca="1" si="19"/>
        <v>4.6643767275393033</v>
      </c>
    </row>
    <row r="116" spans="11:57">
      <c r="K116" s="498"/>
      <c r="L116" s="498"/>
      <c r="M116" s="498"/>
      <c r="N116" s="498"/>
      <c r="O116" s="498"/>
      <c r="P116" s="498"/>
      <c r="Q116" s="498"/>
      <c r="R116" s="498"/>
      <c r="S116" s="498"/>
      <c r="T116" s="498"/>
      <c r="U116" s="498"/>
      <c r="V116" s="498"/>
      <c r="W116" s="498"/>
      <c r="X116" s="498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L116" s="50" t="str">
        <f>'Point Data'!$B$212</f>
        <v>Team 16</v>
      </c>
      <c r="AM116" s="75">
        <f t="array" aca="1" ref="AM116" ca="1">IF(AM$100&gt;$Q$27,"",INDEX('Point Data'!$AP$2:$AP$225,MATCH(1,($AL116='Point Data'!$B$2:$B$225)*(AM$100='Point Data'!$D$2:$D$225),0)))</f>
        <v>16</v>
      </c>
      <c r="AN116" s="75">
        <f t="array" aca="1" ref="AN116" ca="1">IF(AN$100&gt;$Q$27,"",INDEX('Point Data'!$AP$2:$AP$225,MATCH(1,($AL116='Point Data'!$B$2:$B$225)*(AN$100='Point Data'!$D$2:$D$225),0)))</f>
        <v>10</v>
      </c>
      <c r="AO116" s="75">
        <f t="array" aca="1" ref="AO116" ca="1">IF(AO$100&gt;$Q$27,"",INDEX('Point Data'!$AP$2:$AP$225,MATCH(1,($AL116='Point Data'!$B$2:$B$225)*(AO$100='Point Data'!$D$2:$D$225),0)))</f>
        <v>10</v>
      </c>
      <c r="AP116" s="75">
        <f t="array" aca="1" ref="AP116" ca="1">IF(AP$100&gt;$Q$27,"",INDEX('Point Data'!$AP$2:$AP$225,MATCH(1,($AL116='Point Data'!$B$2:$B$225)*(AP$100='Point Data'!$D$2:$D$225),0)))</f>
        <v>10</v>
      </c>
      <c r="AQ116" s="75">
        <f t="array" aca="1" ref="AQ116" ca="1">IF(AQ$100&gt;$Q$27,"",INDEX('Point Data'!$AP$2:$AP$225,MATCH(1,($AL116='Point Data'!$B$2:$B$225)*(AQ$100='Point Data'!$D$2:$D$225),0)))</f>
        <v>4</v>
      </c>
      <c r="AR116" s="75">
        <f t="array" aca="1" ref="AR116" ca="1">IF(AR$100&gt;$Q$27,"",INDEX('Point Data'!$AP$2:$AP$225,MATCH(1,($AL116='Point Data'!$B$2:$B$225)*(AR$100='Point Data'!$D$2:$D$225),0)))</f>
        <v>7</v>
      </c>
      <c r="AS116" s="75">
        <f t="array" aca="1" ref="AS116" ca="1">IF(AS$100&gt;$Q$27,"",INDEX('Point Data'!$AP$2:$AP$225,MATCH(1,($AL116='Point Data'!$B$2:$B$225)*(AS$100='Point Data'!$D$2:$D$225),0)))</f>
        <v>16</v>
      </c>
      <c r="AT116" s="75">
        <f t="array" aca="1" ref="AT116" ca="1">IF(AT$100&gt;$Q$27,"",INDEX('Point Data'!$AP$2:$AP$225,MATCH(1,($AL116='Point Data'!$B$2:$B$225)*(AT$100='Point Data'!$D$2:$D$225),0)))</f>
        <v>16</v>
      </c>
      <c r="AU116" s="75">
        <f t="array" aca="1" ref="AU116" ca="1">IF(AU$100&gt;$Q$27,"",INDEX('Point Data'!$AP$2:$AP$225,MATCH(1,($AL116='Point Data'!$B$2:$B$225)*(AU$100='Point Data'!$D$2:$D$225),0)))</f>
        <v>10</v>
      </c>
      <c r="AV116" s="75">
        <f t="array" aca="1" ref="AV116" ca="1">IF(AV$100&gt;$Q$27,"",INDEX('Point Data'!$AP$2:$AP$225,MATCH(1,($AL116='Point Data'!$B$2:$B$225)*(AV$100='Point Data'!$D$2:$D$225),0)))</f>
        <v>10</v>
      </c>
      <c r="AW116" s="75">
        <f t="array" aca="1" ref="AW116" ca="1">IF(AW$100&gt;$Q$27,"",INDEX('Point Data'!$AP$2:$AP$225,MATCH(1,($AL116='Point Data'!$B$2:$B$225)*(AW$100='Point Data'!$D$2:$D$225),0)))</f>
        <v>9</v>
      </c>
      <c r="AX116" s="75">
        <f t="array" aca="1" ref="AX116" ca="1">IF(AX$100&gt;$Q$27,"",INDEX('Point Data'!$AP$2:$AP$225,MATCH(1,($AL116='Point Data'!$B$2:$B$225)*(AX$100='Point Data'!$D$2:$D$225),0)))</f>
        <v>5</v>
      </c>
      <c r="AY116" s="6">
        <f t="array" aca="1" ref="AY116" ca="1">IF(AY$100&gt;$Q$27,"",INDEX('Point Data'!$AP$2:$AP$225,MATCH(1,($AL116='Point Data'!$B$2:$B$225)*(AY$100='Point Data'!$D$2:$D$225),0)))</f>
        <v>15</v>
      </c>
      <c r="AZ116" s="75">
        <f t="shared" ca="1" si="14"/>
        <v>16</v>
      </c>
      <c r="BA116" s="6">
        <f t="shared" ca="1" si="15"/>
        <v>15</v>
      </c>
      <c r="BB116" s="6">
        <f t="shared" ca="1" si="16"/>
        <v>10.615384615384615</v>
      </c>
      <c r="BC116" s="6">
        <f t="shared" ca="1" si="17"/>
        <v>9</v>
      </c>
      <c r="BD116" s="75">
        <f t="shared" ca="1" si="18"/>
        <v>4</v>
      </c>
      <c r="BE116" s="6">
        <f t="shared" ca="1" si="19"/>
        <v>4.0730508945682953</v>
      </c>
    </row>
    <row r="117" spans="11:57">
      <c r="K117" s="498"/>
      <c r="L117" s="498"/>
      <c r="M117" s="498"/>
      <c r="N117" s="498"/>
      <c r="O117" s="498"/>
      <c r="P117" s="498"/>
      <c r="Q117" s="498"/>
      <c r="R117" s="498"/>
      <c r="S117" s="498"/>
      <c r="T117" s="498"/>
      <c r="U117" s="498"/>
      <c r="V117" s="498"/>
      <c r="W117" s="498"/>
      <c r="X117" s="498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U117" s="180"/>
      <c r="AZ117" s="2"/>
      <c r="BC117" s="127"/>
    </row>
    <row r="118" spans="11:57">
      <c r="K118" s="498"/>
      <c r="L118" s="498"/>
      <c r="M118" s="498"/>
      <c r="N118" s="498"/>
      <c r="O118" s="498"/>
      <c r="P118" s="498"/>
      <c r="Q118" s="498"/>
      <c r="R118" s="498"/>
      <c r="S118" s="498"/>
      <c r="T118" s="498"/>
      <c r="U118" s="498"/>
      <c r="V118" s="498"/>
      <c r="W118" s="498"/>
      <c r="X118" s="498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L118" s="128" t="s">
        <v>78</v>
      </c>
      <c r="AM118" s="128">
        <v>1</v>
      </c>
      <c r="AN118" s="128">
        <v>2</v>
      </c>
      <c r="AO118" s="128">
        <v>3</v>
      </c>
      <c r="AP118" s="128">
        <v>4</v>
      </c>
      <c r="AQ118" s="128">
        <v>5</v>
      </c>
      <c r="AR118" s="128">
        <v>6</v>
      </c>
      <c r="AS118" s="128">
        <v>7</v>
      </c>
      <c r="AT118" s="128">
        <v>8</v>
      </c>
      <c r="AU118" s="75">
        <v>9</v>
      </c>
      <c r="AV118" s="128">
        <v>10</v>
      </c>
      <c r="AW118" s="128">
        <v>11</v>
      </c>
      <c r="AX118" s="128">
        <v>12</v>
      </c>
      <c r="AY118" s="128">
        <v>13</v>
      </c>
      <c r="AZ118" s="128" t="s">
        <v>55</v>
      </c>
      <c r="BA118" s="128" t="s">
        <v>75</v>
      </c>
      <c r="BB118" s="128" t="s">
        <v>72</v>
      </c>
      <c r="BC118" s="128" t="s">
        <v>76</v>
      </c>
      <c r="BD118" s="128" t="s">
        <v>73</v>
      </c>
      <c r="BE118" s="128" t="s">
        <v>74</v>
      </c>
    </row>
    <row r="119" spans="11:57">
      <c r="K119" s="498"/>
      <c r="L119" s="498"/>
      <c r="M119" s="498"/>
      <c r="N119" s="498"/>
      <c r="O119" s="498"/>
      <c r="P119" s="498"/>
      <c r="Q119" s="498"/>
      <c r="R119" s="498"/>
      <c r="S119" s="498"/>
      <c r="T119" s="498"/>
      <c r="U119" s="498"/>
      <c r="V119" s="498"/>
      <c r="W119" s="498"/>
      <c r="X119" s="498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L119" s="209" t="str">
        <f>'Point Data'!$B$2</f>
        <v>Team 1</v>
      </c>
      <c r="AM119" s="75">
        <f t="array" aca="1" ref="AM119" ca="1">IF(AM$118&gt;$Q$27,"",INDEX('Point Data'!$AR$2:$AR$225,MATCH(1,($AL101='Point Data'!$B$2:$B$225)*(AM$100='Point Data'!$D$2:$D$225),0)))</f>
        <v>6</v>
      </c>
      <c r="AN119" s="75">
        <f t="array" aca="1" ref="AN119" ca="1">IF(AN$118&gt;$Q$27,"",INDEX('Point Data'!$AR$2:$AR$225,MATCH(1,($AL101='Point Data'!$B$2:$B$225)*(AN$100='Point Data'!$D$2:$D$225),0)))</f>
        <v>11</v>
      </c>
      <c r="AO119" s="75">
        <f t="array" aca="1" ref="AO119" ca="1">IF(AO$118&gt;$Q$27,"",INDEX('Point Data'!$AR$2:$AR$225,MATCH(1,($AL101='Point Data'!$B$2:$B$225)*(AO$100='Point Data'!$D$2:$D$225),0)))</f>
        <v>8</v>
      </c>
      <c r="AP119" s="75">
        <f t="array" aca="1" ref="AP119" ca="1">IF(AP$118&gt;$Q$27,"",INDEX('Point Data'!$AR$2:$AR$225,MATCH(1,($AL101='Point Data'!$B$2:$B$225)*(AP$100='Point Data'!$D$2:$D$225),0)))</f>
        <v>1</v>
      </c>
      <c r="AQ119" s="75">
        <f t="array" aca="1" ref="AQ119" ca="1">IF(AQ$118&gt;$Q$27,"",INDEX('Point Data'!$AR$2:$AR$225,MATCH(1,($AL101='Point Data'!$B$2:$B$225)*(AQ$100='Point Data'!$D$2:$D$225),0)))</f>
        <v>11</v>
      </c>
      <c r="AR119" s="75">
        <f t="array" aca="1" ref="AR119" ca="1">IF(AR$118&gt;$Q$27,"",INDEX('Point Data'!$AR$2:$AR$225,MATCH(1,($AL101='Point Data'!$B$2:$B$225)*(AR$100='Point Data'!$D$2:$D$225),0)))</f>
        <v>6</v>
      </c>
      <c r="AS119" s="75">
        <f t="array" aca="1" ref="AS119" ca="1">IF(AS$118&gt;$Q$27,"",INDEX('Point Data'!$AR$2:$AR$225,MATCH(1,($AL101='Point Data'!$B$2:$B$225)*(AS$100='Point Data'!$D$2:$D$225),0)))</f>
        <v>4</v>
      </c>
      <c r="AT119" s="75">
        <f t="array" aca="1" ref="AT119" ca="1">IF(AT$118&gt;$Q$27,"",INDEX('Point Data'!$AR$2:$AR$225,MATCH(1,($AL101='Point Data'!$B$2:$B$225)*(AT$100='Point Data'!$D$2:$D$225),0)))</f>
        <v>16</v>
      </c>
      <c r="AU119" s="75">
        <f t="array" aca="1" ref="AU119" ca="1">IF(AU$118&gt;$Q$27,"",INDEX('Point Data'!$AR$2:$AR$225,MATCH(1,($AL101='Point Data'!$B$2:$B$225)*(AU$100='Point Data'!$D$2:$D$225),0)))</f>
        <v>6</v>
      </c>
      <c r="AV119" s="75">
        <f t="array" aca="1" ref="AV119" ca="1">IF(AV$118&gt;$Q$27,"",INDEX('Point Data'!$AR$2:$AR$225,MATCH(1,($AL101='Point Data'!$B$2:$B$225)*(AV$100='Point Data'!$D$2:$D$225),0)))</f>
        <v>3</v>
      </c>
      <c r="AW119" s="75">
        <f t="array" aca="1" ref="AW119" ca="1">IF(AW$118&gt;$Q$27,"",INDEX('Point Data'!$AR$2:$AR$225,MATCH(1,($AL101='Point Data'!$B$2:$B$225)*(AW$100='Point Data'!$D$2:$D$225),0)))</f>
        <v>2</v>
      </c>
      <c r="AX119" s="75">
        <f t="array" aca="1" ref="AX119" ca="1">IF(AX$118&gt;$Q$27,"",INDEX('Point Data'!$AR$2:$AR$225,MATCH(1,($AL101='Point Data'!$B$2:$B$225)*(AX$100='Point Data'!$D$2:$D$225),0)))</f>
        <v>13</v>
      </c>
      <c r="AY119" s="6">
        <f t="array" aca="1" ref="AY119" ca="1">IF(AY$118&gt;$Q$27,"",INDEX('Point Data'!$AR$2:$AR$225,MATCH(1,($AL101='Point Data'!$B$2:$B$225)*(AY$100='Point Data'!$D$2:$D$225),0)))</f>
        <v>16</v>
      </c>
      <c r="AZ119" s="75">
        <f t="shared" ref="AZ119:AZ134" ca="1" si="20">MAX($AM119:$AY119)</f>
        <v>16</v>
      </c>
      <c r="BA119" s="6">
        <f t="shared" ref="BA119:BA134" ca="1" si="21">_xlfn.QUARTILE.INC($AM119:$AY119,3)</f>
        <v>11</v>
      </c>
      <c r="BB119" s="6">
        <f t="shared" ref="BB119:BB134" ca="1" si="22">AVERAGE($AM119:$AY119)</f>
        <v>7.9230769230769234</v>
      </c>
      <c r="BC119" s="6">
        <f t="shared" ref="BC119:BC134" ca="1" si="23">_xlfn.QUARTILE.INC($AM119:$AY119,1)</f>
        <v>4</v>
      </c>
      <c r="BD119" s="6">
        <f t="shared" ref="BD119:BD134" ca="1" si="24">MIN($AM119:$AY119)</f>
        <v>1</v>
      </c>
      <c r="BE119" s="6">
        <f t="shared" ref="BE119:BE134" ca="1" si="25">_xlfn.STDEV.S($AM119:$AY119)</f>
        <v>5.0738141218997903</v>
      </c>
    </row>
    <row r="120" spans="11:57">
      <c r="K120" s="498"/>
      <c r="L120" s="498"/>
      <c r="M120" s="498"/>
      <c r="N120" s="498"/>
      <c r="O120" s="498"/>
      <c r="P120" s="498"/>
      <c r="Q120" s="498"/>
      <c r="R120" s="498"/>
      <c r="S120" s="498"/>
      <c r="T120" s="498"/>
      <c r="U120" s="498"/>
      <c r="V120" s="498"/>
      <c r="W120" s="498"/>
      <c r="X120" s="498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L120" s="209" t="str">
        <f>'Point Data'!$B$16</f>
        <v>Team 2</v>
      </c>
      <c r="AM120" s="75">
        <f t="array" aca="1" ref="AM120" ca="1">IF(AM$118&gt;$Q$27,"",INDEX('Point Data'!$AR$2:$AR$225,MATCH(1,($AL102='Point Data'!$B$2:$B$225)*(AM$100='Point Data'!$D$2:$D$225),0)))</f>
        <v>13</v>
      </c>
      <c r="AN120" s="75">
        <f t="array" aca="1" ref="AN120" ca="1">IF(AN$118&gt;$Q$27,"",INDEX('Point Data'!$AR$2:$AR$225,MATCH(1,($AL102='Point Data'!$B$2:$B$225)*(AN$100='Point Data'!$D$2:$D$225),0)))</f>
        <v>8</v>
      </c>
      <c r="AO120" s="75">
        <f t="array" aca="1" ref="AO120" ca="1">IF(AO$118&gt;$Q$27,"",INDEX('Point Data'!$AR$2:$AR$225,MATCH(1,($AL102='Point Data'!$B$2:$B$225)*(AO$100='Point Data'!$D$2:$D$225),0)))</f>
        <v>6</v>
      </c>
      <c r="AP120" s="75">
        <f t="array" aca="1" ref="AP120" ca="1">IF(AP$118&gt;$Q$27,"",INDEX('Point Data'!$AR$2:$AR$225,MATCH(1,($AL102='Point Data'!$B$2:$B$225)*(AP$100='Point Data'!$D$2:$D$225),0)))</f>
        <v>14</v>
      </c>
      <c r="AQ120" s="75">
        <f t="array" aca="1" ref="AQ120" ca="1">IF(AQ$118&gt;$Q$27,"",INDEX('Point Data'!$AR$2:$AR$225,MATCH(1,($AL102='Point Data'!$B$2:$B$225)*(AQ$100='Point Data'!$D$2:$D$225),0)))</f>
        <v>3</v>
      </c>
      <c r="AR120" s="75">
        <f t="array" aca="1" ref="AR120" ca="1">IF(AR$118&gt;$Q$27,"",INDEX('Point Data'!$AR$2:$AR$225,MATCH(1,($AL102='Point Data'!$B$2:$B$225)*(AR$100='Point Data'!$D$2:$D$225),0)))</f>
        <v>14</v>
      </c>
      <c r="AS120" s="75">
        <f t="array" aca="1" ref="AS120" ca="1">IF(AS$118&gt;$Q$27,"",INDEX('Point Data'!$AR$2:$AR$225,MATCH(1,($AL102='Point Data'!$B$2:$B$225)*(AS$100='Point Data'!$D$2:$D$225),0)))</f>
        <v>14</v>
      </c>
      <c r="AT120" s="75">
        <f t="array" aca="1" ref="AT120" ca="1">IF(AT$118&gt;$Q$27,"",INDEX('Point Data'!$AR$2:$AR$225,MATCH(1,($AL102='Point Data'!$B$2:$B$225)*(AT$100='Point Data'!$D$2:$D$225),0)))</f>
        <v>3</v>
      </c>
      <c r="AU120" s="75">
        <f t="array" aca="1" ref="AU120" ca="1">IF(AU$118&gt;$Q$27,"",INDEX('Point Data'!$AR$2:$AR$225,MATCH(1,($AL102='Point Data'!$B$2:$B$225)*(AU$100='Point Data'!$D$2:$D$225),0)))</f>
        <v>14</v>
      </c>
      <c r="AV120" s="75">
        <f t="array" aca="1" ref="AV120" ca="1">IF(AV$118&gt;$Q$27,"",INDEX('Point Data'!$AR$2:$AR$225,MATCH(1,($AL102='Point Data'!$B$2:$B$225)*(AV$100='Point Data'!$D$2:$D$225),0)))</f>
        <v>9</v>
      </c>
      <c r="AW120" s="75">
        <f t="array" aca="1" ref="AW120" ca="1">IF(AW$118&gt;$Q$27,"",INDEX('Point Data'!$AR$2:$AR$225,MATCH(1,($AL102='Point Data'!$B$2:$B$225)*(AW$100='Point Data'!$D$2:$D$225),0)))</f>
        <v>9</v>
      </c>
      <c r="AX120" s="75">
        <f t="array" aca="1" ref="AX120" ca="1">IF(AX$118&gt;$Q$27,"",INDEX('Point Data'!$AR$2:$AR$225,MATCH(1,($AL102='Point Data'!$B$2:$B$225)*(AX$100='Point Data'!$D$2:$D$225),0)))</f>
        <v>12</v>
      </c>
      <c r="AY120" s="6">
        <f t="array" aca="1" ref="AY120" ca="1">IF(AY$118&gt;$Q$27,"",INDEX('Point Data'!$AR$2:$AR$225,MATCH(1,($AL102='Point Data'!$B$2:$B$225)*(AY$100='Point Data'!$D$2:$D$225),0)))</f>
        <v>2</v>
      </c>
      <c r="AZ120" s="75">
        <f t="shared" ca="1" si="20"/>
        <v>14</v>
      </c>
      <c r="BA120" s="6">
        <f t="shared" ca="1" si="21"/>
        <v>14</v>
      </c>
      <c r="BB120" s="6">
        <f t="shared" ca="1" si="22"/>
        <v>9.3076923076923084</v>
      </c>
      <c r="BC120" s="6">
        <f t="shared" ca="1" si="23"/>
        <v>6</v>
      </c>
      <c r="BD120" s="6">
        <f t="shared" ca="1" si="24"/>
        <v>2</v>
      </c>
      <c r="BE120" s="6">
        <f t="shared" ca="1" si="25"/>
        <v>4.6076858867298265</v>
      </c>
    </row>
    <row r="121" spans="11:57">
      <c r="K121" s="498"/>
      <c r="L121" s="498"/>
      <c r="M121" s="498"/>
      <c r="N121" s="498"/>
      <c r="O121" s="498"/>
      <c r="P121" s="498"/>
      <c r="Q121" s="498"/>
      <c r="R121" s="498"/>
      <c r="S121" s="498"/>
      <c r="T121" s="498"/>
      <c r="U121" s="498"/>
      <c r="V121" s="498"/>
      <c r="W121" s="498"/>
      <c r="X121" s="498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L121" s="209" t="str">
        <f>'Point Data'!$B$30</f>
        <v>Team 3</v>
      </c>
      <c r="AM121" s="75">
        <f t="array" aca="1" ref="AM121" ca="1">IF(AM$118&gt;$Q$27,"",INDEX('Point Data'!$AR$2:$AR$225,MATCH(1,($AL103='Point Data'!$B$2:$B$225)*(AM$100='Point Data'!$D$2:$D$225),0)))</f>
        <v>3</v>
      </c>
      <c r="AN121" s="75">
        <f t="array" aca="1" ref="AN121" ca="1">IF(AN$118&gt;$Q$27,"",INDEX('Point Data'!$AR$2:$AR$225,MATCH(1,($AL103='Point Data'!$B$2:$B$225)*(AN$100='Point Data'!$D$2:$D$225),0)))</f>
        <v>5</v>
      </c>
      <c r="AO121" s="75">
        <f t="array" aca="1" ref="AO121" ca="1">IF(AO$118&gt;$Q$27,"",INDEX('Point Data'!$AR$2:$AR$225,MATCH(1,($AL103='Point Data'!$B$2:$B$225)*(AO$100='Point Data'!$D$2:$D$225),0)))</f>
        <v>9</v>
      </c>
      <c r="AP121" s="75">
        <f t="array" aca="1" ref="AP121" ca="1">IF(AP$118&gt;$Q$27,"",INDEX('Point Data'!$AR$2:$AR$225,MATCH(1,($AL103='Point Data'!$B$2:$B$225)*(AP$100='Point Data'!$D$2:$D$225),0)))</f>
        <v>6</v>
      </c>
      <c r="AQ121" s="75">
        <f t="array" aca="1" ref="AQ121" ca="1">IF(AQ$118&gt;$Q$27,"",INDEX('Point Data'!$AR$2:$AR$225,MATCH(1,($AL103='Point Data'!$B$2:$B$225)*(AQ$100='Point Data'!$D$2:$D$225),0)))</f>
        <v>9</v>
      </c>
      <c r="AR121" s="75">
        <f t="array" aca="1" ref="AR121" ca="1">IF(AR$118&gt;$Q$27,"",INDEX('Point Data'!$AR$2:$AR$225,MATCH(1,($AL103='Point Data'!$B$2:$B$225)*(AR$100='Point Data'!$D$2:$D$225),0)))</f>
        <v>1</v>
      </c>
      <c r="AS121" s="75">
        <f t="array" aca="1" ref="AS121" ca="1">IF(AS$118&gt;$Q$27,"",INDEX('Point Data'!$AR$2:$AR$225,MATCH(1,($AL103='Point Data'!$B$2:$B$225)*(AS$100='Point Data'!$D$2:$D$225),0)))</f>
        <v>9</v>
      </c>
      <c r="AT121" s="75">
        <f t="array" aca="1" ref="AT121" ca="1">IF(AT$118&gt;$Q$27,"",INDEX('Point Data'!$AR$2:$AR$225,MATCH(1,($AL103='Point Data'!$B$2:$B$225)*(AT$100='Point Data'!$D$2:$D$225),0)))</f>
        <v>13</v>
      </c>
      <c r="AU121" s="75">
        <f t="array" aca="1" ref="AU121" ca="1">IF(AU$118&gt;$Q$27,"",INDEX('Point Data'!$AR$2:$AR$225,MATCH(1,($AL103='Point Data'!$B$2:$B$225)*(AU$100='Point Data'!$D$2:$D$225),0)))</f>
        <v>12</v>
      </c>
      <c r="AV121" s="75">
        <f t="array" aca="1" ref="AV121" ca="1">IF(AV$118&gt;$Q$27,"",INDEX('Point Data'!$AR$2:$AR$225,MATCH(1,($AL103='Point Data'!$B$2:$B$225)*(AV$100='Point Data'!$D$2:$D$225),0)))</f>
        <v>4</v>
      </c>
      <c r="AW121" s="75">
        <f t="array" aca="1" ref="AW121" ca="1">IF(AW$118&gt;$Q$27,"",INDEX('Point Data'!$AR$2:$AR$225,MATCH(1,($AL103='Point Data'!$B$2:$B$225)*(AW$100='Point Data'!$D$2:$D$225),0)))</f>
        <v>1</v>
      </c>
      <c r="AX121" s="75">
        <f t="array" aca="1" ref="AX121" ca="1">IF(AX$118&gt;$Q$27,"",INDEX('Point Data'!$AR$2:$AR$225,MATCH(1,($AL103='Point Data'!$B$2:$B$225)*(AX$100='Point Data'!$D$2:$D$225),0)))</f>
        <v>10</v>
      </c>
      <c r="AY121" s="6">
        <f t="array" aca="1" ref="AY121" ca="1">IF(AY$118&gt;$Q$27,"",INDEX('Point Data'!$AR$2:$AR$225,MATCH(1,($AL103='Point Data'!$B$2:$B$225)*(AY$100='Point Data'!$D$2:$D$225),0)))</f>
        <v>15</v>
      </c>
      <c r="AZ121" s="75">
        <f t="shared" ca="1" si="20"/>
        <v>15</v>
      </c>
      <c r="BA121" s="6">
        <f t="shared" ca="1" si="21"/>
        <v>10</v>
      </c>
      <c r="BB121" s="6">
        <f t="shared" ca="1" si="22"/>
        <v>7.4615384615384617</v>
      </c>
      <c r="BC121" s="6">
        <f t="shared" ca="1" si="23"/>
        <v>4</v>
      </c>
      <c r="BD121" s="6">
        <f t="shared" ca="1" si="24"/>
        <v>1</v>
      </c>
      <c r="BE121" s="6">
        <f t="shared" ca="1" si="25"/>
        <v>4.5206080825368442</v>
      </c>
    </row>
    <row r="122" spans="11:57">
      <c r="K122" s="498"/>
      <c r="L122" s="498"/>
      <c r="M122" s="498"/>
      <c r="N122" s="498"/>
      <c r="O122" s="498"/>
      <c r="P122" s="498"/>
      <c r="Q122" s="498"/>
      <c r="R122" s="498"/>
      <c r="S122" s="498"/>
      <c r="T122" s="498"/>
      <c r="U122" s="498"/>
      <c r="V122" s="498"/>
      <c r="W122" s="498"/>
      <c r="X122" s="498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L122" s="209" t="str">
        <f>'Point Data'!$B$44</f>
        <v>Team 4</v>
      </c>
      <c r="AM122" s="75">
        <f t="array" aca="1" ref="AM122" ca="1">IF(AM$118&gt;$Q$27,"",INDEX('Point Data'!$AR$2:$AR$225,MATCH(1,($AL104='Point Data'!$B$2:$B$225)*(AM$100='Point Data'!$D$2:$D$225),0)))</f>
        <v>16</v>
      </c>
      <c r="AN122" s="75">
        <f t="array" aca="1" ref="AN122" ca="1">IF(AN$118&gt;$Q$27,"",INDEX('Point Data'!$AR$2:$AR$225,MATCH(1,($AL104='Point Data'!$B$2:$B$225)*(AN$100='Point Data'!$D$2:$D$225),0)))</f>
        <v>13</v>
      </c>
      <c r="AO122" s="75">
        <f t="array" aca="1" ref="AO122" ca="1">IF(AO$118&gt;$Q$27,"",INDEX('Point Data'!$AR$2:$AR$225,MATCH(1,($AL104='Point Data'!$B$2:$B$225)*(AO$100='Point Data'!$D$2:$D$225),0)))</f>
        <v>15</v>
      </c>
      <c r="AP122" s="75">
        <f t="array" aca="1" ref="AP122" ca="1">IF(AP$118&gt;$Q$27,"",INDEX('Point Data'!$AR$2:$AR$225,MATCH(1,($AL104='Point Data'!$B$2:$B$225)*(AP$100='Point Data'!$D$2:$D$225),0)))</f>
        <v>2</v>
      </c>
      <c r="AQ122" s="75">
        <f t="array" aca="1" ref="AQ122" ca="1">IF(AQ$118&gt;$Q$27,"",INDEX('Point Data'!$AR$2:$AR$225,MATCH(1,($AL104='Point Data'!$B$2:$B$225)*(AQ$100='Point Data'!$D$2:$D$225),0)))</f>
        <v>15</v>
      </c>
      <c r="AR122" s="75">
        <f t="array" aca="1" ref="AR122" ca="1">IF(AR$118&gt;$Q$27,"",INDEX('Point Data'!$AR$2:$AR$225,MATCH(1,($AL104='Point Data'!$B$2:$B$225)*(AR$100='Point Data'!$D$2:$D$225),0)))</f>
        <v>16</v>
      </c>
      <c r="AS122" s="75">
        <f t="array" aca="1" ref="AS122" ca="1">IF(AS$118&gt;$Q$27,"",INDEX('Point Data'!$AR$2:$AR$225,MATCH(1,($AL104='Point Data'!$B$2:$B$225)*(AS$100='Point Data'!$D$2:$D$225),0)))</f>
        <v>13</v>
      </c>
      <c r="AT122" s="75">
        <f t="array" aca="1" ref="AT122" ca="1">IF(AT$118&gt;$Q$27,"",INDEX('Point Data'!$AR$2:$AR$225,MATCH(1,($AL104='Point Data'!$B$2:$B$225)*(AT$100='Point Data'!$D$2:$D$225),0)))</f>
        <v>5</v>
      </c>
      <c r="AU122" s="75">
        <f t="array" aca="1" ref="AU122" ca="1">IF(AU$118&gt;$Q$27,"",INDEX('Point Data'!$AR$2:$AR$225,MATCH(1,($AL104='Point Data'!$B$2:$B$225)*(AU$100='Point Data'!$D$2:$D$225),0)))</f>
        <v>7</v>
      </c>
      <c r="AV122" s="75">
        <f t="array" aca="1" ref="AV122" ca="1">IF(AV$118&gt;$Q$27,"",INDEX('Point Data'!$AR$2:$AR$225,MATCH(1,($AL104='Point Data'!$B$2:$B$225)*(AV$100='Point Data'!$D$2:$D$225),0)))</f>
        <v>5</v>
      </c>
      <c r="AW122" s="75">
        <f t="array" aca="1" ref="AW122" ca="1">IF(AW$118&gt;$Q$27,"",INDEX('Point Data'!$AR$2:$AR$225,MATCH(1,($AL104='Point Data'!$B$2:$B$225)*(AW$100='Point Data'!$D$2:$D$225),0)))</f>
        <v>12</v>
      </c>
      <c r="AX122" s="75">
        <f t="array" aca="1" ref="AX122" ca="1">IF(AX$118&gt;$Q$27,"",INDEX('Point Data'!$AR$2:$AR$225,MATCH(1,($AL104='Point Data'!$B$2:$B$225)*(AX$100='Point Data'!$D$2:$D$225),0)))</f>
        <v>15</v>
      </c>
      <c r="AY122" s="6">
        <f t="array" aca="1" ref="AY122" ca="1">IF(AY$118&gt;$Q$27,"",INDEX('Point Data'!$AR$2:$AR$225,MATCH(1,($AL104='Point Data'!$B$2:$B$225)*(AY$100='Point Data'!$D$2:$D$225),0)))</f>
        <v>7</v>
      </c>
      <c r="AZ122" s="75">
        <f t="shared" ca="1" si="20"/>
        <v>16</v>
      </c>
      <c r="BA122" s="6">
        <f t="shared" ca="1" si="21"/>
        <v>15</v>
      </c>
      <c r="BB122" s="6">
        <f t="shared" ca="1" si="22"/>
        <v>10.846153846153847</v>
      </c>
      <c r="BC122" s="6">
        <f t="shared" ca="1" si="23"/>
        <v>7</v>
      </c>
      <c r="BD122" s="6">
        <f t="shared" ca="1" si="24"/>
        <v>2</v>
      </c>
      <c r="BE122" s="6">
        <f t="shared" ca="1" si="25"/>
        <v>4.9302831873729422</v>
      </c>
    </row>
    <row r="123" spans="11:57">
      <c r="K123" s="498"/>
      <c r="L123" s="498"/>
      <c r="M123" s="498"/>
      <c r="N123" s="498"/>
      <c r="O123" s="498"/>
      <c r="P123" s="498"/>
      <c r="Q123" s="498"/>
      <c r="R123" s="498"/>
      <c r="S123" s="498"/>
      <c r="T123" s="498"/>
      <c r="U123" s="498"/>
      <c r="V123" s="498"/>
      <c r="W123" s="498"/>
      <c r="X123" s="498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L123" s="209" t="str">
        <f>'Point Data'!$B$58</f>
        <v>Team 5</v>
      </c>
      <c r="AM123" s="75">
        <f t="array" aca="1" ref="AM123" ca="1">IF(AM$118&gt;$Q$27,"",INDEX('Point Data'!$AR$2:$AR$225,MATCH(1,($AL105='Point Data'!$B$2:$B$225)*(AM$100='Point Data'!$D$2:$D$225),0)))</f>
        <v>2</v>
      </c>
      <c r="AN123" s="75">
        <f t="array" aca="1" ref="AN123" ca="1">IF(AN$118&gt;$Q$27,"",INDEX('Point Data'!$AR$2:$AR$225,MATCH(1,($AL105='Point Data'!$B$2:$B$225)*(AN$100='Point Data'!$D$2:$D$225),0)))</f>
        <v>15</v>
      </c>
      <c r="AO123" s="75">
        <f t="array" aca="1" ref="AO123" ca="1">IF(AO$118&gt;$Q$27,"",INDEX('Point Data'!$AR$2:$AR$225,MATCH(1,($AL105='Point Data'!$B$2:$B$225)*(AO$100='Point Data'!$D$2:$D$225),0)))</f>
        <v>3</v>
      </c>
      <c r="AP123" s="75">
        <f t="array" aca="1" ref="AP123" ca="1">IF(AP$118&gt;$Q$27,"",INDEX('Point Data'!$AR$2:$AR$225,MATCH(1,($AL105='Point Data'!$B$2:$B$225)*(AP$100='Point Data'!$D$2:$D$225),0)))</f>
        <v>12</v>
      </c>
      <c r="AQ123" s="75">
        <f t="array" aca="1" ref="AQ123" ca="1">IF(AQ$118&gt;$Q$27,"",INDEX('Point Data'!$AR$2:$AR$225,MATCH(1,($AL105='Point Data'!$B$2:$B$225)*(AQ$100='Point Data'!$D$2:$D$225),0)))</f>
        <v>10</v>
      </c>
      <c r="AR123" s="75">
        <f t="array" aca="1" ref="AR123" ca="1">IF(AR$118&gt;$Q$27,"",INDEX('Point Data'!$AR$2:$AR$225,MATCH(1,($AL105='Point Data'!$B$2:$B$225)*(AR$100='Point Data'!$D$2:$D$225),0)))</f>
        <v>4</v>
      </c>
      <c r="AS123" s="75">
        <f t="array" aca="1" ref="AS123" ca="1">IF(AS$118&gt;$Q$27,"",INDEX('Point Data'!$AR$2:$AR$225,MATCH(1,($AL105='Point Data'!$B$2:$B$225)*(AS$100='Point Data'!$D$2:$D$225),0)))</f>
        <v>5</v>
      </c>
      <c r="AT123" s="75">
        <f t="array" aca="1" ref="AT123" ca="1">IF(AT$118&gt;$Q$27,"",INDEX('Point Data'!$AR$2:$AR$225,MATCH(1,($AL105='Point Data'!$B$2:$B$225)*(AT$100='Point Data'!$D$2:$D$225),0)))</f>
        <v>9</v>
      </c>
      <c r="AU123" s="75">
        <f t="array" aca="1" ref="AU123" ca="1">IF(AU$118&gt;$Q$27,"",INDEX('Point Data'!$AR$2:$AR$225,MATCH(1,($AL105='Point Data'!$B$2:$B$225)*(AU$100='Point Data'!$D$2:$D$225),0)))</f>
        <v>10</v>
      </c>
      <c r="AV123" s="75">
        <f t="array" aca="1" ref="AV123" ca="1">IF(AV$118&gt;$Q$27,"",INDEX('Point Data'!$AR$2:$AR$225,MATCH(1,($AL105='Point Data'!$B$2:$B$225)*(AV$100='Point Data'!$D$2:$D$225),0)))</f>
        <v>15</v>
      </c>
      <c r="AW123" s="75">
        <f t="array" aca="1" ref="AW123" ca="1">IF(AW$118&gt;$Q$27,"",INDEX('Point Data'!$AR$2:$AR$225,MATCH(1,($AL105='Point Data'!$B$2:$B$225)*(AW$100='Point Data'!$D$2:$D$225),0)))</f>
        <v>8</v>
      </c>
      <c r="AX123" s="75">
        <f t="array" aca="1" ref="AX123" ca="1">IF(AX$118&gt;$Q$27,"",INDEX('Point Data'!$AR$2:$AR$225,MATCH(1,($AL105='Point Data'!$B$2:$B$225)*(AX$100='Point Data'!$D$2:$D$225),0)))</f>
        <v>14</v>
      </c>
      <c r="AY123" s="6">
        <f t="array" aca="1" ref="AY123" ca="1">IF(AY$118&gt;$Q$27,"",INDEX('Point Data'!$AR$2:$AR$225,MATCH(1,($AL105='Point Data'!$B$2:$B$225)*(AY$100='Point Data'!$D$2:$D$225),0)))</f>
        <v>10</v>
      </c>
      <c r="AZ123" s="75">
        <f t="shared" ca="1" si="20"/>
        <v>15</v>
      </c>
      <c r="BA123" s="6">
        <f t="shared" ca="1" si="21"/>
        <v>12</v>
      </c>
      <c r="BB123" s="6">
        <f t="shared" ca="1" si="22"/>
        <v>9</v>
      </c>
      <c r="BC123" s="6">
        <f t="shared" ca="1" si="23"/>
        <v>5</v>
      </c>
      <c r="BD123" s="6">
        <f t="shared" ca="1" si="24"/>
        <v>2</v>
      </c>
      <c r="BE123" s="6">
        <f t="shared" ca="1" si="25"/>
        <v>4.4347115652166904</v>
      </c>
    </row>
    <row r="124" spans="11:57">
      <c r="K124" s="499"/>
      <c r="L124" s="499"/>
      <c r="M124" s="499"/>
      <c r="N124" s="499"/>
      <c r="O124" s="499"/>
      <c r="P124" s="499"/>
      <c r="Q124" s="499"/>
      <c r="R124" s="499"/>
      <c r="S124" s="499"/>
      <c r="T124" s="499"/>
      <c r="U124" s="499"/>
      <c r="V124" s="499"/>
      <c r="W124" s="499"/>
      <c r="X124" s="499"/>
      <c r="Z124" s="95"/>
      <c r="AC124" s="95"/>
      <c r="AE124" s="95"/>
      <c r="AG124" s="95"/>
      <c r="AI124" s="95"/>
      <c r="AL124" s="209" t="str">
        <f>'Point Data'!$B$72</f>
        <v>Team 6</v>
      </c>
      <c r="AM124" s="75">
        <f t="array" aca="1" ref="AM124" ca="1">IF(AM$118&gt;$Q$27,"",INDEX('Point Data'!$AR$2:$AR$225,MATCH(1,($AL106='Point Data'!$B$2:$B$225)*(AM$100='Point Data'!$D$2:$D$225),0)))</f>
        <v>7</v>
      </c>
      <c r="AN124" s="75">
        <f t="array" aca="1" ref="AN124" ca="1">IF(AN$118&gt;$Q$27,"",INDEX('Point Data'!$AR$2:$AR$225,MATCH(1,($AL106='Point Data'!$B$2:$B$225)*(AN$100='Point Data'!$D$2:$D$225),0)))</f>
        <v>6</v>
      </c>
      <c r="AO124" s="75">
        <f t="array" aca="1" ref="AO124" ca="1">IF(AO$118&gt;$Q$27,"",INDEX('Point Data'!$AR$2:$AR$225,MATCH(1,($AL106='Point Data'!$B$2:$B$225)*(AO$100='Point Data'!$D$2:$D$225),0)))</f>
        <v>12</v>
      </c>
      <c r="AP124" s="75">
        <f t="array" aca="1" ref="AP124" ca="1">IF(AP$118&gt;$Q$27,"",INDEX('Point Data'!$AR$2:$AR$225,MATCH(1,($AL106='Point Data'!$B$2:$B$225)*(AP$100='Point Data'!$D$2:$D$225),0)))</f>
        <v>5</v>
      </c>
      <c r="AQ124" s="75">
        <f t="array" aca="1" ref="AQ124" ca="1">IF(AQ$118&gt;$Q$27,"",INDEX('Point Data'!$AR$2:$AR$225,MATCH(1,($AL106='Point Data'!$B$2:$B$225)*(AQ$100='Point Data'!$D$2:$D$225),0)))</f>
        <v>13</v>
      </c>
      <c r="AR124" s="75">
        <f t="array" aca="1" ref="AR124" ca="1">IF(AR$118&gt;$Q$27,"",INDEX('Point Data'!$AR$2:$AR$225,MATCH(1,($AL106='Point Data'!$B$2:$B$225)*(AR$100='Point Data'!$D$2:$D$225),0)))</f>
        <v>2</v>
      </c>
      <c r="AS124" s="75">
        <f t="array" aca="1" ref="AS124" ca="1">IF(AS$118&gt;$Q$27,"",INDEX('Point Data'!$AR$2:$AR$225,MATCH(1,($AL106='Point Data'!$B$2:$B$225)*(AS$100='Point Data'!$D$2:$D$225),0)))</f>
        <v>10</v>
      </c>
      <c r="AT124" s="75">
        <f t="array" aca="1" ref="AT124" ca="1">IF(AT$118&gt;$Q$27,"",INDEX('Point Data'!$AR$2:$AR$225,MATCH(1,($AL106='Point Data'!$B$2:$B$225)*(AT$100='Point Data'!$D$2:$D$225),0)))</f>
        <v>6</v>
      </c>
      <c r="AU124" s="75">
        <f t="array" aca="1" ref="AU124" ca="1">IF(AU$118&gt;$Q$27,"",INDEX('Point Data'!$AR$2:$AR$225,MATCH(1,($AL106='Point Data'!$B$2:$B$225)*(AU$100='Point Data'!$D$2:$D$225),0)))</f>
        <v>4</v>
      </c>
      <c r="AV124" s="75">
        <f t="array" aca="1" ref="AV124" ca="1">IF(AV$118&gt;$Q$27,"",INDEX('Point Data'!$AR$2:$AR$225,MATCH(1,($AL106='Point Data'!$B$2:$B$225)*(AV$100='Point Data'!$D$2:$D$225),0)))</f>
        <v>6</v>
      </c>
      <c r="AW124" s="75">
        <f t="array" aca="1" ref="AW124" ca="1">IF(AW$118&gt;$Q$27,"",INDEX('Point Data'!$AR$2:$AR$225,MATCH(1,($AL106='Point Data'!$B$2:$B$225)*(AW$100='Point Data'!$D$2:$D$225),0)))</f>
        <v>15</v>
      </c>
      <c r="AX124" s="75">
        <f t="array" aca="1" ref="AX124" ca="1">IF(AX$118&gt;$Q$27,"",INDEX('Point Data'!$AR$2:$AR$225,MATCH(1,($AL106='Point Data'!$B$2:$B$225)*(AX$100='Point Data'!$D$2:$D$225),0)))</f>
        <v>9</v>
      </c>
      <c r="AY124" s="6">
        <f t="array" aca="1" ref="AY124" ca="1">IF(AY$118&gt;$Q$27,"",INDEX('Point Data'!$AR$2:$AR$225,MATCH(1,($AL106='Point Data'!$B$2:$B$225)*(AY$100='Point Data'!$D$2:$D$225),0)))</f>
        <v>3</v>
      </c>
      <c r="AZ124" s="75">
        <f t="shared" ca="1" si="20"/>
        <v>15</v>
      </c>
      <c r="BA124" s="6">
        <f t="shared" ca="1" si="21"/>
        <v>10</v>
      </c>
      <c r="BB124" s="6">
        <f t="shared" ca="1" si="22"/>
        <v>7.5384615384615383</v>
      </c>
      <c r="BC124" s="6">
        <f t="shared" ca="1" si="23"/>
        <v>5</v>
      </c>
      <c r="BD124" s="6">
        <f t="shared" ca="1" si="24"/>
        <v>2</v>
      </c>
      <c r="BE124" s="6">
        <f t="shared" ca="1" si="25"/>
        <v>3.9919791377081921</v>
      </c>
    </row>
    <row r="125" spans="11:57">
      <c r="K125" s="499"/>
      <c r="L125" s="499"/>
      <c r="M125" s="499"/>
      <c r="N125" s="499"/>
      <c r="O125" s="499"/>
      <c r="P125" s="499"/>
      <c r="Q125" s="499"/>
      <c r="R125" s="499"/>
      <c r="S125" s="499"/>
      <c r="T125" s="499"/>
      <c r="U125" s="499"/>
      <c r="V125" s="499"/>
      <c r="W125" s="499"/>
      <c r="X125" s="499"/>
      <c r="Z125" s="95"/>
      <c r="AC125" s="95"/>
      <c r="AE125" s="95"/>
      <c r="AG125" s="95"/>
      <c r="AI125" s="95"/>
      <c r="AL125" s="209" t="str">
        <f>'Point Data'!$B$86</f>
        <v>Team 7</v>
      </c>
      <c r="AM125" s="75">
        <f t="array" aca="1" ref="AM125" ca="1">IF(AM$118&gt;$Q$27,"",INDEX('Point Data'!$AR$2:$AR$225,MATCH(1,($AL107='Point Data'!$B$2:$B$225)*(AM$100='Point Data'!$D$2:$D$225),0)))</f>
        <v>11</v>
      </c>
      <c r="AN125" s="75">
        <f t="array" aca="1" ref="AN125" ca="1">IF(AN$118&gt;$Q$27,"",INDEX('Point Data'!$AR$2:$AR$225,MATCH(1,($AL107='Point Data'!$B$2:$B$225)*(AN$100='Point Data'!$D$2:$D$225),0)))</f>
        <v>9</v>
      </c>
      <c r="AO125" s="75">
        <f t="array" aca="1" ref="AO125" ca="1">IF(AO$118&gt;$Q$27,"",INDEX('Point Data'!$AR$2:$AR$225,MATCH(1,($AL107='Point Data'!$B$2:$B$225)*(AO$100='Point Data'!$D$2:$D$225),0)))</f>
        <v>10</v>
      </c>
      <c r="AP125" s="75">
        <f t="array" aca="1" ref="AP125" ca="1">IF(AP$118&gt;$Q$27,"",INDEX('Point Data'!$AR$2:$AR$225,MATCH(1,($AL107='Point Data'!$B$2:$B$225)*(AP$100='Point Data'!$D$2:$D$225),0)))</f>
        <v>3</v>
      </c>
      <c r="AQ125" s="75">
        <f t="array" aca="1" ref="AQ125" ca="1">IF(AQ$118&gt;$Q$27,"",INDEX('Point Data'!$AR$2:$AR$225,MATCH(1,($AL107='Point Data'!$B$2:$B$225)*(AQ$100='Point Data'!$D$2:$D$225),0)))</f>
        <v>2</v>
      </c>
      <c r="AR125" s="75">
        <f t="array" aca="1" ref="AR125" ca="1">IF(AR$118&gt;$Q$27,"",INDEX('Point Data'!$AR$2:$AR$225,MATCH(1,($AL107='Point Data'!$B$2:$B$225)*(AR$100='Point Data'!$D$2:$D$225),0)))</f>
        <v>10</v>
      </c>
      <c r="AS125" s="75">
        <f t="array" aca="1" ref="AS125" ca="1">IF(AS$118&gt;$Q$27,"",INDEX('Point Data'!$AR$2:$AR$225,MATCH(1,($AL107='Point Data'!$B$2:$B$225)*(AS$100='Point Data'!$D$2:$D$225),0)))</f>
        <v>15</v>
      </c>
      <c r="AT125" s="75">
        <f t="array" aca="1" ref="AT125" ca="1">IF(AT$118&gt;$Q$27,"",INDEX('Point Data'!$AR$2:$AR$225,MATCH(1,($AL107='Point Data'!$B$2:$B$225)*(AT$100='Point Data'!$D$2:$D$225),0)))</f>
        <v>4</v>
      </c>
      <c r="AU125" s="75">
        <f t="array" aca="1" ref="AU125" ca="1">IF(AU$118&gt;$Q$27,"",INDEX('Point Data'!$AR$2:$AR$225,MATCH(1,($AL107='Point Data'!$B$2:$B$225)*(AU$100='Point Data'!$D$2:$D$225),0)))</f>
        <v>3</v>
      </c>
      <c r="AV125" s="75">
        <f t="array" aca="1" ref="AV125" ca="1">IF(AV$118&gt;$Q$27,"",INDEX('Point Data'!$AR$2:$AR$225,MATCH(1,($AL107='Point Data'!$B$2:$B$225)*(AV$100='Point Data'!$D$2:$D$225),0)))</f>
        <v>7</v>
      </c>
      <c r="AW125" s="75">
        <f t="array" aca="1" ref="AW125" ca="1">IF(AW$118&gt;$Q$27,"",INDEX('Point Data'!$AR$2:$AR$225,MATCH(1,($AL107='Point Data'!$B$2:$B$225)*(AW$100='Point Data'!$D$2:$D$225),0)))</f>
        <v>4</v>
      </c>
      <c r="AX125" s="75">
        <f t="array" aca="1" ref="AX125" ca="1">IF(AX$118&gt;$Q$27,"",INDEX('Point Data'!$AR$2:$AR$225,MATCH(1,($AL107='Point Data'!$B$2:$B$225)*(AX$100='Point Data'!$D$2:$D$225),0)))</f>
        <v>6</v>
      </c>
      <c r="AY125" s="6">
        <f t="array" aca="1" ref="AY125" ca="1">IF(AY$118&gt;$Q$27,"",INDEX('Point Data'!$AR$2:$AR$225,MATCH(1,($AL107='Point Data'!$B$2:$B$225)*(AY$100='Point Data'!$D$2:$D$225),0)))</f>
        <v>4</v>
      </c>
      <c r="AZ125" s="75">
        <f t="shared" ca="1" si="20"/>
        <v>15</v>
      </c>
      <c r="BA125" s="6">
        <f t="shared" ca="1" si="21"/>
        <v>10</v>
      </c>
      <c r="BB125" s="6">
        <f t="shared" ca="1" si="22"/>
        <v>6.7692307692307692</v>
      </c>
      <c r="BC125" s="6">
        <f t="shared" ca="1" si="23"/>
        <v>4</v>
      </c>
      <c r="BD125" s="6">
        <f t="shared" ca="1" si="24"/>
        <v>2</v>
      </c>
      <c r="BE125" s="6">
        <f t="shared" ca="1" si="25"/>
        <v>3.9402590048930821</v>
      </c>
    </row>
    <row r="126" spans="11:57">
      <c r="K126" s="499"/>
      <c r="L126" s="499"/>
      <c r="M126" s="499"/>
      <c r="N126" s="499"/>
      <c r="O126" s="499"/>
      <c r="P126" s="499"/>
      <c r="Q126" s="499"/>
      <c r="R126" s="499"/>
      <c r="S126" s="499"/>
      <c r="T126" s="499"/>
      <c r="U126" s="499"/>
      <c r="V126" s="499"/>
      <c r="W126" s="499"/>
      <c r="X126" s="499"/>
      <c r="AC126" s="95"/>
      <c r="AE126" s="95"/>
      <c r="AG126" s="95"/>
      <c r="AI126" s="95"/>
      <c r="AL126" s="209" t="str">
        <f>'Point Data'!$B$100</f>
        <v>Team 8</v>
      </c>
      <c r="AM126" s="75">
        <f t="array" aca="1" ref="AM126" ca="1">IF(AM$118&gt;$Q$27,"",INDEX('Point Data'!$AR$2:$AR$225,MATCH(1,($AL108='Point Data'!$B$2:$B$225)*(AM$100='Point Data'!$D$2:$D$225),0)))</f>
        <v>8</v>
      </c>
      <c r="AN126" s="75">
        <f t="array" aca="1" ref="AN126" ca="1">IF(AN$118&gt;$Q$27,"",INDEX('Point Data'!$AR$2:$AR$225,MATCH(1,($AL108='Point Data'!$B$2:$B$225)*(AN$100='Point Data'!$D$2:$D$225),0)))</f>
        <v>2</v>
      </c>
      <c r="AO126" s="75">
        <f t="array" aca="1" ref="AO126" ca="1">IF(AO$118&gt;$Q$27,"",INDEX('Point Data'!$AR$2:$AR$225,MATCH(1,($AL108='Point Data'!$B$2:$B$225)*(AO$100='Point Data'!$D$2:$D$225),0)))</f>
        <v>1</v>
      </c>
      <c r="AP126" s="75">
        <f t="array" aca="1" ref="AP126" ca="1">IF(AP$118&gt;$Q$27,"",INDEX('Point Data'!$AR$2:$AR$225,MATCH(1,($AL108='Point Data'!$B$2:$B$225)*(AP$100='Point Data'!$D$2:$D$225),0)))</f>
        <v>8</v>
      </c>
      <c r="AQ126" s="75">
        <f t="array" aca="1" ref="AQ126" ca="1">IF(AQ$118&gt;$Q$27,"",INDEX('Point Data'!$AR$2:$AR$225,MATCH(1,($AL108='Point Data'!$B$2:$B$225)*(AQ$100='Point Data'!$D$2:$D$225),0)))</f>
        <v>16</v>
      </c>
      <c r="AR126" s="75">
        <f t="array" aca="1" ref="AR126" ca="1">IF(AR$118&gt;$Q$27,"",INDEX('Point Data'!$AR$2:$AR$225,MATCH(1,($AL108='Point Data'!$B$2:$B$225)*(AR$100='Point Data'!$D$2:$D$225),0)))</f>
        <v>13</v>
      </c>
      <c r="AS126" s="75">
        <f t="array" aca="1" ref="AS126" ca="1">IF(AS$118&gt;$Q$27,"",INDEX('Point Data'!$AR$2:$AR$225,MATCH(1,($AL108='Point Data'!$B$2:$B$225)*(AS$100='Point Data'!$D$2:$D$225),0)))</f>
        <v>6</v>
      </c>
      <c r="AT126" s="75">
        <f t="array" aca="1" ref="AT126" ca="1">IF(AT$118&gt;$Q$27,"",INDEX('Point Data'!$AR$2:$AR$225,MATCH(1,($AL108='Point Data'!$B$2:$B$225)*(AT$100='Point Data'!$D$2:$D$225),0)))</f>
        <v>1</v>
      </c>
      <c r="AU126" s="75">
        <f t="array" aca="1" ref="AU126" ca="1">IF(AU$118&gt;$Q$27,"",INDEX('Point Data'!$AR$2:$AR$225,MATCH(1,($AL108='Point Data'!$B$2:$B$225)*(AU$100='Point Data'!$D$2:$D$225),0)))</f>
        <v>9</v>
      </c>
      <c r="AV126" s="75">
        <f t="array" aca="1" ref="AV126" ca="1">IF(AV$118&gt;$Q$27,"",INDEX('Point Data'!$AR$2:$AR$225,MATCH(1,($AL108='Point Data'!$B$2:$B$225)*(AV$100='Point Data'!$D$2:$D$225),0)))</f>
        <v>12</v>
      </c>
      <c r="AW126" s="75">
        <f t="array" aca="1" ref="AW126" ca="1">IF(AW$118&gt;$Q$27,"",INDEX('Point Data'!$AR$2:$AR$225,MATCH(1,($AL108='Point Data'!$B$2:$B$225)*(AW$100='Point Data'!$D$2:$D$225),0)))</f>
        <v>5</v>
      </c>
      <c r="AX126" s="75">
        <f t="array" aca="1" ref="AX126" ca="1">IF(AX$118&gt;$Q$27,"",INDEX('Point Data'!$AR$2:$AR$225,MATCH(1,($AL108='Point Data'!$B$2:$B$225)*(AX$100='Point Data'!$D$2:$D$225),0)))</f>
        <v>16</v>
      </c>
      <c r="AY126" s="6">
        <f t="array" aca="1" ref="AY126" ca="1">IF(AY$118&gt;$Q$27,"",INDEX('Point Data'!$AR$2:$AR$225,MATCH(1,($AL108='Point Data'!$B$2:$B$225)*(AY$100='Point Data'!$D$2:$D$225),0)))</f>
        <v>6</v>
      </c>
      <c r="AZ126" s="75">
        <f t="shared" ca="1" si="20"/>
        <v>16</v>
      </c>
      <c r="BA126" s="6">
        <f t="shared" ca="1" si="21"/>
        <v>12</v>
      </c>
      <c r="BB126" s="6">
        <f t="shared" ca="1" si="22"/>
        <v>7.9230769230769234</v>
      </c>
      <c r="BC126" s="6">
        <f t="shared" ca="1" si="23"/>
        <v>5</v>
      </c>
      <c r="BD126" s="6">
        <f t="shared" ca="1" si="24"/>
        <v>1</v>
      </c>
      <c r="BE126" s="6">
        <f t="shared" ca="1" si="25"/>
        <v>5.1714204763865164</v>
      </c>
    </row>
    <row r="127" spans="11:57">
      <c r="K127" s="499"/>
      <c r="L127" s="499"/>
      <c r="M127" s="499"/>
      <c r="N127" s="499"/>
      <c r="O127" s="499"/>
      <c r="P127" s="499"/>
      <c r="Q127" s="499"/>
      <c r="R127" s="499"/>
      <c r="S127" s="499"/>
      <c r="T127" s="499"/>
      <c r="U127" s="499"/>
      <c r="V127" s="499"/>
      <c r="W127" s="499"/>
      <c r="X127" s="499"/>
      <c r="AC127" s="95"/>
      <c r="AE127" s="95"/>
      <c r="AG127" s="95"/>
      <c r="AI127" s="95"/>
      <c r="AL127" s="50" t="str">
        <f>'Point Data'!$B$114</f>
        <v>Team 9</v>
      </c>
      <c r="AM127" s="75">
        <f t="array" aca="1" ref="AM127" ca="1">IF(AM$118&gt;$Q$27,"",INDEX('Point Data'!$AR$2:$AR$225,MATCH(1,($AL109='Point Data'!$B$2:$B$225)*(AM$100='Point Data'!$D$2:$D$225),0)))</f>
        <v>4</v>
      </c>
      <c r="AN127" s="75">
        <f t="array" aca="1" ref="AN127" ca="1">IF(AN$118&gt;$Q$27,"",INDEX('Point Data'!$AR$2:$AR$225,MATCH(1,($AL109='Point Data'!$B$2:$B$225)*(AN$100='Point Data'!$D$2:$D$225),0)))</f>
        <v>7</v>
      </c>
      <c r="AO127" s="75">
        <f t="array" aca="1" ref="AO127" ca="1">IF(AO$118&gt;$Q$27,"",INDEX('Point Data'!$AR$2:$AR$225,MATCH(1,($AL109='Point Data'!$B$2:$B$225)*(AO$100='Point Data'!$D$2:$D$225),0)))</f>
        <v>11</v>
      </c>
      <c r="AP127" s="75">
        <f t="array" aca="1" ref="AP127" ca="1">IF(AP$118&gt;$Q$27,"",INDEX('Point Data'!$AR$2:$AR$225,MATCH(1,($AL109='Point Data'!$B$2:$B$225)*(AP$100='Point Data'!$D$2:$D$225),0)))</f>
        <v>9</v>
      </c>
      <c r="AQ127" s="75">
        <f t="array" aca="1" ref="AQ127" ca="1">IF(AQ$118&gt;$Q$27,"",INDEX('Point Data'!$AR$2:$AR$225,MATCH(1,($AL109='Point Data'!$B$2:$B$225)*(AQ$100='Point Data'!$D$2:$D$225),0)))</f>
        <v>6</v>
      </c>
      <c r="AR127" s="75">
        <f t="array" aca="1" ref="AR127" ca="1">IF(AR$118&gt;$Q$27,"",INDEX('Point Data'!$AR$2:$AR$225,MATCH(1,($AL109='Point Data'!$B$2:$B$225)*(AR$100='Point Data'!$D$2:$D$225),0)))</f>
        <v>3</v>
      </c>
      <c r="AS127" s="75">
        <f t="array" aca="1" ref="AS127" ca="1">IF(AS$118&gt;$Q$27,"",INDEX('Point Data'!$AR$2:$AR$225,MATCH(1,($AL109='Point Data'!$B$2:$B$225)*(AS$100='Point Data'!$D$2:$D$225),0)))</f>
        <v>1</v>
      </c>
      <c r="AT127" s="75">
        <f t="array" aca="1" ref="AT127" ca="1">IF(AT$118&gt;$Q$27,"",INDEX('Point Data'!$AR$2:$AR$225,MATCH(1,($AL109='Point Data'!$B$2:$B$225)*(AT$100='Point Data'!$D$2:$D$225),0)))</f>
        <v>2</v>
      </c>
      <c r="AU127" s="75">
        <f t="array" aca="1" ref="AU127" ca="1">IF(AU$118&gt;$Q$27,"",INDEX('Point Data'!$AR$2:$AR$225,MATCH(1,($AL109='Point Data'!$B$2:$B$225)*(AU$100='Point Data'!$D$2:$D$225),0)))</f>
        <v>8</v>
      </c>
      <c r="AV127" s="75">
        <f t="array" aca="1" ref="AV127" ca="1">IF(AV$118&gt;$Q$27,"",INDEX('Point Data'!$AR$2:$AR$225,MATCH(1,($AL109='Point Data'!$B$2:$B$225)*(AV$100='Point Data'!$D$2:$D$225),0)))</f>
        <v>13</v>
      </c>
      <c r="AW127" s="75">
        <f t="array" aca="1" ref="AW127" ca="1">IF(AW$118&gt;$Q$27,"",INDEX('Point Data'!$AR$2:$AR$225,MATCH(1,($AL109='Point Data'!$B$2:$B$225)*(AW$100='Point Data'!$D$2:$D$225),0)))</f>
        <v>6</v>
      </c>
      <c r="AX127" s="75">
        <f t="array" aca="1" ref="AX127" ca="1">IF(AX$118&gt;$Q$27,"",INDEX('Point Data'!$AR$2:$AR$225,MATCH(1,($AL109='Point Data'!$B$2:$B$225)*(AX$100='Point Data'!$D$2:$D$225),0)))</f>
        <v>5</v>
      </c>
      <c r="AY127" s="6">
        <f t="array" aca="1" ref="AY127" ca="1">IF(AY$118&gt;$Q$27,"",INDEX('Point Data'!$AR$2:$AR$225,MATCH(1,($AL109='Point Data'!$B$2:$B$225)*(AY$100='Point Data'!$D$2:$D$225),0)))</f>
        <v>11</v>
      </c>
      <c r="AZ127" s="75">
        <f t="shared" ca="1" si="20"/>
        <v>13</v>
      </c>
      <c r="BA127" s="6">
        <f t="shared" ca="1" si="21"/>
        <v>9</v>
      </c>
      <c r="BB127" s="6">
        <f t="shared" ca="1" si="22"/>
        <v>6.615384615384615</v>
      </c>
      <c r="BC127" s="6">
        <f t="shared" ca="1" si="23"/>
        <v>4</v>
      </c>
      <c r="BD127" s="6">
        <f t="shared" ca="1" si="24"/>
        <v>1</v>
      </c>
      <c r="BE127" s="6">
        <f t="shared" ca="1" si="25"/>
        <v>3.6864269407847474</v>
      </c>
    </row>
    <row r="128" spans="11:57">
      <c r="K128" s="499"/>
      <c r="L128" s="499"/>
      <c r="M128" s="499"/>
      <c r="N128" s="499"/>
      <c r="O128" s="499"/>
      <c r="P128" s="499"/>
      <c r="Q128" s="499"/>
      <c r="R128" s="499"/>
      <c r="S128" s="499"/>
      <c r="T128" s="499"/>
      <c r="U128" s="499"/>
      <c r="V128" s="499"/>
      <c r="W128" s="499"/>
      <c r="X128" s="499"/>
      <c r="AC128" s="95"/>
      <c r="AE128" s="95"/>
      <c r="AG128" s="95"/>
      <c r="AI128" s="95"/>
      <c r="AL128" s="50" t="str">
        <f>'Point Data'!$B$128</f>
        <v>Team 10</v>
      </c>
      <c r="AM128" s="75">
        <f t="array" aca="1" ref="AM128" ca="1">IF(AM$118&gt;$Q$27,"",INDEX('Point Data'!$AR$2:$AR$225,MATCH(1,($AL110='Point Data'!$B$2:$B$225)*(AM$100='Point Data'!$D$2:$D$225),0)))</f>
        <v>10</v>
      </c>
      <c r="AN128" s="75">
        <f t="array" aca="1" ref="AN128" ca="1">IF(AN$118&gt;$Q$27,"",INDEX('Point Data'!$AR$2:$AR$225,MATCH(1,($AL110='Point Data'!$B$2:$B$225)*(AN$100='Point Data'!$D$2:$D$225),0)))</f>
        <v>4</v>
      </c>
      <c r="AO128" s="75">
        <f t="array" aca="1" ref="AO128" ca="1">IF(AO$118&gt;$Q$27,"",INDEX('Point Data'!$AR$2:$AR$225,MATCH(1,($AL110='Point Data'!$B$2:$B$225)*(AO$100='Point Data'!$D$2:$D$225),0)))</f>
        <v>13</v>
      </c>
      <c r="AP128" s="75">
        <f t="array" aca="1" ref="AP128" ca="1">IF(AP$118&gt;$Q$27,"",INDEX('Point Data'!$AR$2:$AR$225,MATCH(1,($AL110='Point Data'!$B$2:$B$225)*(AP$100='Point Data'!$D$2:$D$225),0)))</f>
        <v>11</v>
      </c>
      <c r="AQ128" s="75">
        <f t="array" aca="1" ref="AQ128" ca="1">IF(AQ$118&gt;$Q$27,"",INDEX('Point Data'!$AR$2:$AR$225,MATCH(1,($AL110='Point Data'!$B$2:$B$225)*(AQ$100='Point Data'!$D$2:$D$225),0)))</f>
        <v>5</v>
      </c>
      <c r="AR128" s="75">
        <f t="array" aca="1" ref="AR128" ca="1">IF(AR$118&gt;$Q$27,"",INDEX('Point Data'!$AR$2:$AR$225,MATCH(1,($AL110='Point Data'!$B$2:$B$225)*(AR$100='Point Data'!$D$2:$D$225),0)))</f>
        <v>7</v>
      </c>
      <c r="AS128" s="75">
        <f t="array" aca="1" ref="AS128" ca="1">IF(AS$118&gt;$Q$27,"",INDEX('Point Data'!$AR$2:$AR$225,MATCH(1,($AL110='Point Data'!$B$2:$B$225)*(AS$100='Point Data'!$D$2:$D$225),0)))</f>
        <v>2</v>
      </c>
      <c r="AT128" s="75">
        <f t="array" aca="1" ref="AT128" ca="1">IF(AT$118&gt;$Q$27,"",INDEX('Point Data'!$AR$2:$AR$225,MATCH(1,($AL110='Point Data'!$B$2:$B$225)*(AT$100='Point Data'!$D$2:$D$225),0)))</f>
        <v>14</v>
      </c>
      <c r="AU128" s="75">
        <f t="array" aca="1" ref="AU128" ca="1">IF(AU$118&gt;$Q$27,"",INDEX('Point Data'!$AR$2:$AR$225,MATCH(1,($AL110='Point Data'!$B$2:$B$225)*(AU$100='Point Data'!$D$2:$D$225),0)))</f>
        <v>15</v>
      </c>
      <c r="AV128" s="75">
        <f t="array" aca="1" ref="AV128" ca="1">IF(AV$118&gt;$Q$27,"",INDEX('Point Data'!$AR$2:$AR$225,MATCH(1,($AL110='Point Data'!$B$2:$B$225)*(AV$100='Point Data'!$D$2:$D$225),0)))</f>
        <v>2</v>
      </c>
      <c r="AW128" s="75">
        <f t="array" aca="1" ref="AW128" ca="1">IF(AW$118&gt;$Q$27,"",INDEX('Point Data'!$AR$2:$AR$225,MATCH(1,($AL110='Point Data'!$B$2:$B$225)*(AW$100='Point Data'!$D$2:$D$225),0)))</f>
        <v>11</v>
      </c>
      <c r="AX128" s="75">
        <f t="array" aca="1" ref="AX128" ca="1">IF(AX$118&gt;$Q$27,"",INDEX('Point Data'!$AR$2:$AR$225,MATCH(1,($AL110='Point Data'!$B$2:$B$225)*(AX$100='Point Data'!$D$2:$D$225),0)))</f>
        <v>1</v>
      </c>
      <c r="AY128" s="6">
        <f t="array" aca="1" ref="AY128" ca="1">IF(AY$118&gt;$Q$27,"",INDEX('Point Data'!$AR$2:$AR$225,MATCH(1,($AL110='Point Data'!$B$2:$B$225)*(AY$100='Point Data'!$D$2:$D$225),0)))</f>
        <v>1</v>
      </c>
      <c r="AZ128" s="75">
        <f t="shared" ca="1" si="20"/>
        <v>15</v>
      </c>
      <c r="BA128" s="6">
        <f t="shared" ca="1" si="21"/>
        <v>11</v>
      </c>
      <c r="BB128" s="6">
        <f t="shared" ca="1" si="22"/>
        <v>7.384615384615385</v>
      </c>
      <c r="BC128" s="6">
        <f t="shared" ca="1" si="23"/>
        <v>2</v>
      </c>
      <c r="BD128" s="6">
        <f t="shared" ca="1" si="24"/>
        <v>1</v>
      </c>
      <c r="BE128" s="6">
        <f t="shared" ca="1" si="25"/>
        <v>5.1887452166277086</v>
      </c>
    </row>
    <row r="129" spans="29:57">
      <c r="AC129" s="95"/>
      <c r="AE129" s="95"/>
      <c r="AG129" s="95"/>
      <c r="AI129" s="95"/>
      <c r="AL129" s="50" t="str">
        <f>'Point Data'!$B$142</f>
        <v>Team 11</v>
      </c>
      <c r="AM129" s="75">
        <f t="array" aca="1" ref="AM129" ca="1">IF(AM$118&gt;$Q$27,"",INDEX('Point Data'!$AR$2:$AR$225,MATCH(1,($AL111='Point Data'!$B$2:$B$225)*(AM$100='Point Data'!$D$2:$D$225),0)))</f>
        <v>12</v>
      </c>
      <c r="AN129" s="75">
        <f t="array" aca="1" ref="AN129" ca="1">IF(AN$118&gt;$Q$27,"",INDEX('Point Data'!$AR$2:$AR$225,MATCH(1,($AL111='Point Data'!$B$2:$B$225)*(AN$100='Point Data'!$D$2:$D$225),0)))</f>
        <v>14</v>
      </c>
      <c r="AO129" s="75">
        <f t="array" aca="1" ref="AO129" ca="1">IF(AO$118&gt;$Q$27,"",INDEX('Point Data'!$AR$2:$AR$225,MATCH(1,($AL111='Point Data'!$B$2:$B$225)*(AO$100='Point Data'!$D$2:$D$225),0)))</f>
        <v>16</v>
      </c>
      <c r="AP129" s="75">
        <f t="array" aca="1" ref="AP129" ca="1">IF(AP$118&gt;$Q$27,"",INDEX('Point Data'!$AR$2:$AR$225,MATCH(1,($AL111='Point Data'!$B$2:$B$225)*(AP$100='Point Data'!$D$2:$D$225),0)))</f>
        <v>10</v>
      </c>
      <c r="AQ129" s="75">
        <f t="array" aca="1" ref="AQ129" ca="1">IF(AQ$118&gt;$Q$27,"",INDEX('Point Data'!$AR$2:$AR$225,MATCH(1,($AL111='Point Data'!$B$2:$B$225)*(AQ$100='Point Data'!$D$2:$D$225),0)))</f>
        <v>1</v>
      </c>
      <c r="AR129" s="75">
        <f t="array" aca="1" ref="AR129" ca="1">IF(AR$118&gt;$Q$27,"",INDEX('Point Data'!$AR$2:$AR$225,MATCH(1,($AL111='Point Data'!$B$2:$B$225)*(AR$100='Point Data'!$D$2:$D$225),0)))</f>
        <v>8</v>
      </c>
      <c r="AS129" s="75">
        <f t="array" aca="1" ref="AS129" ca="1">IF(AS$118&gt;$Q$27,"",INDEX('Point Data'!$AR$2:$AR$225,MATCH(1,($AL111='Point Data'!$B$2:$B$225)*(AS$100='Point Data'!$D$2:$D$225),0)))</f>
        <v>11</v>
      </c>
      <c r="AT129" s="75">
        <f t="array" aca="1" ref="AT129" ca="1">IF(AT$118&gt;$Q$27,"",INDEX('Point Data'!$AR$2:$AR$225,MATCH(1,($AL111='Point Data'!$B$2:$B$225)*(AT$100='Point Data'!$D$2:$D$225),0)))</f>
        <v>11</v>
      </c>
      <c r="AU129" s="75">
        <f t="array" aca="1" ref="AU129" ca="1">IF(AU$118&gt;$Q$27,"",INDEX('Point Data'!$AR$2:$AR$225,MATCH(1,($AL111='Point Data'!$B$2:$B$225)*(AU$100='Point Data'!$D$2:$D$225),0)))</f>
        <v>16</v>
      </c>
      <c r="AV129" s="75">
        <f t="array" aca="1" ref="AV129" ca="1">IF(AV$118&gt;$Q$27,"",INDEX('Point Data'!$AR$2:$AR$225,MATCH(1,($AL111='Point Data'!$B$2:$B$225)*(AV$100='Point Data'!$D$2:$D$225),0)))</f>
        <v>8</v>
      </c>
      <c r="AW129" s="75">
        <f t="array" aca="1" ref="AW129" ca="1">IF(AW$118&gt;$Q$27,"",INDEX('Point Data'!$AR$2:$AR$225,MATCH(1,($AL111='Point Data'!$B$2:$B$225)*(AW$100='Point Data'!$D$2:$D$225),0)))</f>
        <v>14</v>
      </c>
      <c r="AX129" s="75">
        <f t="array" aca="1" ref="AX129" ca="1">IF(AX$118&gt;$Q$27,"",INDEX('Point Data'!$AR$2:$AR$225,MATCH(1,($AL111='Point Data'!$B$2:$B$225)*(AX$100='Point Data'!$D$2:$D$225),0)))</f>
        <v>7</v>
      </c>
      <c r="AY129" s="6">
        <f t="array" aca="1" ref="AY129" ca="1">IF(AY$118&gt;$Q$27,"",INDEX('Point Data'!$AR$2:$AR$225,MATCH(1,($AL111='Point Data'!$B$2:$B$225)*(AY$100='Point Data'!$D$2:$D$225),0)))</f>
        <v>14</v>
      </c>
      <c r="AZ129" s="75">
        <f t="shared" ca="1" si="20"/>
        <v>16</v>
      </c>
      <c r="BA129" s="6">
        <f t="shared" ca="1" si="21"/>
        <v>14</v>
      </c>
      <c r="BB129" s="6">
        <f t="shared" ca="1" si="22"/>
        <v>10.923076923076923</v>
      </c>
      <c r="BC129" s="6">
        <f t="shared" ca="1" si="23"/>
        <v>8</v>
      </c>
      <c r="BD129" s="6">
        <f t="shared" ca="1" si="24"/>
        <v>1</v>
      </c>
      <c r="BE129" s="6">
        <f t="shared" ca="1" si="25"/>
        <v>4.2123140604173548</v>
      </c>
    </row>
    <row r="130" spans="29:57">
      <c r="AC130" s="95"/>
      <c r="AE130" s="95"/>
      <c r="AG130" s="95"/>
      <c r="AI130" s="95"/>
      <c r="AL130" s="50" t="str">
        <f>'Point Data'!$B$156</f>
        <v>Team 12</v>
      </c>
      <c r="AM130" s="75">
        <f t="array" aca="1" ref="AM130" ca="1">IF(AM$118&gt;$Q$27,"",INDEX('Point Data'!$AR$2:$AR$225,MATCH(1,($AL112='Point Data'!$B$2:$B$225)*(AM$100='Point Data'!$D$2:$D$225),0)))</f>
        <v>9</v>
      </c>
      <c r="AN130" s="75">
        <f t="array" aca="1" ref="AN130" ca="1">IF(AN$118&gt;$Q$27,"",INDEX('Point Data'!$AR$2:$AR$225,MATCH(1,($AL112='Point Data'!$B$2:$B$225)*(AN$100='Point Data'!$D$2:$D$225),0)))</f>
        <v>12</v>
      </c>
      <c r="AO130" s="75">
        <f t="array" aca="1" ref="AO130" ca="1">IF(AO$118&gt;$Q$27,"",INDEX('Point Data'!$AR$2:$AR$225,MATCH(1,($AL112='Point Data'!$B$2:$B$225)*(AO$100='Point Data'!$D$2:$D$225),0)))</f>
        <v>5</v>
      </c>
      <c r="AP130" s="75">
        <f t="array" aca="1" ref="AP130" ca="1">IF(AP$118&gt;$Q$27,"",INDEX('Point Data'!$AR$2:$AR$225,MATCH(1,($AL112='Point Data'!$B$2:$B$225)*(AP$100='Point Data'!$D$2:$D$225),0)))</f>
        <v>4</v>
      </c>
      <c r="AQ130" s="75">
        <f t="array" aca="1" ref="AQ130" ca="1">IF(AQ$118&gt;$Q$27,"",INDEX('Point Data'!$AR$2:$AR$225,MATCH(1,($AL112='Point Data'!$B$2:$B$225)*(AQ$100='Point Data'!$D$2:$D$225),0)))</f>
        <v>12</v>
      </c>
      <c r="AR130" s="75">
        <f t="array" aca="1" ref="AR130" ca="1">IF(AR$118&gt;$Q$27,"",INDEX('Point Data'!$AR$2:$AR$225,MATCH(1,($AL112='Point Data'!$B$2:$B$225)*(AR$100='Point Data'!$D$2:$D$225),0)))</f>
        <v>15</v>
      </c>
      <c r="AS130" s="75">
        <f t="array" aca="1" ref="AS130" ca="1">IF(AS$118&gt;$Q$27,"",INDEX('Point Data'!$AR$2:$AR$225,MATCH(1,($AL112='Point Data'!$B$2:$B$225)*(AS$100='Point Data'!$D$2:$D$225),0)))</f>
        <v>12</v>
      </c>
      <c r="AT130" s="75">
        <f t="array" aca="1" ref="AT130" ca="1">IF(AT$118&gt;$Q$27,"",INDEX('Point Data'!$AR$2:$AR$225,MATCH(1,($AL112='Point Data'!$B$2:$B$225)*(AT$100='Point Data'!$D$2:$D$225),0)))</f>
        <v>10</v>
      </c>
      <c r="AU130" s="75">
        <f t="array" aca="1" ref="AU130" ca="1">IF(AU$118&gt;$Q$27,"",INDEX('Point Data'!$AR$2:$AR$225,MATCH(1,($AL112='Point Data'!$B$2:$B$225)*(AU$100='Point Data'!$D$2:$D$225),0)))</f>
        <v>11</v>
      </c>
      <c r="AV130" s="75">
        <f t="array" aca="1" ref="AV130" ca="1">IF(AV$118&gt;$Q$27,"",INDEX('Point Data'!$AR$2:$AR$225,MATCH(1,($AL112='Point Data'!$B$2:$B$225)*(AV$100='Point Data'!$D$2:$D$225),0)))</f>
        <v>10</v>
      </c>
      <c r="AW130" s="75">
        <f t="array" aca="1" ref="AW130" ca="1">IF(AW$118&gt;$Q$27,"",INDEX('Point Data'!$AR$2:$AR$225,MATCH(1,($AL112='Point Data'!$B$2:$B$225)*(AW$100='Point Data'!$D$2:$D$225),0)))</f>
        <v>13</v>
      </c>
      <c r="AX130" s="75">
        <f t="array" aca="1" ref="AX130" ca="1">IF(AX$118&gt;$Q$27,"",INDEX('Point Data'!$AR$2:$AR$225,MATCH(1,($AL112='Point Data'!$B$2:$B$225)*(AX$100='Point Data'!$D$2:$D$225),0)))</f>
        <v>8</v>
      </c>
      <c r="AY130" s="6">
        <f t="array" aca="1" ref="AY130" ca="1">IF(AY$118&gt;$Q$27,"",INDEX('Point Data'!$AR$2:$AR$225,MATCH(1,($AL112='Point Data'!$B$2:$B$225)*(AY$100='Point Data'!$D$2:$D$225),0)))</f>
        <v>12</v>
      </c>
      <c r="AZ130" s="75">
        <f t="shared" ca="1" si="20"/>
        <v>15</v>
      </c>
      <c r="BA130" s="6">
        <f t="shared" ca="1" si="21"/>
        <v>12</v>
      </c>
      <c r="BB130" s="6">
        <f t="shared" ca="1" si="22"/>
        <v>10.23076923076923</v>
      </c>
      <c r="BC130" s="6">
        <f t="shared" ca="1" si="23"/>
        <v>9</v>
      </c>
      <c r="BD130" s="6">
        <f t="shared" ca="1" si="24"/>
        <v>4</v>
      </c>
      <c r="BE130" s="6">
        <f t="shared" ca="1" si="25"/>
        <v>3.1132471299766258</v>
      </c>
    </row>
    <row r="131" spans="29:57">
      <c r="AC131" s="95"/>
      <c r="AE131" s="95"/>
      <c r="AG131" s="95"/>
      <c r="AI131" s="95"/>
      <c r="AL131" s="50" t="str">
        <f>'Point Data'!$B$170</f>
        <v>Team 13</v>
      </c>
      <c r="AM131" s="75">
        <f t="array" aca="1" ref="AM131" ca="1">IF(AM$118&gt;$Q$27,"",INDEX('Point Data'!$AR$2:$AR$225,MATCH(1,($AL113='Point Data'!$B$2:$B$225)*(AM$100='Point Data'!$D$2:$D$225),0)))</f>
        <v>5</v>
      </c>
      <c r="AN131" s="75">
        <f t="array" aca="1" ref="AN131" ca="1">IF(AN$118&gt;$Q$27,"",INDEX('Point Data'!$AR$2:$AR$225,MATCH(1,($AL113='Point Data'!$B$2:$B$225)*(AN$100='Point Data'!$D$2:$D$225),0)))</f>
        <v>1</v>
      </c>
      <c r="AO131" s="75">
        <f t="array" aca="1" ref="AO131" ca="1">IF(AO$118&gt;$Q$27,"",INDEX('Point Data'!$AR$2:$AR$225,MATCH(1,($AL113='Point Data'!$B$2:$B$225)*(AO$100='Point Data'!$D$2:$D$225),0)))</f>
        <v>4</v>
      </c>
      <c r="AP131" s="75">
        <f t="array" aca="1" ref="AP131" ca="1">IF(AP$118&gt;$Q$27,"",INDEX('Point Data'!$AR$2:$AR$225,MATCH(1,($AL113='Point Data'!$B$2:$B$225)*(AP$100='Point Data'!$D$2:$D$225),0)))</f>
        <v>15</v>
      </c>
      <c r="AQ131" s="75">
        <f t="array" aca="1" ref="AQ131" ca="1">IF(AQ$118&gt;$Q$27,"",INDEX('Point Data'!$AR$2:$AR$225,MATCH(1,($AL113='Point Data'!$B$2:$B$225)*(AQ$100='Point Data'!$D$2:$D$225),0)))</f>
        <v>14</v>
      </c>
      <c r="AR131" s="75">
        <f t="array" aca="1" ref="AR131" ca="1">IF(AR$118&gt;$Q$27,"",INDEX('Point Data'!$AR$2:$AR$225,MATCH(1,($AL113='Point Data'!$B$2:$B$225)*(AR$100='Point Data'!$D$2:$D$225),0)))</f>
        <v>11</v>
      </c>
      <c r="AS131" s="75">
        <f t="array" aca="1" ref="AS131" ca="1">IF(AS$118&gt;$Q$27,"",INDEX('Point Data'!$AR$2:$AR$225,MATCH(1,($AL113='Point Data'!$B$2:$B$225)*(AS$100='Point Data'!$D$2:$D$225),0)))</f>
        <v>16</v>
      </c>
      <c r="AT131" s="75">
        <f t="array" aca="1" ref="AT131" ca="1">IF(AT$118&gt;$Q$27,"",INDEX('Point Data'!$AR$2:$AR$225,MATCH(1,($AL113='Point Data'!$B$2:$B$225)*(AT$100='Point Data'!$D$2:$D$225),0)))</f>
        <v>12</v>
      </c>
      <c r="AU131" s="75">
        <f t="array" aca="1" ref="AU131" ca="1">IF(AU$118&gt;$Q$27,"",INDEX('Point Data'!$AR$2:$AR$225,MATCH(1,($AL113='Point Data'!$B$2:$B$225)*(AU$100='Point Data'!$D$2:$D$225),0)))</f>
        <v>5</v>
      </c>
      <c r="AV131" s="75">
        <f t="array" aca="1" ref="AV131" ca="1">IF(AV$118&gt;$Q$27,"",INDEX('Point Data'!$AR$2:$AR$225,MATCH(1,($AL113='Point Data'!$B$2:$B$225)*(AV$100='Point Data'!$D$2:$D$225),0)))</f>
        <v>14</v>
      </c>
      <c r="AW131" s="75">
        <f t="array" aca="1" ref="AW131" ca="1">IF(AW$118&gt;$Q$27,"",INDEX('Point Data'!$AR$2:$AR$225,MATCH(1,($AL113='Point Data'!$B$2:$B$225)*(AW$100='Point Data'!$D$2:$D$225),0)))</f>
        <v>16</v>
      </c>
      <c r="AX131" s="75">
        <f t="array" aca="1" ref="AX131" ca="1">IF(AX$118&gt;$Q$27,"",INDEX('Point Data'!$AR$2:$AR$225,MATCH(1,($AL113='Point Data'!$B$2:$B$225)*(AX$100='Point Data'!$D$2:$D$225),0)))</f>
        <v>11</v>
      </c>
      <c r="AY131" s="6">
        <f t="array" aca="1" ref="AY131" ca="1">IF(AY$118&gt;$Q$27,"",INDEX('Point Data'!$AR$2:$AR$225,MATCH(1,($AL113='Point Data'!$B$2:$B$225)*(AY$100='Point Data'!$D$2:$D$225),0)))</f>
        <v>9</v>
      </c>
      <c r="AZ131" s="75">
        <f t="shared" ca="1" si="20"/>
        <v>16</v>
      </c>
      <c r="BA131" s="6">
        <f t="shared" ca="1" si="21"/>
        <v>14</v>
      </c>
      <c r="BB131" s="6">
        <f t="shared" ca="1" si="22"/>
        <v>10.23076923076923</v>
      </c>
      <c r="BC131" s="6">
        <f t="shared" ca="1" si="23"/>
        <v>5</v>
      </c>
      <c r="BD131" s="6">
        <f t="shared" ca="1" si="24"/>
        <v>1</v>
      </c>
      <c r="BE131" s="6">
        <f t="shared" ca="1" si="25"/>
        <v>5.0191939285414842</v>
      </c>
    </row>
    <row r="132" spans="29:57">
      <c r="AC132" s="95"/>
      <c r="AE132" s="95"/>
      <c r="AG132" s="95"/>
      <c r="AI132" s="95"/>
      <c r="AL132" s="50" t="str">
        <f>'Point Data'!$B$184</f>
        <v>Team 14</v>
      </c>
      <c r="AM132" s="75">
        <f t="array" aca="1" ref="AM132" ca="1">IF(AM$118&gt;$Q$27,"",INDEX('Point Data'!$AR$2:$AR$225,MATCH(1,($AL114='Point Data'!$B$2:$B$225)*(AM$100='Point Data'!$D$2:$D$225),0)))</f>
        <v>14</v>
      </c>
      <c r="AN132" s="75">
        <f t="array" aca="1" ref="AN132" ca="1">IF(AN$118&gt;$Q$27,"",INDEX('Point Data'!$AR$2:$AR$225,MATCH(1,($AL114='Point Data'!$B$2:$B$225)*(AN$100='Point Data'!$D$2:$D$225),0)))</f>
        <v>10</v>
      </c>
      <c r="AO132" s="75">
        <f t="array" aca="1" ref="AO132" ca="1">IF(AO$118&gt;$Q$27,"",INDEX('Point Data'!$AR$2:$AR$225,MATCH(1,($AL114='Point Data'!$B$2:$B$225)*(AO$100='Point Data'!$D$2:$D$225),0)))</f>
        <v>14</v>
      </c>
      <c r="AP132" s="75">
        <f t="array" aca="1" ref="AP132" ca="1">IF(AP$118&gt;$Q$27,"",INDEX('Point Data'!$AR$2:$AR$225,MATCH(1,($AL114='Point Data'!$B$2:$B$225)*(AP$100='Point Data'!$D$2:$D$225),0)))</f>
        <v>7</v>
      </c>
      <c r="AQ132" s="75">
        <f t="array" aca="1" ref="AQ132" ca="1">IF(AQ$118&gt;$Q$27,"",INDEX('Point Data'!$AR$2:$AR$225,MATCH(1,($AL114='Point Data'!$B$2:$B$225)*(AQ$100='Point Data'!$D$2:$D$225),0)))</f>
        <v>7</v>
      </c>
      <c r="AR132" s="75">
        <f t="array" aca="1" ref="AR132" ca="1">IF(AR$118&gt;$Q$27,"",INDEX('Point Data'!$AR$2:$AR$225,MATCH(1,($AL114='Point Data'!$B$2:$B$225)*(AR$100='Point Data'!$D$2:$D$225),0)))</f>
        <v>12</v>
      </c>
      <c r="AS132" s="75">
        <f t="array" aca="1" ref="AS132" ca="1">IF(AS$118&gt;$Q$27,"",INDEX('Point Data'!$AR$2:$AR$225,MATCH(1,($AL114='Point Data'!$B$2:$B$225)*(AS$100='Point Data'!$D$2:$D$225),0)))</f>
        <v>3</v>
      </c>
      <c r="AT132" s="75">
        <f t="array" aca="1" ref="AT132" ca="1">IF(AT$118&gt;$Q$27,"",INDEX('Point Data'!$AR$2:$AR$225,MATCH(1,($AL114='Point Data'!$B$2:$B$225)*(AT$100='Point Data'!$D$2:$D$225),0)))</f>
        <v>8</v>
      </c>
      <c r="AU132" s="75">
        <f t="array" aca="1" ref="AU132" ca="1">IF(AU$118&gt;$Q$27,"",INDEX('Point Data'!$AR$2:$AR$225,MATCH(1,($AL114='Point Data'!$B$2:$B$225)*(AU$100='Point Data'!$D$2:$D$225),0)))</f>
        <v>13</v>
      </c>
      <c r="AV132" s="75">
        <f t="array" aca="1" ref="AV132" ca="1">IF(AV$118&gt;$Q$27,"",INDEX('Point Data'!$AR$2:$AR$225,MATCH(1,($AL114='Point Data'!$B$2:$B$225)*(AV$100='Point Data'!$D$2:$D$225),0)))</f>
        <v>16</v>
      </c>
      <c r="AW132" s="75">
        <f t="array" aca="1" ref="AW132" ca="1">IF(AW$118&gt;$Q$27,"",INDEX('Point Data'!$AR$2:$AR$225,MATCH(1,($AL114='Point Data'!$B$2:$B$225)*(AW$100='Point Data'!$D$2:$D$225),0)))</f>
        <v>3</v>
      </c>
      <c r="AX132" s="75">
        <f t="array" aca="1" ref="AX132" ca="1">IF(AX$118&gt;$Q$27,"",INDEX('Point Data'!$AR$2:$AR$225,MATCH(1,($AL114='Point Data'!$B$2:$B$225)*(AX$100='Point Data'!$D$2:$D$225),0)))</f>
        <v>4</v>
      </c>
      <c r="AY132" s="6">
        <f t="array" aca="1" ref="AY132" ca="1">IF(AY$118&gt;$Q$27,"",INDEX('Point Data'!$AR$2:$AR$225,MATCH(1,($AL114='Point Data'!$B$2:$B$225)*(AY$100='Point Data'!$D$2:$D$225),0)))</f>
        <v>8</v>
      </c>
      <c r="AZ132" s="75">
        <f t="shared" ca="1" si="20"/>
        <v>16</v>
      </c>
      <c r="BA132" s="6">
        <f t="shared" ca="1" si="21"/>
        <v>13</v>
      </c>
      <c r="BB132" s="6">
        <f t="shared" ca="1" si="22"/>
        <v>9.1538461538461533</v>
      </c>
      <c r="BC132" s="6">
        <f t="shared" ca="1" si="23"/>
        <v>7</v>
      </c>
      <c r="BD132" s="6">
        <f t="shared" ca="1" si="24"/>
        <v>3</v>
      </c>
      <c r="BE132" s="6">
        <f t="shared" ca="1" si="25"/>
        <v>4.3940519236454527</v>
      </c>
    </row>
    <row r="133" spans="29:57">
      <c r="AC133" s="95"/>
      <c r="AE133" s="95"/>
      <c r="AG133" s="95"/>
      <c r="AI133" s="95"/>
      <c r="AL133" s="50" t="str">
        <f>'Point Data'!$B$198</f>
        <v>Team 15</v>
      </c>
      <c r="AM133" s="75">
        <f t="array" aca="1" ref="AM133" ca="1">IF(AM$118&gt;$Q$27,"",INDEX('Point Data'!$AR$2:$AR$225,MATCH(1,($AL115='Point Data'!$B$2:$B$225)*(AM$100='Point Data'!$D$2:$D$225),0)))</f>
        <v>1</v>
      </c>
      <c r="AN133" s="75">
        <f t="array" aca="1" ref="AN133" ca="1">IF(AN$118&gt;$Q$27,"",INDEX('Point Data'!$AR$2:$AR$225,MATCH(1,($AL115='Point Data'!$B$2:$B$225)*(AN$100='Point Data'!$D$2:$D$225),0)))</f>
        <v>16</v>
      </c>
      <c r="AO133" s="75">
        <f t="array" aca="1" ref="AO133" ca="1">IF(AO$118&gt;$Q$27,"",INDEX('Point Data'!$AR$2:$AR$225,MATCH(1,($AL115='Point Data'!$B$2:$B$225)*(AO$100='Point Data'!$D$2:$D$225),0)))</f>
        <v>7</v>
      </c>
      <c r="AP133" s="75">
        <f t="array" aca="1" ref="AP133" ca="1">IF(AP$118&gt;$Q$27,"",INDEX('Point Data'!$AR$2:$AR$225,MATCH(1,($AL115='Point Data'!$B$2:$B$225)*(AP$100='Point Data'!$D$2:$D$225),0)))</f>
        <v>13</v>
      </c>
      <c r="AQ133" s="75">
        <f t="array" aca="1" ref="AQ133" ca="1">IF(AQ$118&gt;$Q$27,"",INDEX('Point Data'!$AR$2:$AR$225,MATCH(1,($AL115='Point Data'!$B$2:$B$225)*(AQ$100='Point Data'!$D$2:$D$225),0)))</f>
        <v>4</v>
      </c>
      <c r="AR133" s="75">
        <f t="array" aca="1" ref="AR133" ca="1">IF(AR$118&gt;$Q$27,"",INDEX('Point Data'!$AR$2:$AR$225,MATCH(1,($AL115='Point Data'!$B$2:$B$225)*(AR$100='Point Data'!$D$2:$D$225),0)))</f>
        <v>9</v>
      </c>
      <c r="AS133" s="75">
        <f t="array" aca="1" ref="AS133" ca="1">IF(AS$118&gt;$Q$27,"",INDEX('Point Data'!$AR$2:$AR$225,MATCH(1,($AL115='Point Data'!$B$2:$B$225)*(AS$100='Point Data'!$D$2:$D$225),0)))</f>
        <v>8</v>
      </c>
      <c r="AT133" s="75">
        <f t="array" aca="1" ref="AT133" ca="1">IF(AT$118&gt;$Q$27,"",INDEX('Point Data'!$AR$2:$AR$225,MATCH(1,($AL115='Point Data'!$B$2:$B$225)*(AT$100='Point Data'!$D$2:$D$225),0)))</f>
        <v>7</v>
      </c>
      <c r="AU133" s="75">
        <f t="array" aca="1" ref="AU133" ca="1">IF(AU$118&gt;$Q$27,"",INDEX('Point Data'!$AR$2:$AR$225,MATCH(1,($AL115='Point Data'!$B$2:$B$225)*(AU$100='Point Data'!$D$2:$D$225),0)))</f>
        <v>2</v>
      </c>
      <c r="AV133" s="75">
        <f t="array" aca="1" ref="AV133" ca="1">IF(AV$118&gt;$Q$27,"",INDEX('Point Data'!$AR$2:$AR$225,MATCH(1,($AL115='Point Data'!$B$2:$B$225)*(AV$100='Point Data'!$D$2:$D$225),0)))</f>
        <v>1</v>
      </c>
      <c r="AW133" s="75">
        <f t="array" aca="1" ref="AW133" ca="1">IF(AW$118&gt;$Q$27,"",INDEX('Point Data'!$AR$2:$AR$225,MATCH(1,($AL115='Point Data'!$B$2:$B$225)*(AW$100='Point Data'!$D$2:$D$225),0)))</f>
        <v>7</v>
      </c>
      <c r="AX133" s="75">
        <f t="array" aca="1" ref="AX133" ca="1">IF(AX$118&gt;$Q$27,"",INDEX('Point Data'!$AR$2:$AR$225,MATCH(1,($AL115='Point Data'!$B$2:$B$225)*(AX$100='Point Data'!$D$2:$D$225),0)))</f>
        <v>3</v>
      </c>
      <c r="AY133" s="6">
        <f t="array" aca="1" ref="AY133" ca="1">IF(AY$118&gt;$Q$27,"",INDEX('Point Data'!$AR$2:$AR$225,MATCH(1,($AL115='Point Data'!$B$2:$B$225)*(AY$100='Point Data'!$D$2:$D$225),0)))</f>
        <v>13</v>
      </c>
      <c r="AZ133" s="75">
        <f t="shared" ca="1" si="20"/>
        <v>16</v>
      </c>
      <c r="BA133" s="6">
        <f t="shared" ca="1" si="21"/>
        <v>9</v>
      </c>
      <c r="BB133" s="6">
        <f t="shared" ca="1" si="22"/>
        <v>7</v>
      </c>
      <c r="BC133" s="6">
        <f t="shared" ca="1" si="23"/>
        <v>3</v>
      </c>
      <c r="BD133" s="6">
        <f t="shared" ca="1" si="24"/>
        <v>1</v>
      </c>
      <c r="BE133" s="6">
        <f t="shared" ca="1" si="25"/>
        <v>4.8304589153964796</v>
      </c>
    </row>
    <row r="134" spans="29:57">
      <c r="AC134" s="95"/>
      <c r="AE134" s="95"/>
      <c r="AG134" s="95"/>
      <c r="AI134" s="95"/>
      <c r="AL134" s="50" t="str">
        <f>'Point Data'!$B$212</f>
        <v>Team 16</v>
      </c>
      <c r="AM134" s="75">
        <f t="array" aca="1" ref="AM134" ca="1">IF(AM$118&gt;$Q$27,"",INDEX('Point Data'!$AR$2:$AR$225,MATCH(1,($AL116='Point Data'!$B$2:$B$225)*(AM$100='Point Data'!$D$2:$D$225),0)))</f>
        <v>15</v>
      </c>
      <c r="AN134" s="75">
        <f t="array" aca="1" ref="AN134" ca="1">IF(AN$118&gt;$Q$27,"",INDEX('Point Data'!$AR$2:$AR$225,MATCH(1,($AL116='Point Data'!$B$2:$B$225)*(AN$100='Point Data'!$D$2:$D$225),0)))</f>
        <v>3</v>
      </c>
      <c r="AO134" s="75">
        <f t="array" aca="1" ref="AO134" ca="1">IF(AO$118&gt;$Q$27,"",INDEX('Point Data'!$AR$2:$AR$225,MATCH(1,($AL116='Point Data'!$B$2:$B$225)*(AO$100='Point Data'!$D$2:$D$225),0)))</f>
        <v>2</v>
      </c>
      <c r="AP134" s="75">
        <f t="array" aca="1" ref="AP134" ca="1">IF(AP$118&gt;$Q$27,"",INDEX('Point Data'!$AR$2:$AR$225,MATCH(1,($AL116='Point Data'!$B$2:$B$225)*(AP$100='Point Data'!$D$2:$D$225),0)))</f>
        <v>16</v>
      </c>
      <c r="AQ134" s="75">
        <f t="array" aca="1" ref="AQ134" ca="1">IF(AQ$118&gt;$Q$27,"",INDEX('Point Data'!$AR$2:$AR$225,MATCH(1,($AL116='Point Data'!$B$2:$B$225)*(AQ$100='Point Data'!$D$2:$D$225),0)))</f>
        <v>8</v>
      </c>
      <c r="AR134" s="75">
        <f t="array" aca="1" ref="AR134" ca="1">IF(AR$118&gt;$Q$27,"",INDEX('Point Data'!$AR$2:$AR$225,MATCH(1,($AL116='Point Data'!$B$2:$B$225)*(AR$100='Point Data'!$D$2:$D$225),0)))</f>
        <v>5</v>
      </c>
      <c r="AS134" s="75">
        <f t="array" aca="1" ref="AS134" ca="1">IF(AS$118&gt;$Q$27,"",INDEX('Point Data'!$AR$2:$AR$225,MATCH(1,($AL116='Point Data'!$B$2:$B$225)*(AS$100='Point Data'!$D$2:$D$225),0)))</f>
        <v>7</v>
      </c>
      <c r="AT134" s="75">
        <f t="array" aca="1" ref="AT134" ca="1">IF(AT$118&gt;$Q$27,"",INDEX('Point Data'!$AR$2:$AR$225,MATCH(1,($AL116='Point Data'!$B$2:$B$225)*(AT$100='Point Data'!$D$2:$D$225),0)))</f>
        <v>15</v>
      </c>
      <c r="AU134" s="75">
        <f t="array" aca="1" ref="AU134" ca="1">IF(AU$118&gt;$Q$27,"",INDEX('Point Data'!$AR$2:$AR$225,MATCH(1,($AL116='Point Data'!$B$2:$B$225)*(AU$100='Point Data'!$D$2:$D$225),0)))</f>
        <v>1</v>
      </c>
      <c r="AV134" s="75">
        <f t="array" aca="1" ref="AV134" ca="1">IF(AV$118&gt;$Q$27,"",INDEX('Point Data'!$AR$2:$AR$225,MATCH(1,($AL116='Point Data'!$B$2:$B$225)*(AV$100='Point Data'!$D$2:$D$225),0)))</f>
        <v>11</v>
      </c>
      <c r="AW134" s="75">
        <f t="array" aca="1" ref="AW134" ca="1">IF(AW$118&gt;$Q$27,"",INDEX('Point Data'!$AR$2:$AR$225,MATCH(1,($AL116='Point Data'!$B$2:$B$225)*(AW$100='Point Data'!$D$2:$D$225),0)))</f>
        <v>10</v>
      </c>
      <c r="AX134" s="75">
        <f t="array" aca="1" ref="AX134" ca="1">IF(AX$118&gt;$Q$27,"",INDEX('Point Data'!$AR$2:$AR$225,MATCH(1,($AL116='Point Data'!$B$2:$B$225)*(AX$100='Point Data'!$D$2:$D$225),0)))</f>
        <v>2</v>
      </c>
      <c r="AY134" s="6">
        <f t="array" aca="1" ref="AY134" ca="1">IF(AY$118&gt;$Q$27,"",INDEX('Point Data'!$AR$2:$AR$225,MATCH(1,($AL116='Point Data'!$B$2:$B$225)*(AY$100='Point Data'!$D$2:$D$225),0)))</f>
        <v>5</v>
      </c>
      <c r="AZ134" s="75">
        <f t="shared" ca="1" si="20"/>
        <v>16</v>
      </c>
      <c r="BA134" s="6">
        <f t="shared" ca="1" si="21"/>
        <v>11</v>
      </c>
      <c r="BB134" s="6">
        <f t="shared" ca="1" si="22"/>
        <v>7.6923076923076925</v>
      </c>
      <c r="BC134" s="6">
        <f t="shared" ca="1" si="23"/>
        <v>3</v>
      </c>
      <c r="BD134" s="6">
        <f t="shared" ca="1" si="24"/>
        <v>1</v>
      </c>
      <c r="BE134" s="6">
        <f t="shared" ca="1" si="25"/>
        <v>5.3132635197935763</v>
      </c>
    </row>
    <row r="135" spans="29:57">
      <c r="AC135" s="95"/>
      <c r="AE135" s="95"/>
      <c r="AG135" s="95"/>
      <c r="AI135" s="95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</row>
    <row r="136" spans="29:57">
      <c r="AC136" s="95"/>
      <c r="AE136" s="95"/>
      <c r="AG136" s="95"/>
      <c r="AI136" s="95"/>
    </row>
    <row r="137" spans="29:57">
      <c r="AC137" s="95"/>
      <c r="AE137" s="95"/>
      <c r="AG137" s="95"/>
      <c r="AI137" s="95"/>
    </row>
    <row r="138" spans="29:57">
      <c r="AC138" s="95"/>
      <c r="AE138" s="95"/>
      <c r="AG138" s="95"/>
      <c r="AI138" s="95"/>
    </row>
    <row r="139" spans="29:57">
      <c r="AC139" s="95"/>
      <c r="AE139" s="95"/>
      <c r="AG139" s="95"/>
      <c r="AI139" s="95"/>
    </row>
    <row r="154" spans="37:46">
      <c r="AM154" s="174"/>
      <c r="AN154" s="174"/>
      <c r="AO154" s="174"/>
      <c r="AP154" s="174"/>
      <c r="AQ154" s="174"/>
      <c r="AR154" s="174"/>
      <c r="AS154" s="174"/>
      <c r="AT154" s="174"/>
    </row>
    <row r="155" spans="37:46">
      <c r="AK155" s="173"/>
      <c r="AL155" s="173"/>
      <c r="AM155" s="173"/>
      <c r="AN155" s="173"/>
      <c r="AO155" s="173"/>
      <c r="AP155" s="173"/>
      <c r="AQ155" s="174"/>
      <c r="AR155" s="174"/>
      <c r="AS155" s="174"/>
      <c r="AT155" s="174"/>
    </row>
    <row r="156" spans="37:46">
      <c r="AK156" s="173"/>
      <c r="AL156" s="173"/>
      <c r="AM156" s="173"/>
      <c r="AN156" s="173"/>
      <c r="AO156" s="173"/>
      <c r="AP156" s="173"/>
      <c r="AQ156" s="174"/>
      <c r="AR156" s="174"/>
      <c r="AS156" s="174"/>
      <c r="AT156" s="174"/>
    </row>
    <row r="157" spans="37:46">
      <c r="AK157" s="173"/>
      <c r="AL157" s="173"/>
      <c r="AM157" s="173"/>
      <c r="AN157" s="173"/>
      <c r="AO157" s="173"/>
      <c r="AP157" s="173"/>
      <c r="AQ157" s="174"/>
      <c r="AR157" s="174"/>
      <c r="AS157" s="174"/>
      <c r="AT157" s="174"/>
    </row>
    <row r="158" spans="37:46">
      <c r="AK158" s="173"/>
      <c r="AL158" s="173"/>
      <c r="AM158" s="173"/>
      <c r="AN158" s="173"/>
      <c r="AO158" s="173"/>
      <c r="AP158" s="173"/>
      <c r="AQ158" s="174"/>
      <c r="AR158" s="174"/>
      <c r="AS158" s="174"/>
      <c r="AT158" s="174"/>
    </row>
    <row r="159" spans="37:46">
      <c r="AK159" s="173"/>
      <c r="AL159" s="173"/>
      <c r="AM159" s="173"/>
      <c r="AN159" s="173"/>
      <c r="AO159" s="173"/>
      <c r="AP159" s="173"/>
      <c r="AQ159" s="174"/>
      <c r="AR159" s="174"/>
      <c r="AS159" s="174"/>
      <c r="AT159" s="174"/>
    </row>
    <row r="160" spans="37:46">
      <c r="AK160" s="173"/>
      <c r="AL160" s="173"/>
      <c r="AM160" s="173"/>
      <c r="AN160" s="173"/>
      <c r="AO160" s="173"/>
      <c r="AP160" s="173"/>
      <c r="AQ160" s="174"/>
      <c r="AR160" s="174"/>
      <c r="AS160" s="174"/>
      <c r="AT160" s="174"/>
    </row>
    <row r="161" spans="37:46">
      <c r="AK161" s="173"/>
      <c r="AL161" s="173"/>
      <c r="AM161" s="173"/>
      <c r="AN161" s="173"/>
      <c r="AO161" s="173"/>
      <c r="AP161" s="173"/>
      <c r="AQ161" s="174"/>
      <c r="AR161" s="174"/>
      <c r="AS161" s="174"/>
      <c r="AT161" s="174"/>
    </row>
    <row r="162" spans="37:46">
      <c r="AK162" s="173"/>
      <c r="AL162" s="173"/>
      <c r="AM162" s="173"/>
      <c r="AN162" s="173"/>
      <c r="AO162" s="173"/>
      <c r="AP162" s="173"/>
      <c r="AQ162" s="174"/>
      <c r="AR162" s="174"/>
      <c r="AS162" s="174"/>
      <c r="AT162" s="174"/>
    </row>
    <row r="163" spans="37:46">
      <c r="AK163" s="173"/>
      <c r="AL163" s="173"/>
      <c r="AM163" s="173"/>
      <c r="AN163" s="173"/>
      <c r="AO163" s="173"/>
      <c r="AP163" s="173"/>
      <c r="AQ163" s="174"/>
      <c r="AR163" s="174"/>
      <c r="AS163" s="174"/>
      <c r="AT163" s="174"/>
    </row>
    <row r="164" spans="37:46">
      <c r="AK164" s="173"/>
      <c r="AL164" s="173"/>
      <c r="AM164" s="173"/>
      <c r="AN164" s="173"/>
      <c r="AO164" s="173"/>
      <c r="AP164" s="173"/>
      <c r="AQ164" s="174"/>
      <c r="AR164" s="174"/>
      <c r="AS164" s="174"/>
      <c r="AT164" s="174"/>
    </row>
    <row r="165" spans="37:46">
      <c r="AK165" s="173"/>
      <c r="AL165" s="173"/>
      <c r="AM165" s="173"/>
      <c r="AN165" s="173"/>
      <c r="AO165" s="173"/>
      <c r="AP165" s="173"/>
      <c r="AQ165" s="174"/>
      <c r="AR165" s="174"/>
      <c r="AS165" s="174"/>
      <c r="AT165" s="174"/>
    </row>
    <row r="166" spans="37:46">
      <c r="AK166" s="173"/>
      <c r="AL166" s="173"/>
      <c r="AM166" s="173"/>
      <c r="AN166" s="173"/>
      <c r="AO166" s="173"/>
      <c r="AP166" s="173"/>
      <c r="AQ166" s="174"/>
      <c r="AR166" s="174"/>
      <c r="AS166" s="174"/>
      <c r="AT166" s="174"/>
    </row>
    <row r="167" spans="37:46">
      <c r="AK167" s="173"/>
      <c r="AL167" s="173"/>
      <c r="AM167" s="173"/>
      <c r="AN167" s="173"/>
      <c r="AO167" s="173"/>
      <c r="AP167" s="173"/>
      <c r="AQ167" s="174"/>
      <c r="AR167" s="174"/>
      <c r="AS167" s="174"/>
      <c r="AT167" s="174"/>
    </row>
    <row r="168" spans="37:46">
      <c r="AK168" s="173"/>
      <c r="AL168" s="173"/>
      <c r="AM168" s="173"/>
      <c r="AN168" s="173"/>
      <c r="AO168" s="173"/>
      <c r="AP168" s="173"/>
      <c r="AQ168" s="174"/>
      <c r="AR168" s="174"/>
      <c r="AS168" s="174"/>
      <c r="AT168" s="174"/>
    </row>
    <row r="169" spans="37:46">
      <c r="AM169" s="174"/>
      <c r="AN169" s="174"/>
      <c r="AO169" s="174"/>
      <c r="AP169" s="174"/>
      <c r="AQ169" s="174"/>
      <c r="AR169" s="174"/>
      <c r="AS169" s="174"/>
      <c r="AT169" s="174"/>
    </row>
  </sheetData>
  <sortState ref="C47:G62">
    <sortCondition ref="G47:G62"/>
  </sortState>
  <mergeCells count="67">
    <mergeCell ref="C23:C24"/>
    <mergeCell ref="M20:N20"/>
    <mergeCell ref="M19:N19"/>
    <mergeCell ref="M106:N106"/>
    <mergeCell ref="O106:P106"/>
    <mergeCell ref="K26:O26"/>
    <mergeCell ref="O82:V82"/>
    <mergeCell ref="G28:H28"/>
    <mergeCell ref="G29:H29"/>
    <mergeCell ref="G30:H30"/>
    <mergeCell ref="G42:H42"/>
    <mergeCell ref="G43:H43"/>
    <mergeCell ref="O81:V81"/>
    <mergeCell ref="K41:O42"/>
    <mergeCell ref="G45:H45"/>
    <mergeCell ref="G31:H31"/>
    <mergeCell ref="K3:S3"/>
    <mergeCell ref="O14:P14"/>
    <mergeCell ref="K13:L13"/>
    <mergeCell ref="C45:D45"/>
    <mergeCell ref="V17:X17"/>
    <mergeCell ref="C26:C27"/>
    <mergeCell ref="U3:AC3"/>
    <mergeCell ref="A3:I3"/>
    <mergeCell ref="G26:I26"/>
    <mergeCell ref="M17:N17"/>
    <mergeCell ref="V26:V27"/>
    <mergeCell ref="W26:Z26"/>
    <mergeCell ref="M18:N18"/>
    <mergeCell ref="O18:P18"/>
    <mergeCell ref="M23:N23"/>
    <mergeCell ref="M24:N24"/>
    <mergeCell ref="U13:V13"/>
    <mergeCell ref="Y14:Z14"/>
    <mergeCell ref="D26:F26"/>
    <mergeCell ref="G27:H27"/>
    <mergeCell ref="W14:X14"/>
    <mergeCell ref="O17:P17"/>
    <mergeCell ref="O19:P19"/>
    <mergeCell ref="O20:P20"/>
    <mergeCell ref="Q18:R18"/>
    <mergeCell ref="Q19:R19"/>
    <mergeCell ref="AH106:AI106"/>
    <mergeCell ref="Y106:Z106"/>
    <mergeCell ref="AB106:AC106"/>
    <mergeCell ref="AD106:AE106"/>
    <mergeCell ref="K14:L14"/>
    <mergeCell ref="U106:V106"/>
    <mergeCell ref="R106:T106"/>
    <mergeCell ref="M22:N22"/>
    <mergeCell ref="M21:N21"/>
    <mergeCell ref="O80:V80"/>
    <mergeCell ref="O79:V79"/>
    <mergeCell ref="AF106:AG106"/>
    <mergeCell ref="W106:X106"/>
    <mergeCell ref="O78:V78"/>
    <mergeCell ref="G37:H37"/>
    <mergeCell ref="G32:H32"/>
    <mergeCell ref="G33:H33"/>
    <mergeCell ref="G34:H34"/>
    <mergeCell ref="G35:H35"/>
    <mergeCell ref="G36:H36"/>
    <mergeCell ref="G44:H44"/>
    <mergeCell ref="G41:H41"/>
    <mergeCell ref="G38:H38"/>
    <mergeCell ref="G39:H39"/>
    <mergeCell ref="G40:H40"/>
  </mergeCells>
  <conditionalFormatting sqref="N31:N33 N29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1:O33 O2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:B20">
    <cfRule type="colorScale" priority="7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20">
    <cfRule type="colorScale" priority="706">
      <colorScale>
        <cfvo type="min"/>
        <cfvo type="percentile" val="50"/>
        <cfvo type="max"/>
        <color rgb="FF00B050"/>
        <color rgb="FFFFEB84"/>
        <color theme="5" tint="0.39997558519241921"/>
      </colorScale>
    </cfRule>
  </conditionalFormatting>
  <conditionalFormatting sqref="N2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0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:I20">
    <cfRule type="expression" dxfId="229" priority="145">
      <formula>($E5="Bone")</formula>
    </cfRule>
    <cfRule type="expression" dxfId="228" priority="146">
      <formula>($E5="Wardo")</formula>
    </cfRule>
  </conditionalFormatting>
  <conditionalFormatting sqref="Z28:Z4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0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0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8:X4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Y43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41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8:I40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43">
    <cfRule type="colorScale" priority="131">
      <colorScale>
        <cfvo type="min"/>
        <cfvo type="max"/>
        <color rgb="FFFCFCFF"/>
        <color rgb="FF63BE7B"/>
      </colorScale>
    </cfRule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0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">
    <cfRule type="containsText" dxfId="227" priority="49" operator="containsText" text="Kenosha Cunt Curlers">
      <formula>NOT(ISERROR(SEARCH("Kenosha Cunt Curlers",Q19)))</formula>
    </cfRule>
    <cfRule type="containsText" dxfId="226" priority="53" operator="containsText" text="Fuck Frank Fuck Frank">
      <formula>NOT(ISERROR(SEARCH("Fuck Frank Fuck Frank",Q19)))</formula>
    </cfRule>
    <cfRule type="containsText" dxfId="225" priority="56" operator="containsText" text="Riddler's RevengePorn">
      <formula>NOT(ISERROR(SEARCH("Riddler's RevengePorn",Q19)))</formula>
    </cfRule>
    <cfRule type="containsText" dxfId="224" priority="57" operator="containsText" text="Double D' Andres">
      <formula>NOT(ISERROR(SEARCH("Double D' Andres",Q19)))</formula>
    </cfRule>
    <cfRule type="containsText" dxfId="223" priority="60" operator="containsText" text="Wakanda Black Mambas">
      <formula>NOT(ISERROR(SEARCH("Wakanda Black Mambas",Q19)))</formula>
    </cfRule>
    <cfRule type="containsText" dxfId="222" priority="61" operator="containsText" text="Gronk's 2nd Rookie Year">
      <formula>NOT(ISERROR(SEARCH("Gronk's 2nd Rookie Year",Q19)))</formula>
    </cfRule>
    <cfRule type="containsText" dxfId="221" priority="62" operator="containsText" text="Los CUCKeadores">
      <formula>NOT(ISERROR(SEARCH("Los CUCKeadores",Q19)))</formula>
    </cfRule>
  </conditionalFormatting>
  <conditionalFormatting sqref="Q19">
    <cfRule type="containsText" dxfId="220" priority="47" operator="containsText" text="Soy Boy Beta Cucks">
      <formula>NOT(ISERROR(SEARCH("Soy Boy Beta Cucks",Q19)))</formula>
    </cfRule>
    <cfRule type="containsText" dxfId="219" priority="48" operator="containsText" text="Koo Brees">
      <formula>NOT(ISERROR(SEARCH("Koo Brees",Q19)))</formula>
    </cfRule>
    <cfRule type="containsText" dxfId="218" priority="50" operator="containsText" text="DJ Charkcuterie">
      <formula>NOT(ISERROR(SEARCH("DJ Charkcuterie",Q19)))</formula>
    </cfRule>
    <cfRule type="containsText" dxfId="217" priority="51" operator="containsText" text="COVID Curious">
      <formula>NOT(ISERROR(SEARCH("COVID Curious",Q19)))</formula>
    </cfRule>
    <cfRule type="containsText" dxfId="216" priority="52" operator="containsText" text="Green Horn">
      <formula>NOT(ISERROR(SEARCH("Green Horn",Q19)))</formula>
    </cfRule>
    <cfRule type="containsText" dxfId="215" priority="54" operator="containsText" text="GOWT'S ANIMAL HOUSE">
      <formula>NOT(ISERROR(SEARCH("GOWT'S ANIMAL HOUSE",Q19)))</formula>
    </cfRule>
    <cfRule type="containsText" dxfId="214" priority="55" operator="containsText" text="Shitcago Bowels">
      <formula>NOT(ISERROR(SEARCH("Shitcago Bowels",Q19)))</formula>
    </cfRule>
    <cfRule type="containsText" dxfId="213" priority="58" operator="containsText" text="Kupping up with The Jones">
      <formula>NOT(ISERROR(SEARCH("Kupping up with The Jones",Q19)))</formula>
    </cfRule>
    <cfRule type="containsText" dxfId="212" priority="59" operator="containsText" text="BIG DOM'S SUBS">
      <formula>NOT(ISERROR(SEARCH("BIG DOM'S SUBS",Q19)))</formula>
    </cfRule>
  </conditionalFormatting>
  <conditionalFormatting sqref="O18:P18">
    <cfRule type="containsText" dxfId="211" priority="81" operator="containsText" text="Kenosha Cunt Curlers">
      <formula>NOT(ISERROR(SEARCH("Kenosha Cunt Curlers",O18)))</formula>
    </cfRule>
    <cfRule type="containsText" dxfId="210" priority="85" operator="containsText" text="Fuck Frank Fuck Frank">
      <formula>NOT(ISERROR(SEARCH("Fuck Frank Fuck Frank",O18)))</formula>
    </cfRule>
    <cfRule type="containsText" dxfId="209" priority="88" operator="containsText" text="Riddler's RevengePorn">
      <formula>NOT(ISERROR(SEARCH("Riddler's RevengePorn",O18)))</formula>
    </cfRule>
    <cfRule type="containsText" dxfId="208" priority="89" operator="containsText" text="Double D' Andres">
      <formula>NOT(ISERROR(SEARCH("Double D' Andres",O18)))</formula>
    </cfRule>
    <cfRule type="containsText" dxfId="207" priority="92" operator="containsText" text="Wakanda Black Mambas">
      <formula>NOT(ISERROR(SEARCH("Wakanda Black Mambas",O18)))</formula>
    </cfRule>
    <cfRule type="containsText" dxfId="206" priority="93" operator="containsText" text="Gronk's 2nd Rookie Year">
      <formula>NOT(ISERROR(SEARCH("Gronk's 2nd Rookie Year",O18)))</formula>
    </cfRule>
    <cfRule type="containsText" dxfId="205" priority="94" operator="containsText" text="Los CUCKeadores">
      <formula>NOT(ISERROR(SEARCH("Los CUCKeadores",O18)))</formula>
    </cfRule>
  </conditionalFormatting>
  <conditionalFormatting sqref="O18:P18">
    <cfRule type="containsText" dxfId="204" priority="79" operator="containsText" text="Soy Boy Beta Cucks">
      <formula>NOT(ISERROR(SEARCH("Soy Boy Beta Cucks",O18)))</formula>
    </cfRule>
    <cfRule type="containsText" dxfId="203" priority="80" operator="containsText" text="Koo Brees">
      <formula>NOT(ISERROR(SEARCH("Koo Brees",O18)))</formula>
    </cfRule>
    <cfRule type="containsText" dxfId="202" priority="82" operator="containsText" text="DJ Charkcuterie">
      <formula>NOT(ISERROR(SEARCH("DJ Charkcuterie",O18)))</formula>
    </cfRule>
    <cfRule type="containsText" dxfId="201" priority="83" operator="containsText" text="COVID Curious">
      <formula>NOT(ISERROR(SEARCH("COVID Curious",O18)))</formula>
    </cfRule>
    <cfRule type="containsText" dxfId="200" priority="84" operator="containsText" text="Green Horn">
      <formula>NOT(ISERROR(SEARCH("Green Horn",O18)))</formula>
    </cfRule>
    <cfRule type="containsText" dxfId="199" priority="86" operator="containsText" text="GOWT'S ANIMAL HOUSE">
      <formula>NOT(ISERROR(SEARCH("GOWT'S ANIMAL HOUSE",O18)))</formula>
    </cfRule>
    <cfRule type="containsText" dxfId="198" priority="87" operator="containsText" text="Shitcago Bowels">
      <formula>NOT(ISERROR(SEARCH("Shitcago Bowels",O18)))</formula>
    </cfRule>
    <cfRule type="containsText" dxfId="197" priority="90" operator="containsText" text="Kupping up with The Jones">
      <formula>NOT(ISERROR(SEARCH("Kupping up with The Jones",O18)))</formula>
    </cfRule>
    <cfRule type="containsText" dxfId="196" priority="91" operator="containsText" text="BIG DOM'S SUBS">
      <formula>NOT(ISERROR(SEARCH("BIG DOM'S SUBS",O18)))</formula>
    </cfRule>
  </conditionalFormatting>
  <conditionalFormatting sqref="Q18:R18">
    <cfRule type="containsText" dxfId="195" priority="65" operator="containsText" text="Kenosha Cunt Curlers">
      <formula>NOT(ISERROR(SEARCH("Kenosha Cunt Curlers",Q18)))</formula>
    </cfRule>
    <cfRule type="containsText" dxfId="194" priority="69" operator="containsText" text="Fuck Frank Fuck Frank">
      <formula>NOT(ISERROR(SEARCH("Fuck Frank Fuck Frank",Q18)))</formula>
    </cfRule>
    <cfRule type="containsText" dxfId="193" priority="72" operator="containsText" text="Riddler's RevengePorn">
      <formula>NOT(ISERROR(SEARCH("Riddler's RevengePorn",Q18)))</formula>
    </cfRule>
    <cfRule type="containsText" dxfId="192" priority="73" operator="containsText" text="Double D' Andres">
      <formula>NOT(ISERROR(SEARCH("Double D' Andres",Q18)))</formula>
    </cfRule>
    <cfRule type="containsText" dxfId="191" priority="76" operator="containsText" text="Wakanda Black Mambas">
      <formula>NOT(ISERROR(SEARCH("Wakanda Black Mambas",Q18)))</formula>
    </cfRule>
    <cfRule type="containsText" dxfId="190" priority="77" operator="containsText" text="Gronk's 2nd Rookie Year">
      <formula>NOT(ISERROR(SEARCH("Gronk's 2nd Rookie Year",Q18)))</formula>
    </cfRule>
    <cfRule type="containsText" dxfId="189" priority="78" operator="containsText" text="Los CUCKeadores">
      <formula>NOT(ISERROR(SEARCH("Los CUCKeadores",Q18)))</formula>
    </cfRule>
  </conditionalFormatting>
  <conditionalFormatting sqref="Q18:R18">
    <cfRule type="containsText" dxfId="188" priority="63" operator="containsText" text="Soy Boy Beta Cucks">
      <formula>NOT(ISERROR(SEARCH("Soy Boy Beta Cucks",Q18)))</formula>
    </cfRule>
    <cfRule type="containsText" dxfId="187" priority="64" operator="containsText" text="Koo Brees">
      <formula>NOT(ISERROR(SEARCH("Koo Brees",Q18)))</formula>
    </cfRule>
    <cfRule type="containsText" dxfId="186" priority="66" operator="containsText" text="DJ Charkcuterie">
      <formula>NOT(ISERROR(SEARCH("DJ Charkcuterie",Q18)))</formula>
    </cfRule>
    <cfRule type="containsText" dxfId="185" priority="67" operator="containsText" text="COVID Curious">
      <formula>NOT(ISERROR(SEARCH("COVID Curious",Q18)))</formula>
    </cfRule>
    <cfRule type="containsText" dxfId="184" priority="68" operator="containsText" text="Green Horn">
      <formula>NOT(ISERROR(SEARCH("Green Horn",Q18)))</formula>
    </cfRule>
    <cfRule type="containsText" dxfId="183" priority="70" operator="containsText" text="GOWT'S ANIMAL HOUSE">
      <formula>NOT(ISERROR(SEARCH("GOWT'S ANIMAL HOUSE",Q18)))</formula>
    </cfRule>
    <cfRule type="containsText" dxfId="182" priority="71" operator="containsText" text="Shitcago Bowels">
      <formula>NOT(ISERROR(SEARCH("Shitcago Bowels",Q18)))</formula>
    </cfRule>
    <cfRule type="containsText" dxfId="181" priority="74" operator="containsText" text="Kupping up with The Jones">
      <formula>NOT(ISERROR(SEARCH("Kupping up with The Jones",Q18)))</formula>
    </cfRule>
    <cfRule type="containsText" dxfId="180" priority="75" operator="containsText" text="BIG DOM'S SUBS">
      <formula>NOT(ISERROR(SEARCH("BIG DOM'S SUBS",Q18)))</formula>
    </cfRule>
  </conditionalFormatting>
  <conditionalFormatting sqref="O20:P20">
    <cfRule type="containsText" dxfId="179" priority="33" operator="containsText" text="Kenosha Cunt Curlers">
      <formula>NOT(ISERROR(SEARCH("Kenosha Cunt Curlers",O20)))</formula>
    </cfRule>
    <cfRule type="containsText" dxfId="178" priority="37" operator="containsText" text="Fuck Frank Fuck Frank">
      <formula>NOT(ISERROR(SEARCH("Fuck Frank Fuck Frank",O20)))</formula>
    </cfRule>
    <cfRule type="containsText" dxfId="177" priority="40" operator="containsText" text="Riddler's RevengePorn">
      <formula>NOT(ISERROR(SEARCH("Riddler's RevengePorn",O20)))</formula>
    </cfRule>
    <cfRule type="containsText" dxfId="176" priority="41" operator="containsText" text="Double D' Andres">
      <formula>NOT(ISERROR(SEARCH("Double D' Andres",O20)))</formula>
    </cfRule>
    <cfRule type="containsText" dxfId="175" priority="44" operator="containsText" text="Wakanda Black Mambas">
      <formula>NOT(ISERROR(SEARCH("Wakanda Black Mambas",O20)))</formula>
    </cfRule>
    <cfRule type="containsText" dxfId="174" priority="45" operator="containsText" text="Gronk's 2nd Rookie Year">
      <formula>NOT(ISERROR(SEARCH("Gronk's 2nd Rookie Year",O20)))</formula>
    </cfRule>
    <cfRule type="containsText" dxfId="173" priority="46" operator="containsText" text="Los CUCKeadores">
      <formula>NOT(ISERROR(SEARCH("Los CUCKeadores",O20)))</formula>
    </cfRule>
  </conditionalFormatting>
  <conditionalFormatting sqref="O20:P20">
    <cfRule type="containsText" dxfId="172" priority="31" operator="containsText" text="Soy Boy Beta Cucks">
      <formula>NOT(ISERROR(SEARCH("Soy Boy Beta Cucks",O20)))</formula>
    </cfRule>
    <cfRule type="containsText" dxfId="171" priority="32" operator="containsText" text="Koo Brees">
      <formula>NOT(ISERROR(SEARCH("Koo Brees",O20)))</formula>
    </cfRule>
    <cfRule type="containsText" dxfId="170" priority="34" operator="containsText" text="DJ Charkcuterie">
      <formula>NOT(ISERROR(SEARCH("DJ Charkcuterie",O20)))</formula>
    </cfRule>
    <cfRule type="containsText" dxfId="169" priority="35" operator="containsText" text="COVID Curious">
      <formula>NOT(ISERROR(SEARCH("COVID Curious",O20)))</formula>
    </cfRule>
    <cfRule type="containsText" dxfId="168" priority="36" operator="containsText" text="Green Horn">
      <formula>NOT(ISERROR(SEARCH("Green Horn",O20)))</formula>
    </cfRule>
    <cfRule type="containsText" dxfId="167" priority="38" operator="containsText" text="GOWT'S ANIMAL HOUSE">
      <formula>NOT(ISERROR(SEARCH("GOWT'S ANIMAL HOUSE",O20)))</formula>
    </cfRule>
    <cfRule type="containsText" dxfId="166" priority="39" operator="containsText" text="Shitcago Bowels">
      <formula>NOT(ISERROR(SEARCH("Shitcago Bowels",O20)))</formula>
    </cfRule>
    <cfRule type="containsText" dxfId="165" priority="42" operator="containsText" text="Kupping up with The Jones">
      <formula>NOT(ISERROR(SEARCH("Kupping up with The Jones",O20)))</formula>
    </cfRule>
    <cfRule type="containsText" dxfId="164" priority="43" operator="containsText" text="BIG DOM'S SUBS">
      <formula>NOT(ISERROR(SEARCH("BIG DOM'S SUBS",O20)))</formula>
    </cfRule>
  </conditionalFormatting>
  <conditionalFormatting sqref="F5:F2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:I2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8:M33">
    <cfRule type="colorScale" priority="10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5:M4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6:N4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:O4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2:E44 G42:H44">
    <cfRule type="expression" dxfId="163" priority="19">
      <formula>$C$42&gt;14</formula>
    </cfRule>
  </conditionalFormatting>
  <conditionalFormatting sqref="L37">
    <cfRule type="top10" dxfId="162" priority="18" rank="10"/>
  </conditionalFormatting>
  <conditionalFormatting sqref="K41">
    <cfRule type="colorScale" priority="17">
      <colorScale>
        <cfvo type="min"/>
        <cfvo type="max"/>
        <color rgb="FFFF7128"/>
        <color rgb="FFFFEF9C"/>
      </colorScale>
    </cfRule>
  </conditionalFormatting>
  <conditionalFormatting sqref="D28">
    <cfRule type="cellIs" dxfId="161" priority="204" operator="greaterThan">
      <formula>$Q$27</formula>
    </cfRule>
  </conditionalFormatting>
  <conditionalFormatting sqref="I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AB20" xr:uid="{00000000-0002-0000-0000-000001000000}">
      <formula1>"0,1,2,3,4,5,6,7,8,9,10,11,12,13,14,15,16"</formula1>
    </dataValidation>
    <dataValidation type="list" allowBlank="1" showInputMessage="1" showErrorMessage="1" sqref="Q27 R29:S29" xr:uid="{00000000-0002-0000-0000-000000000000}">
      <formula1>"1,2,3,4,5,6,7,8,9,10,11,12,13,14,15,16"</formula1>
    </dataValidation>
    <dataValidation type="list" allowBlank="1" showInputMessage="1" showErrorMessage="1" sqref="O18:P18 O20:P20" xr:uid="{327C59BE-3A5E-4F4D-9EC3-B519CF200DAF}">
      <formula1>"Soy Boy Beta Cucks, Riddler's RevengePorn"</formula1>
    </dataValidation>
  </dataValidations>
  <printOptions verticalCentered="1"/>
  <pageMargins left="0.7" right="0.7" top="0.75" bottom="0.75" header="0.3" footer="0.3"/>
  <pageSetup scale="31" fitToHeight="0" orientation="landscape" r:id="rId1"/>
  <ignoredErrors>
    <ignoredError sqref="T6:T8 K6:K8 K5 T5" emptyCellReference="1"/>
    <ignoredError sqref="T9:T10 T12 T11 T14 T13" formula="1" emptyCellReference="1"/>
    <ignoredError sqref="Z21:AA21 Z24:AA24 Z23:AA23 Z22:AA22 Z19:AA20 Z18:AA18 AB21 AB24 AB23 AB22 AB19:AB20 AB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68" id="{00000000-000E-0000-0000-000037030000}">
            <xm:f>Ranks!C$35&gt;$Q$27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AM154:AT169</xm:sqref>
        </x14:conditionalFormatting>
        <x14:conditionalFormatting xmlns:xm="http://schemas.microsoft.com/office/excel/2006/main">
          <x14:cfRule type="cellIs" priority="2" operator="equal" id="{FB6EEED9-8062-754D-AF3D-5C35602816DF}">
            <xm:f>'ESPN Data'!$L$4</xm:f>
            <x14:dxf>
              <font>
                <color theme="1"/>
              </font>
              <fill>
                <patternFill>
                  <bgColor rgb="FF00B050"/>
                </patternFill>
              </fill>
            </x14:dxf>
          </x14:cfRule>
          <x14:cfRule type="cellIs" priority="3" operator="equal" id="{CE54EB53-C1E7-0E4E-BF22-18BF0F3D13F6}">
            <xm:f>'ESPN Data'!$L$5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4" operator="equal" id="{F6676FDC-32C9-854A-8BB4-CC49CBB9774C}">
            <xm:f>'ESPN Data'!$L$6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5" operator="equal" id="{D94C6D1C-8624-4348-B7F1-96AC4A51F577}">
            <xm:f>'ESPN Data'!$L$7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324C5992-7AC8-1243-A146-61668FEB3D0A}">
            <xm:f>'ESPN Data'!$L$8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7" operator="equal" id="{40D8B103-57D4-F04B-8675-DDD55BB643D0}">
            <xm:f>'ESPN Data'!$L$9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8" operator="equal" id="{1AC36D11-B269-A84B-9898-02F51E62CECA}">
            <xm:f>'ESPN Data'!$L$10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9" operator="equal" id="{714107C7-87F8-E449-9531-1EA482A4A449}">
            <xm:f>'ESPN Data'!$L$11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10" operator="equal" id="{112EF7E4-0A3D-214D-8487-1F41E709CF39}">
            <xm:f>'ESPN Data'!$L$12</xm:f>
            <x14:dxf>
              <font>
                <color theme="1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C0B4D418-3A14-DC4F-9F26-577750F34766}">
            <xm:f>'ESPN Data'!$L$13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2" operator="equal" id="{C2C32938-F502-2B4A-BA1F-CFB35A9D29E6}">
            <xm:f>'ESPN Data'!$L$14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3" operator="equal" id="{C58CF8F4-7AA4-1A45-BF2A-AADC321159AB}">
            <xm:f>'ESPN Data'!$L$15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4" operator="equal" id="{22BFFBD1-87D6-3949-B6F2-55573E39550D}">
            <xm:f>'ESPN Data'!$L$16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5" operator="equal" id="{A83D3617-A442-F741-9B8E-C33F652CE78A}">
            <xm:f>'ESPN Data'!$L$17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6" operator="equal" id="{990BFFEA-EAAC-F04B-A138-DF0C644CE572}">
            <xm:f>'ESPN Data'!$L$18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96" operator="equal" id="{31B85811-03DC-B14B-BF60-72100272F704}">
            <xm:f>'ESPN Data'!$L$19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L18:L24 D5:D20 D28:E44 L35:L40 L28:L33 G28:H44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G2:AG9"/>
  <sheetViews>
    <sheetView showGridLines="0" zoomScale="70" zoomScaleNormal="70" workbookViewId="0">
      <selection activeCell="AI112" sqref="AI112"/>
    </sheetView>
  </sheetViews>
  <sheetFormatPr baseColWidth="10" defaultColWidth="8.83203125" defaultRowHeight="15"/>
  <sheetData>
    <row r="2" spans="33:33" ht="5" customHeight="1"/>
    <row r="7" spans="33:33">
      <c r="AG7" t="str">
        <f>Ranks!T89</f>
        <v>Bone Point Totals</v>
      </c>
    </row>
    <row r="9" spans="33:33">
      <c r="AG9" t="str">
        <f>Ranks!T90</f>
        <v>Wardo Season Ranks</v>
      </c>
    </row>
  </sheetData>
  <printOptions horizontalCentered="1" verticalCentered="1"/>
  <pageMargins left="0.25" right="0.25" top="0.75" bottom="0.75" header="0.3" footer="0.3"/>
  <pageSetup scale="2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15BE-E100-0841-9B12-D6B4120FAA67}">
  <sheetPr codeName="Sheet5">
    <pageSetUpPr fitToPage="1"/>
  </sheetPr>
  <dimension ref="B1:AX96"/>
  <sheetViews>
    <sheetView showGridLines="0" topLeftCell="C1" zoomScale="90" zoomScaleNormal="90" workbookViewId="0">
      <selection activeCell="AD1" sqref="AD1"/>
    </sheetView>
  </sheetViews>
  <sheetFormatPr baseColWidth="10" defaultColWidth="8.83203125" defaultRowHeight="15"/>
  <cols>
    <col min="1" max="16384" width="8.83203125" style="70"/>
  </cols>
  <sheetData>
    <row r="1" spans="2:26" s="190" customFormat="1">
      <c r="B1" s="382"/>
      <c r="C1" s="382"/>
      <c r="D1" s="382"/>
      <c r="E1" s="382"/>
      <c r="F1" s="382"/>
      <c r="G1" s="382"/>
      <c r="H1" s="382"/>
      <c r="I1" s="382"/>
      <c r="J1" s="382"/>
      <c r="K1" s="382"/>
      <c r="L1" s="382"/>
      <c r="M1" s="382"/>
      <c r="N1" s="382"/>
      <c r="O1" s="382"/>
      <c r="P1" s="382"/>
      <c r="Q1" s="382"/>
      <c r="R1" s="382"/>
      <c r="S1" s="382"/>
      <c r="T1" s="382"/>
      <c r="U1" s="382"/>
      <c r="V1" s="382"/>
      <c r="W1" s="382"/>
      <c r="X1" s="382"/>
      <c r="Y1" s="382"/>
      <c r="Z1" s="382"/>
    </row>
    <row r="61" spans="37:50">
      <c r="AL61" s="70">
        <v>1</v>
      </c>
      <c r="AM61" s="70">
        <v>2</v>
      </c>
      <c r="AN61" s="190">
        <v>3</v>
      </c>
      <c r="AO61" s="190">
        <v>4</v>
      </c>
      <c r="AP61" s="190">
        <v>5</v>
      </c>
      <c r="AQ61" s="190">
        <v>6</v>
      </c>
      <c r="AR61" s="190">
        <v>7</v>
      </c>
      <c r="AS61" s="190">
        <v>8</v>
      </c>
      <c r="AT61" s="190">
        <v>9</v>
      </c>
      <c r="AU61" s="190">
        <v>10</v>
      </c>
      <c r="AV61" s="190">
        <v>11</v>
      </c>
      <c r="AW61" s="190">
        <v>12</v>
      </c>
      <c r="AX61" s="190">
        <v>13</v>
      </c>
    </row>
    <row r="62" spans="37:50" ht="16" thickBot="1">
      <c r="AL62" s="70">
        <f>IF(AL61&lt;=Standings!$Q$27,AL61,"")</f>
        <v>1</v>
      </c>
      <c r="AM62" s="190">
        <f>IF(AM61&lt;=Standings!$Q$27,AM61,"")</f>
        <v>2</v>
      </c>
      <c r="AN62" s="190">
        <f>IF(AN61&lt;=Standings!$Q$27,AN61,"")</f>
        <v>3</v>
      </c>
      <c r="AO62" s="190">
        <f>IF(AO61&lt;=Standings!$Q$27,AO61,"")</f>
        <v>4</v>
      </c>
      <c r="AP62" s="190">
        <f>IF(AP61&lt;=Standings!$Q$27,AP61,"")</f>
        <v>5</v>
      </c>
      <c r="AQ62" s="190">
        <f>IF(AQ61&lt;=Standings!$Q$27,AQ61,"")</f>
        <v>6</v>
      </c>
      <c r="AR62" s="190">
        <f>IF(AR61&lt;=Standings!$Q$27,AR61,"")</f>
        <v>7</v>
      </c>
      <c r="AS62" s="190">
        <f>IF(AS61&lt;=Standings!$Q$27,AS61,"")</f>
        <v>8</v>
      </c>
      <c r="AT62" s="190">
        <f>IF(AT61&lt;=Standings!$Q$27,AT61,"")</f>
        <v>9</v>
      </c>
      <c r="AU62" s="190">
        <f>IF(AU61&lt;=Standings!$Q$27,AU61,"")</f>
        <v>10</v>
      </c>
      <c r="AV62" s="190">
        <f>IF(AV61&lt;=Standings!$Q$27,AV61,"")</f>
        <v>11</v>
      </c>
      <c r="AW62" s="190">
        <f>IF(AW61&lt;=Standings!$Q$27,AW61,"")</f>
        <v>12</v>
      </c>
      <c r="AX62" s="190">
        <f>IF(AX61&lt;=Standings!$Q$27,AX61,"")</f>
        <v>13</v>
      </c>
    </row>
    <row r="63" spans="37:50">
      <c r="AK63" s="205" t="str">
        <f>'Point Data'!$B$2</f>
        <v>Team 1</v>
      </c>
      <c r="AL63" s="70">
        <f t="array" aca="1" ref="AL63" ca="1">INDEX('Point Data'!$M$2:$M$225,MATCH(1,('Point Data'!$B$2:$B$225=FAAB!$AK63)*('Point Data'!$D$2:$D$225=FAAB!AL$62),0))</f>
        <v>3</v>
      </c>
      <c r="AM63" s="190">
        <f t="array" aca="1" ref="AM63" ca="1">INDEX('Point Data'!$M$2:$M$225,MATCH(1,('Point Data'!$B$2:$B$225=FAAB!$AK63)*('Point Data'!$D$2:$D$225=FAAB!AM$62),0))</f>
        <v>6</v>
      </c>
      <c r="AN63" s="190">
        <f t="array" aca="1" ref="AN63" ca="1">INDEX('Point Data'!$M$2:$M$225,MATCH(1,('Point Data'!$B$2:$B$225=FAAB!$AK63)*('Point Data'!$D$2:$D$225=FAAB!AN$62),0))</f>
        <v>0</v>
      </c>
      <c r="AO63" s="190">
        <f t="array" aca="1" ref="AO63" ca="1">INDEX('Point Data'!$M$2:$M$225,MATCH(1,('Point Data'!$B$2:$B$225=FAAB!$AK63)*('Point Data'!$D$2:$D$225=FAAB!AO$62),0))</f>
        <v>57</v>
      </c>
      <c r="AP63" s="190">
        <f t="array" aca="1" ref="AP63" ca="1">INDEX('Point Data'!$M$2:$M$225,MATCH(1,('Point Data'!$B$2:$B$225=FAAB!$AK63)*('Point Data'!$D$2:$D$225=FAAB!AP$62),0))</f>
        <v>3</v>
      </c>
      <c r="AQ63" s="190">
        <f t="array" aca="1" ref="AQ63" ca="1">INDEX('Point Data'!$M$2:$M$225,MATCH(1,('Point Data'!$B$2:$B$225=FAAB!$AK63)*('Point Data'!$D$2:$D$225=FAAB!AQ$62),0))</f>
        <v>0</v>
      </c>
      <c r="AR63" s="190">
        <f t="array" aca="1" ref="AR63" ca="1">INDEX('Point Data'!$M$2:$M$225,MATCH(1,('Point Data'!$B$2:$B$225=FAAB!$AK63)*('Point Data'!$D$2:$D$225=FAAB!AR$62),0))</f>
        <v>16</v>
      </c>
      <c r="AS63" s="190">
        <f t="array" aca="1" ref="AS63" ca="1">INDEX('Point Data'!$M$2:$M$225,MATCH(1,('Point Data'!$B$2:$B$225=FAAB!$AK63)*('Point Data'!$D$2:$D$225=FAAB!AS$62),0))</f>
        <v>0</v>
      </c>
      <c r="AT63" s="190">
        <f t="array" aca="1" ref="AT63" ca="1">INDEX('Point Data'!$M$2:$M$225,MATCH(1,('Point Data'!$B$2:$B$225=FAAB!$AK63)*('Point Data'!$D$2:$D$225=FAAB!AT$62),0))</f>
        <v>0</v>
      </c>
      <c r="AU63" s="190">
        <f t="array" aca="1" ref="AU63" ca="1">INDEX('Point Data'!$M$2:$M$225,MATCH(1,('Point Data'!$B$2:$B$225=FAAB!$AK63)*('Point Data'!$D$2:$D$225=FAAB!AU$62),0))</f>
        <v>0</v>
      </c>
      <c r="AV63" s="190">
        <f t="array" aca="1" ref="AV63" ca="1">INDEX('Point Data'!$M$2:$M$225,MATCH(1,('Point Data'!$B$2:$B$225=FAAB!$AK63)*('Point Data'!$D$2:$D$225=FAAB!AV$62),0))</f>
        <v>8</v>
      </c>
      <c r="AW63" s="190">
        <f t="array" aca="1" ref="AW63" ca="1">INDEX('Point Data'!$M$2:$M$225,MATCH(1,('Point Data'!$B$2:$B$225=FAAB!$AK63)*('Point Data'!$D$2:$D$225=FAAB!AW$62),0))</f>
        <v>0</v>
      </c>
      <c r="AX63" s="190">
        <f t="array" aca="1" ref="AX63" ca="1">INDEX('Point Data'!$M$2:$M$225,MATCH(1,('Point Data'!$B$2:$B$225=FAAB!$AK63)*('Point Data'!$D$2:$D$225=FAAB!AX$62),0))</f>
        <v>3</v>
      </c>
    </row>
    <row r="64" spans="37:50">
      <c r="AK64" s="206" t="str">
        <f>'Point Data'!$B$16</f>
        <v>Team 2</v>
      </c>
      <c r="AL64" s="190">
        <f t="array" aca="1" ref="AL64" ca="1">INDEX('Point Data'!$M$2:$M$225,MATCH(1,('Point Data'!$B$2:$B$225=FAAB!$AK64)*('Point Data'!$D$2:$D$225=FAAB!AL$62),0))</f>
        <v>0</v>
      </c>
      <c r="AM64" s="190">
        <f t="array" aca="1" ref="AM64" ca="1">INDEX('Point Data'!$M$2:$M$225,MATCH(1,('Point Data'!$B$2:$B$225=FAAB!$AK64)*('Point Data'!$D$2:$D$225=FAAB!AM$62),0))</f>
        <v>9</v>
      </c>
      <c r="AN64" s="190">
        <f t="array" aca="1" ref="AN64" ca="1">INDEX('Point Data'!$M$2:$M$225,MATCH(1,('Point Data'!$B$2:$B$225=FAAB!$AK64)*('Point Data'!$D$2:$D$225=FAAB!AN$62),0))</f>
        <v>0</v>
      </c>
      <c r="AO64" s="190">
        <f t="array" aca="1" ref="AO64" ca="1">INDEX('Point Data'!$M$2:$M$225,MATCH(1,('Point Data'!$B$2:$B$225=FAAB!$AK64)*('Point Data'!$D$2:$D$225=FAAB!AO$62),0))</f>
        <v>51</v>
      </c>
      <c r="AP64" s="190">
        <f t="array" aca="1" ref="AP64" ca="1">INDEX('Point Data'!$M$2:$M$225,MATCH(1,('Point Data'!$B$2:$B$225=FAAB!$AK64)*('Point Data'!$D$2:$D$225=FAAB!AP$62),0))</f>
        <v>11</v>
      </c>
      <c r="AQ64" s="190">
        <f t="array" aca="1" ref="AQ64" ca="1">INDEX('Point Data'!$M$2:$M$225,MATCH(1,('Point Data'!$B$2:$B$225=FAAB!$AK64)*('Point Data'!$D$2:$D$225=FAAB!AQ$62),0))</f>
        <v>0</v>
      </c>
      <c r="AR64" s="190">
        <f t="array" aca="1" ref="AR64" ca="1">INDEX('Point Data'!$M$2:$M$225,MATCH(1,('Point Data'!$B$2:$B$225=FAAB!$AK64)*('Point Data'!$D$2:$D$225=FAAB!AR$62),0))</f>
        <v>0</v>
      </c>
      <c r="AS64" s="190">
        <f t="array" aca="1" ref="AS64" ca="1">INDEX('Point Data'!$M$2:$M$225,MATCH(1,('Point Data'!$B$2:$B$225=FAAB!$AK64)*('Point Data'!$D$2:$D$225=FAAB!AS$62),0))</f>
        <v>0</v>
      </c>
      <c r="AT64" s="190">
        <f t="array" aca="1" ref="AT64" ca="1">INDEX('Point Data'!$M$2:$M$225,MATCH(1,('Point Data'!$B$2:$B$225=FAAB!$AK64)*('Point Data'!$D$2:$D$225=FAAB!AT$62),0))</f>
        <v>11</v>
      </c>
      <c r="AU64" s="190">
        <f t="array" aca="1" ref="AU64" ca="1">INDEX('Point Data'!$M$2:$M$225,MATCH(1,('Point Data'!$B$2:$B$225=FAAB!$AK64)*('Point Data'!$D$2:$D$225=FAAB!AU$62),0))</f>
        <v>6</v>
      </c>
      <c r="AV64" s="190">
        <f t="array" aca="1" ref="AV64" ca="1">INDEX('Point Data'!$M$2:$M$225,MATCH(1,('Point Data'!$B$2:$B$225=FAAB!$AK64)*('Point Data'!$D$2:$D$225=FAAB!AV$62),0))</f>
        <v>10</v>
      </c>
      <c r="AW64" s="190">
        <f t="array" aca="1" ref="AW64" ca="1">INDEX('Point Data'!$M$2:$M$225,MATCH(1,('Point Data'!$B$2:$B$225=FAAB!$AK64)*('Point Data'!$D$2:$D$225=FAAB!AW$62),0))</f>
        <v>0</v>
      </c>
      <c r="AX64" s="190">
        <f t="array" aca="1" ref="AX64" ca="1">INDEX('Point Data'!$M$2:$M$225,MATCH(1,('Point Data'!$B$2:$B$225=FAAB!$AK64)*('Point Data'!$D$2:$D$225=FAAB!AX$62),0))</f>
        <v>0</v>
      </c>
    </row>
    <row r="65" spans="15:50">
      <c r="AK65" s="206" t="str">
        <f>'Point Data'!$B$30</f>
        <v>Team 3</v>
      </c>
      <c r="AL65" s="190">
        <f t="array" aca="1" ref="AL65" ca="1">INDEX('Point Data'!$M$2:$M$225,MATCH(1,('Point Data'!$B$2:$B$225=FAAB!$AK65)*('Point Data'!$D$2:$D$225=FAAB!AL$62),0))</f>
        <v>0</v>
      </c>
      <c r="AM65" s="190">
        <f t="array" aca="1" ref="AM65" ca="1">INDEX('Point Data'!$M$2:$M$225,MATCH(1,('Point Data'!$B$2:$B$225=FAAB!$AK65)*('Point Data'!$D$2:$D$225=FAAB!AM$62),0))</f>
        <v>0</v>
      </c>
      <c r="AN65" s="190">
        <f t="array" aca="1" ref="AN65" ca="1">INDEX('Point Data'!$M$2:$M$225,MATCH(1,('Point Data'!$B$2:$B$225=FAAB!$AK65)*('Point Data'!$D$2:$D$225=FAAB!AN$62),0))</f>
        <v>0</v>
      </c>
      <c r="AO65" s="190">
        <f t="array" aca="1" ref="AO65" ca="1">INDEX('Point Data'!$M$2:$M$225,MATCH(1,('Point Data'!$B$2:$B$225=FAAB!$AK65)*('Point Data'!$D$2:$D$225=FAAB!AO$62),0))</f>
        <v>0</v>
      </c>
      <c r="AP65" s="190">
        <f t="array" aca="1" ref="AP65" ca="1">INDEX('Point Data'!$M$2:$M$225,MATCH(1,('Point Data'!$B$2:$B$225=FAAB!$AK65)*('Point Data'!$D$2:$D$225=FAAB!AP$62),0))</f>
        <v>5</v>
      </c>
      <c r="AQ65" s="190">
        <f t="array" aca="1" ref="AQ65" ca="1">INDEX('Point Data'!$M$2:$M$225,MATCH(1,('Point Data'!$B$2:$B$225=FAAB!$AK65)*('Point Data'!$D$2:$D$225=FAAB!AQ$62),0))</f>
        <v>60</v>
      </c>
      <c r="AR65" s="190">
        <f t="array" aca="1" ref="AR65" ca="1">INDEX('Point Data'!$M$2:$M$225,MATCH(1,('Point Data'!$B$2:$B$225=FAAB!$AK65)*('Point Data'!$D$2:$D$225=FAAB!AR$62),0))</f>
        <v>0</v>
      </c>
      <c r="AS65" s="190">
        <f t="array" aca="1" ref="AS65" ca="1">INDEX('Point Data'!$M$2:$M$225,MATCH(1,('Point Data'!$B$2:$B$225=FAAB!$AK65)*('Point Data'!$D$2:$D$225=FAAB!AS$62),0))</f>
        <v>3</v>
      </c>
      <c r="AT65" s="190">
        <f t="array" aca="1" ref="AT65" ca="1">INDEX('Point Data'!$M$2:$M$225,MATCH(1,('Point Data'!$B$2:$B$225=FAAB!$AK65)*('Point Data'!$D$2:$D$225=FAAB!AT$62),0))</f>
        <v>0</v>
      </c>
      <c r="AU65" s="190">
        <f t="array" aca="1" ref="AU65" ca="1">INDEX('Point Data'!$M$2:$M$225,MATCH(1,('Point Data'!$B$2:$B$225=FAAB!$AK65)*('Point Data'!$D$2:$D$225=FAAB!AU$62),0))</f>
        <v>0</v>
      </c>
      <c r="AV65" s="190">
        <f t="array" aca="1" ref="AV65" ca="1">INDEX('Point Data'!$M$2:$M$225,MATCH(1,('Point Data'!$B$2:$B$225=FAAB!$AK65)*('Point Data'!$D$2:$D$225=FAAB!AV$62),0))</f>
        <v>0</v>
      </c>
      <c r="AW65" s="190">
        <f t="array" aca="1" ref="AW65" ca="1">INDEX('Point Data'!$M$2:$M$225,MATCH(1,('Point Data'!$B$2:$B$225=FAAB!$AK65)*('Point Data'!$D$2:$D$225=FAAB!AW$62),0))</f>
        <v>0</v>
      </c>
      <c r="AX65" s="190">
        <f t="array" aca="1" ref="AX65" ca="1">INDEX('Point Data'!$M$2:$M$225,MATCH(1,('Point Data'!$B$2:$B$225=FAAB!$AK65)*('Point Data'!$D$2:$D$225=FAAB!AX$62),0))</f>
        <v>0</v>
      </c>
    </row>
    <row r="66" spans="15:50">
      <c r="AK66" s="206" t="str">
        <f>'Point Data'!$B$44</f>
        <v>Team 4</v>
      </c>
      <c r="AL66" s="190">
        <f t="array" aca="1" ref="AL66" ca="1">INDEX('Point Data'!$M$2:$M$225,MATCH(1,('Point Data'!$B$2:$B$225=FAAB!$AK66)*('Point Data'!$D$2:$D$225=FAAB!AL$62),0))</f>
        <v>0</v>
      </c>
      <c r="AM66" s="190">
        <f t="array" aca="1" ref="AM66" ca="1">INDEX('Point Data'!$M$2:$M$225,MATCH(1,('Point Data'!$B$2:$B$225=FAAB!$AK66)*('Point Data'!$D$2:$D$225=FAAB!AM$62),0))</f>
        <v>0</v>
      </c>
      <c r="AN66" s="190">
        <f t="array" aca="1" ref="AN66" ca="1">INDEX('Point Data'!$M$2:$M$225,MATCH(1,('Point Data'!$B$2:$B$225=FAAB!$AK66)*('Point Data'!$D$2:$D$225=FAAB!AN$62),0))</f>
        <v>9</v>
      </c>
      <c r="AO66" s="190">
        <f t="array" aca="1" ref="AO66" ca="1">INDEX('Point Data'!$M$2:$M$225,MATCH(1,('Point Data'!$B$2:$B$225=FAAB!$AK66)*('Point Data'!$D$2:$D$225=FAAB!AO$62),0))</f>
        <v>10</v>
      </c>
      <c r="AP66" s="190">
        <f t="array" aca="1" ref="AP66" ca="1">INDEX('Point Data'!$M$2:$M$225,MATCH(1,('Point Data'!$B$2:$B$225=FAAB!$AK66)*('Point Data'!$D$2:$D$225=FAAB!AP$62),0))</f>
        <v>0</v>
      </c>
      <c r="AQ66" s="190">
        <f t="array" aca="1" ref="AQ66" ca="1">INDEX('Point Data'!$M$2:$M$225,MATCH(1,('Point Data'!$B$2:$B$225=FAAB!$AK66)*('Point Data'!$D$2:$D$225=FAAB!AQ$62),0))</f>
        <v>12</v>
      </c>
      <c r="AR66" s="190">
        <f t="array" aca="1" ref="AR66" ca="1">INDEX('Point Data'!$M$2:$M$225,MATCH(1,('Point Data'!$B$2:$B$225=FAAB!$AK66)*('Point Data'!$D$2:$D$225=FAAB!AR$62),0))</f>
        <v>2</v>
      </c>
      <c r="AS66" s="190">
        <f t="array" aca="1" ref="AS66" ca="1">INDEX('Point Data'!$M$2:$M$225,MATCH(1,('Point Data'!$B$2:$B$225=FAAB!$AK66)*('Point Data'!$D$2:$D$225=FAAB!AS$62),0))</f>
        <v>15</v>
      </c>
      <c r="AT66" s="190">
        <f t="array" aca="1" ref="AT66" ca="1">INDEX('Point Data'!$M$2:$M$225,MATCH(1,('Point Data'!$B$2:$B$225=FAAB!$AK66)*('Point Data'!$D$2:$D$225=FAAB!AT$62),0))</f>
        <v>0</v>
      </c>
      <c r="AU66" s="190">
        <f t="array" aca="1" ref="AU66" ca="1">INDEX('Point Data'!$M$2:$M$225,MATCH(1,('Point Data'!$B$2:$B$225=FAAB!$AK66)*('Point Data'!$D$2:$D$225=FAAB!AU$62),0))</f>
        <v>13</v>
      </c>
      <c r="AV66" s="190">
        <f t="array" aca="1" ref="AV66" ca="1">INDEX('Point Data'!$M$2:$M$225,MATCH(1,('Point Data'!$B$2:$B$225=FAAB!$AK66)*('Point Data'!$D$2:$D$225=FAAB!AV$62),0))</f>
        <v>3</v>
      </c>
      <c r="AW66" s="190">
        <f t="array" aca="1" ref="AW66" ca="1">INDEX('Point Data'!$M$2:$M$225,MATCH(1,('Point Data'!$B$2:$B$225=FAAB!$AK66)*('Point Data'!$D$2:$D$225=FAAB!AW$62),0))</f>
        <v>6</v>
      </c>
      <c r="AX66" s="190">
        <f t="array" aca="1" ref="AX66" ca="1">INDEX('Point Data'!$M$2:$M$225,MATCH(1,('Point Data'!$B$2:$B$225=FAAB!$AK66)*('Point Data'!$D$2:$D$225=FAAB!AX$62),0))</f>
        <v>2</v>
      </c>
    </row>
    <row r="67" spans="15:50">
      <c r="AK67" s="206" t="str">
        <f>'Point Data'!$B$58</f>
        <v>Team 5</v>
      </c>
      <c r="AL67" s="190">
        <f t="array" aca="1" ref="AL67" ca="1">INDEX('Point Data'!$M$2:$M$225,MATCH(1,('Point Data'!$B$2:$B$225=FAAB!$AK67)*('Point Data'!$D$2:$D$225=FAAB!AL$62),0))</f>
        <v>0</v>
      </c>
      <c r="AM67" s="190">
        <f t="array" aca="1" ref="AM67" ca="1">INDEX('Point Data'!$M$2:$M$225,MATCH(1,('Point Data'!$B$2:$B$225=FAAB!$AK67)*('Point Data'!$D$2:$D$225=FAAB!AM$62),0))</f>
        <v>25</v>
      </c>
      <c r="AN67" s="190">
        <f t="array" aca="1" ref="AN67" ca="1">INDEX('Point Data'!$M$2:$M$225,MATCH(1,('Point Data'!$B$2:$B$225=FAAB!$AK67)*('Point Data'!$D$2:$D$225=FAAB!AN$62),0))</f>
        <v>11</v>
      </c>
      <c r="AO67" s="190">
        <f t="array" aca="1" ref="AO67" ca="1">INDEX('Point Data'!$M$2:$M$225,MATCH(1,('Point Data'!$B$2:$B$225=FAAB!$AK67)*('Point Data'!$D$2:$D$225=FAAB!AO$62),0))</f>
        <v>18</v>
      </c>
      <c r="AP67" s="190">
        <f t="array" aca="1" ref="AP67" ca="1">INDEX('Point Data'!$M$2:$M$225,MATCH(1,('Point Data'!$B$2:$B$225=FAAB!$AK67)*('Point Data'!$D$2:$D$225=FAAB!AP$62),0))</f>
        <v>46</v>
      </c>
      <c r="AQ67" s="190">
        <f t="array" aca="1" ref="AQ67" ca="1">INDEX('Point Data'!$M$2:$M$225,MATCH(1,('Point Data'!$B$2:$B$225=FAAB!$AK67)*('Point Data'!$D$2:$D$225=FAAB!AQ$62),0))</f>
        <v>0</v>
      </c>
      <c r="AR67" s="190">
        <f t="array" aca="1" ref="AR67" ca="1">INDEX('Point Data'!$M$2:$M$225,MATCH(1,('Point Data'!$B$2:$B$225=FAAB!$AK67)*('Point Data'!$D$2:$D$225=FAAB!AR$62),0))</f>
        <v>0</v>
      </c>
      <c r="AS67" s="190">
        <f t="array" aca="1" ref="AS67" ca="1">INDEX('Point Data'!$M$2:$M$225,MATCH(1,('Point Data'!$B$2:$B$225=FAAB!$AK67)*('Point Data'!$D$2:$D$225=FAAB!AS$62),0))</f>
        <v>0</v>
      </c>
      <c r="AT67" s="190">
        <f t="array" aca="1" ref="AT67" ca="1">INDEX('Point Data'!$M$2:$M$225,MATCH(1,('Point Data'!$B$2:$B$225=FAAB!$AK67)*('Point Data'!$D$2:$D$225=FAAB!AT$62),0))</f>
        <v>0</v>
      </c>
      <c r="AU67" s="190">
        <f t="array" aca="1" ref="AU67" ca="1">INDEX('Point Data'!$M$2:$M$225,MATCH(1,('Point Data'!$B$2:$B$225=FAAB!$AK67)*('Point Data'!$D$2:$D$225=FAAB!AU$62),0))</f>
        <v>0</v>
      </c>
      <c r="AV67" s="190">
        <f t="array" aca="1" ref="AV67" ca="1">INDEX('Point Data'!$M$2:$M$225,MATCH(1,('Point Data'!$B$2:$B$225=FAAB!$AK67)*('Point Data'!$D$2:$D$225=FAAB!AV$62),0))</f>
        <v>0</v>
      </c>
      <c r="AW67" s="190">
        <f t="array" aca="1" ref="AW67" ca="1">INDEX('Point Data'!$M$2:$M$225,MATCH(1,('Point Data'!$B$2:$B$225=FAAB!$AK67)*('Point Data'!$D$2:$D$225=FAAB!AW$62),0))</f>
        <v>0</v>
      </c>
      <c r="AX67" s="190">
        <f t="array" aca="1" ref="AX67" ca="1">INDEX('Point Data'!$M$2:$M$225,MATCH(1,('Point Data'!$B$2:$B$225=FAAB!$AK67)*('Point Data'!$D$2:$D$225=FAAB!AX$62),0))</f>
        <v>0</v>
      </c>
    </row>
    <row r="68" spans="15:50">
      <c r="AK68" s="206" t="str">
        <f>'Point Data'!$B$72</f>
        <v>Team 6</v>
      </c>
      <c r="AL68" s="190">
        <f t="array" aca="1" ref="AL68" ca="1">INDEX('Point Data'!$M$2:$M$225,MATCH(1,('Point Data'!$B$2:$B$225=FAAB!$AK68)*('Point Data'!$D$2:$D$225=FAAB!AL$62),0))</f>
        <v>0</v>
      </c>
      <c r="AM68" s="190">
        <f t="array" aca="1" ref="AM68" ca="1">INDEX('Point Data'!$M$2:$M$225,MATCH(1,('Point Data'!$B$2:$B$225=FAAB!$AK68)*('Point Data'!$D$2:$D$225=FAAB!AM$62),0))</f>
        <v>0</v>
      </c>
      <c r="AN68" s="190">
        <f t="array" aca="1" ref="AN68" ca="1">INDEX('Point Data'!$M$2:$M$225,MATCH(1,('Point Data'!$B$2:$B$225=FAAB!$AK68)*('Point Data'!$D$2:$D$225=FAAB!AN$62),0))</f>
        <v>5</v>
      </c>
      <c r="AO68" s="190">
        <f t="array" aca="1" ref="AO68" ca="1">INDEX('Point Data'!$M$2:$M$225,MATCH(1,('Point Data'!$B$2:$B$225=FAAB!$AK68)*('Point Data'!$D$2:$D$225=FAAB!AO$62),0))</f>
        <v>25</v>
      </c>
      <c r="AP68" s="190">
        <f t="array" aca="1" ref="AP68" ca="1">INDEX('Point Data'!$M$2:$M$225,MATCH(1,('Point Data'!$B$2:$B$225=FAAB!$AK68)*('Point Data'!$D$2:$D$225=FAAB!AP$62),0))</f>
        <v>0</v>
      </c>
      <c r="AQ68" s="190">
        <f t="array" aca="1" ref="AQ68" ca="1">INDEX('Point Data'!$M$2:$M$225,MATCH(1,('Point Data'!$B$2:$B$225=FAAB!$AK68)*('Point Data'!$D$2:$D$225=FAAB!AQ$62),0))</f>
        <v>0</v>
      </c>
      <c r="AR68" s="190">
        <f t="array" aca="1" ref="AR68" ca="1">INDEX('Point Data'!$M$2:$M$225,MATCH(1,('Point Data'!$B$2:$B$225=FAAB!$AK68)*('Point Data'!$D$2:$D$225=FAAB!AR$62),0))</f>
        <v>10</v>
      </c>
      <c r="AS68" s="190">
        <f t="array" aca="1" ref="AS68" ca="1">INDEX('Point Data'!$M$2:$M$225,MATCH(1,('Point Data'!$B$2:$B$225=FAAB!$AK68)*('Point Data'!$D$2:$D$225=FAAB!AS$62),0))</f>
        <v>0</v>
      </c>
      <c r="AT68" s="190">
        <f t="array" aca="1" ref="AT68" ca="1">INDEX('Point Data'!$M$2:$M$225,MATCH(1,('Point Data'!$B$2:$B$225=FAAB!$AK68)*('Point Data'!$D$2:$D$225=FAAB!AT$62),0))</f>
        <v>24</v>
      </c>
      <c r="AU68" s="190">
        <f t="array" aca="1" ref="AU68" ca="1">INDEX('Point Data'!$M$2:$M$225,MATCH(1,('Point Data'!$B$2:$B$225=FAAB!$AK68)*('Point Data'!$D$2:$D$225=FAAB!AU$62),0))</f>
        <v>0</v>
      </c>
      <c r="AV68" s="190">
        <f t="array" aca="1" ref="AV68" ca="1">INDEX('Point Data'!$M$2:$M$225,MATCH(1,('Point Data'!$B$2:$B$225=FAAB!$AK68)*('Point Data'!$D$2:$D$225=FAAB!AV$62),0))</f>
        <v>0</v>
      </c>
      <c r="AW68" s="190">
        <f t="array" aca="1" ref="AW68" ca="1">INDEX('Point Data'!$M$2:$M$225,MATCH(1,('Point Data'!$B$2:$B$225=FAAB!$AK68)*('Point Data'!$D$2:$D$225=FAAB!AW$62),0))</f>
        <v>0</v>
      </c>
      <c r="AX68" s="190">
        <f t="array" aca="1" ref="AX68" ca="1">INDEX('Point Data'!$M$2:$M$225,MATCH(1,('Point Data'!$B$2:$B$225=FAAB!$AK68)*('Point Data'!$D$2:$D$225=FAAB!AX$62),0))</f>
        <v>0</v>
      </c>
    </row>
    <row r="69" spans="15:50">
      <c r="AK69" s="206" t="str">
        <f>'Point Data'!$B$86</f>
        <v>Team 7</v>
      </c>
      <c r="AL69" s="190">
        <f t="array" aca="1" ref="AL69" ca="1">INDEX('Point Data'!$M$2:$M$225,MATCH(1,('Point Data'!$B$2:$B$225=FAAB!$AK69)*('Point Data'!$D$2:$D$225=FAAB!AL$62),0))</f>
        <v>0</v>
      </c>
      <c r="AM69" s="190">
        <f t="array" aca="1" ref="AM69" ca="1">INDEX('Point Data'!$M$2:$M$225,MATCH(1,('Point Data'!$B$2:$B$225=FAAB!$AK69)*('Point Data'!$D$2:$D$225=FAAB!AM$62),0))</f>
        <v>0</v>
      </c>
      <c r="AN69" s="190">
        <f t="array" aca="1" ref="AN69" ca="1">INDEX('Point Data'!$M$2:$M$225,MATCH(1,('Point Data'!$B$2:$B$225=FAAB!$AK69)*('Point Data'!$D$2:$D$225=FAAB!AN$62),0))</f>
        <v>0</v>
      </c>
      <c r="AO69" s="190">
        <f t="array" aca="1" ref="AO69" ca="1">INDEX('Point Data'!$M$2:$M$225,MATCH(1,('Point Data'!$B$2:$B$225=FAAB!$AK69)*('Point Data'!$D$2:$D$225=FAAB!AO$62),0))</f>
        <v>0</v>
      </c>
      <c r="AP69" s="190">
        <f t="array" aca="1" ref="AP69" ca="1">INDEX('Point Data'!$M$2:$M$225,MATCH(1,('Point Data'!$B$2:$B$225=FAAB!$AK69)*('Point Data'!$D$2:$D$225=FAAB!AP$62),0))</f>
        <v>0</v>
      </c>
      <c r="AQ69" s="190">
        <f t="array" aca="1" ref="AQ69" ca="1">INDEX('Point Data'!$M$2:$M$225,MATCH(1,('Point Data'!$B$2:$B$225=FAAB!$AK69)*('Point Data'!$D$2:$D$225=FAAB!AQ$62),0))</f>
        <v>0</v>
      </c>
      <c r="AR69" s="190">
        <f t="array" aca="1" ref="AR69" ca="1">INDEX('Point Data'!$M$2:$M$225,MATCH(1,('Point Data'!$B$2:$B$225=FAAB!$AK69)*('Point Data'!$D$2:$D$225=FAAB!AR$62),0))</f>
        <v>0</v>
      </c>
      <c r="AS69" s="190">
        <f t="array" aca="1" ref="AS69" ca="1">INDEX('Point Data'!$M$2:$M$225,MATCH(1,('Point Data'!$B$2:$B$225=FAAB!$AK69)*('Point Data'!$D$2:$D$225=FAAB!AS$62),0))</f>
        <v>0</v>
      </c>
      <c r="AT69" s="190">
        <f t="array" aca="1" ref="AT69" ca="1">INDEX('Point Data'!$M$2:$M$225,MATCH(1,('Point Data'!$B$2:$B$225=FAAB!$AK69)*('Point Data'!$D$2:$D$225=FAAB!AT$62),0))</f>
        <v>0</v>
      </c>
      <c r="AU69" s="190">
        <f t="array" aca="1" ref="AU69" ca="1">INDEX('Point Data'!$M$2:$M$225,MATCH(1,('Point Data'!$B$2:$B$225=FAAB!$AK69)*('Point Data'!$D$2:$D$225=FAAB!AU$62),0))</f>
        <v>0</v>
      </c>
      <c r="AV69" s="190">
        <f t="array" aca="1" ref="AV69" ca="1">INDEX('Point Data'!$M$2:$M$225,MATCH(1,('Point Data'!$B$2:$B$225=FAAB!$AK69)*('Point Data'!$D$2:$D$225=FAAB!AV$62),0))</f>
        <v>30</v>
      </c>
      <c r="AW69" s="190">
        <f t="array" aca="1" ref="AW69" ca="1">INDEX('Point Data'!$M$2:$M$225,MATCH(1,('Point Data'!$B$2:$B$225=FAAB!$AK69)*('Point Data'!$D$2:$D$225=FAAB!AW$62),0))</f>
        <v>0</v>
      </c>
      <c r="AX69" s="190">
        <f t="array" aca="1" ref="AX69" ca="1">INDEX('Point Data'!$M$2:$M$225,MATCH(1,('Point Data'!$B$2:$B$225=FAAB!$AK69)*('Point Data'!$D$2:$D$225=FAAB!AX$62),0))</f>
        <v>0</v>
      </c>
    </row>
    <row r="70" spans="15:50">
      <c r="AK70" s="206" t="str">
        <f>'Point Data'!$B$100</f>
        <v>Team 8</v>
      </c>
      <c r="AL70" s="190">
        <f t="array" aca="1" ref="AL70" ca="1">INDEX('Point Data'!$M$2:$M$225,MATCH(1,('Point Data'!$B$2:$B$225=FAAB!$AK70)*('Point Data'!$D$2:$D$225=FAAB!AL$62),0))</f>
        <v>0</v>
      </c>
      <c r="AM70" s="190">
        <f t="array" aca="1" ref="AM70" ca="1">INDEX('Point Data'!$M$2:$M$225,MATCH(1,('Point Data'!$B$2:$B$225=FAAB!$AK70)*('Point Data'!$D$2:$D$225=FAAB!AM$62),0))</f>
        <v>4</v>
      </c>
      <c r="AN70" s="190">
        <f t="array" aca="1" ref="AN70" ca="1">INDEX('Point Data'!$M$2:$M$225,MATCH(1,('Point Data'!$B$2:$B$225=FAAB!$AK70)*('Point Data'!$D$2:$D$225=FAAB!AN$62),0))</f>
        <v>0</v>
      </c>
      <c r="AO70" s="190">
        <f t="array" aca="1" ref="AO70" ca="1">INDEX('Point Data'!$M$2:$M$225,MATCH(1,('Point Data'!$B$2:$B$225=FAAB!$AK70)*('Point Data'!$D$2:$D$225=FAAB!AO$62),0))</f>
        <v>0</v>
      </c>
      <c r="AP70" s="190">
        <f t="array" aca="1" ref="AP70" ca="1">INDEX('Point Data'!$M$2:$M$225,MATCH(1,('Point Data'!$B$2:$B$225=FAAB!$AK70)*('Point Data'!$D$2:$D$225=FAAB!AP$62),0))</f>
        <v>0</v>
      </c>
      <c r="AQ70" s="190">
        <f t="array" aca="1" ref="AQ70" ca="1">INDEX('Point Data'!$M$2:$M$225,MATCH(1,('Point Data'!$B$2:$B$225=FAAB!$AK70)*('Point Data'!$D$2:$D$225=FAAB!AQ$62),0))</f>
        <v>44</v>
      </c>
      <c r="AR70" s="190">
        <f t="array" aca="1" ref="AR70" ca="1">INDEX('Point Data'!$M$2:$M$225,MATCH(1,('Point Data'!$B$2:$B$225=FAAB!$AK70)*('Point Data'!$D$2:$D$225=FAAB!AR$62),0))</f>
        <v>0</v>
      </c>
      <c r="AS70" s="190">
        <f t="array" aca="1" ref="AS70" ca="1">INDEX('Point Data'!$M$2:$M$225,MATCH(1,('Point Data'!$B$2:$B$225=FAAB!$AK70)*('Point Data'!$D$2:$D$225=FAAB!AS$62),0))</f>
        <v>0</v>
      </c>
      <c r="AT70" s="190">
        <f t="array" aca="1" ref="AT70" ca="1">INDEX('Point Data'!$M$2:$M$225,MATCH(1,('Point Data'!$B$2:$B$225=FAAB!$AK70)*('Point Data'!$D$2:$D$225=FAAB!AT$62),0))</f>
        <v>0</v>
      </c>
      <c r="AU70" s="190">
        <f t="array" aca="1" ref="AU70" ca="1">INDEX('Point Data'!$M$2:$M$225,MATCH(1,('Point Data'!$B$2:$B$225=FAAB!$AK70)*('Point Data'!$D$2:$D$225=FAAB!AU$62),0))</f>
        <v>0</v>
      </c>
      <c r="AV70" s="190">
        <f t="array" aca="1" ref="AV70" ca="1">INDEX('Point Data'!$M$2:$M$225,MATCH(1,('Point Data'!$B$2:$B$225=FAAB!$AK70)*('Point Data'!$D$2:$D$225=FAAB!AV$62),0))</f>
        <v>0</v>
      </c>
      <c r="AW70" s="190">
        <f t="array" aca="1" ref="AW70" ca="1">INDEX('Point Data'!$M$2:$M$225,MATCH(1,('Point Data'!$B$2:$B$225=FAAB!$AK70)*('Point Data'!$D$2:$D$225=FAAB!AW$62),0))</f>
        <v>0</v>
      </c>
      <c r="AX70" s="190">
        <f t="array" aca="1" ref="AX70" ca="1">INDEX('Point Data'!$M$2:$M$225,MATCH(1,('Point Data'!$B$2:$B$225=FAAB!$AK70)*('Point Data'!$D$2:$D$225=FAAB!AX$62),0))</f>
        <v>0</v>
      </c>
    </row>
    <row r="71" spans="15:50">
      <c r="AK71" s="207" t="str">
        <f>'Point Data'!$B$114</f>
        <v>Team 9</v>
      </c>
      <c r="AL71" s="190">
        <f t="array" aca="1" ref="AL71" ca="1">INDEX('Point Data'!$M$2:$M$225,MATCH(1,('Point Data'!$B$2:$B$225=FAAB!$AK71)*('Point Data'!$D$2:$D$225=FAAB!AL$62),0))</f>
        <v>0</v>
      </c>
      <c r="AM71" s="190">
        <f t="array" aca="1" ref="AM71" ca="1">INDEX('Point Data'!$M$2:$M$225,MATCH(1,('Point Data'!$B$2:$B$225=FAAB!$AK71)*('Point Data'!$D$2:$D$225=FAAB!AM$62),0))</f>
        <v>0</v>
      </c>
      <c r="AN71" s="190">
        <f t="array" aca="1" ref="AN71" ca="1">INDEX('Point Data'!$M$2:$M$225,MATCH(1,('Point Data'!$B$2:$B$225=FAAB!$AK71)*('Point Data'!$D$2:$D$225=FAAB!AN$62),0))</f>
        <v>0</v>
      </c>
      <c r="AO71" s="190">
        <f t="array" aca="1" ref="AO71" ca="1">INDEX('Point Data'!$M$2:$M$225,MATCH(1,('Point Data'!$B$2:$B$225=FAAB!$AK71)*('Point Data'!$D$2:$D$225=FAAB!AO$62),0))</f>
        <v>0</v>
      </c>
      <c r="AP71" s="190">
        <f t="array" aca="1" ref="AP71" ca="1">INDEX('Point Data'!$M$2:$M$225,MATCH(1,('Point Data'!$B$2:$B$225=FAAB!$AK71)*('Point Data'!$D$2:$D$225=FAAB!AP$62),0))</f>
        <v>0</v>
      </c>
      <c r="AQ71" s="190">
        <f t="array" aca="1" ref="AQ71" ca="1">INDEX('Point Data'!$M$2:$M$225,MATCH(1,('Point Data'!$B$2:$B$225=FAAB!$AK71)*('Point Data'!$D$2:$D$225=FAAB!AQ$62),0))</f>
        <v>0</v>
      </c>
      <c r="AR71" s="190">
        <f t="array" aca="1" ref="AR71" ca="1">INDEX('Point Data'!$M$2:$M$225,MATCH(1,('Point Data'!$B$2:$B$225=FAAB!$AK71)*('Point Data'!$D$2:$D$225=FAAB!AR$62),0))</f>
        <v>47</v>
      </c>
      <c r="AS71" s="190">
        <f t="array" aca="1" ref="AS71" ca="1">INDEX('Point Data'!$M$2:$M$225,MATCH(1,('Point Data'!$B$2:$B$225=FAAB!$AK71)*('Point Data'!$D$2:$D$225=FAAB!AS$62),0))</f>
        <v>0</v>
      </c>
      <c r="AT71" s="190">
        <f t="array" aca="1" ref="AT71" ca="1">INDEX('Point Data'!$M$2:$M$225,MATCH(1,('Point Data'!$B$2:$B$225=FAAB!$AK71)*('Point Data'!$D$2:$D$225=FAAB!AT$62),0))</f>
        <v>0</v>
      </c>
      <c r="AU71" s="190">
        <f t="array" aca="1" ref="AU71" ca="1">INDEX('Point Data'!$M$2:$M$225,MATCH(1,('Point Data'!$B$2:$B$225=FAAB!$AK71)*('Point Data'!$D$2:$D$225=FAAB!AU$62),0))</f>
        <v>0</v>
      </c>
      <c r="AV71" s="190">
        <f t="array" aca="1" ref="AV71" ca="1">INDEX('Point Data'!$M$2:$M$225,MATCH(1,('Point Data'!$B$2:$B$225=FAAB!$AK71)*('Point Data'!$D$2:$D$225=FAAB!AV$62),0))</f>
        <v>5</v>
      </c>
      <c r="AW71" s="190">
        <f t="array" aca="1" ref="AW71" ca="1">INDEX('Point Data'!$M$2:$M$225,MATCH(1,('Point Data'!$B$2:$B$225=FAAB!$AK71)*('Point Data'!$D$2:$D$225=FAAB!AW$62),0))</f>
        <v>0</v>
      </c>
      <c r="AX71" s="190">
        <f t="array" aca="1" ref="AX71" ca="1">INDEX('Point Data'!$M$2:$M$225,MATCH(1,('Point Data'!$B$2:$B$225=FAAB!$AK71)*('Point Data'!$D$2:$D$225=FAAB!AX$62),0))</f>
        <v>0</v>
      </c>
    </row>
    <row r="72" spans="15:50">
      <c r="AK72" s="207" t="str">
        <f>'Point Data'!$B$128</f>
        <v>Team 10</v>
      </c>
      <c r="AL72" s="190">
        <f t="array" aca="1" ref="AL72" ca="1">INDEX('Point Data'!$M$2:$M$225,MATCH(1,('Point Data'!$B$2:$B$225=FAAB!$AK72)*('Point Data'!$D$2:$D$225=FAAB!AL$62),0))</f>
        <v>0</v>
      </c>
      <c r="AM72" s="190">
        <f t="array" aca="1" ref="AM72" ca="1">INDEX('Point Data'!$M$2:$M$225,MATCH(1,('Point Data'!$B$2:$B$225=FAAB!$AK72)*('Point Data'!$D$2:$D$225=FAAB!AM$62),0))</f>
        <v>0</v>
      </c>
      <c r="AN72" s="190">
        <f t="array" aca="1" ref="AN72" ca="1">INDEX('Point Data'!$M$2:$M$225,MATCH(1,('Point Data'!$B$2:$B$225=FAAB!$AK72)*('Point Data'!$D$2:$D$225=FAAB!AN$62),0))</f>
        <v>0</v>
      </c>
      <c r="AO72" s="190">
        <f t="array" aca="1" ref="AO72" ca="1">INDEX('Point Data'!$M$2:$M$225,MATCH(1,('Point Data'!$B$2:$B$225=FAAB!$AK72)*('Point Data'!$D$2:$D$225=FAAB!AO$62),0))</f>
        <v>0</v>
      </c>
      <c r="AP72" s="190">
        <f t="array" aca="1" ref="AP72" ca="1">INDEX('Point Data'!$M$2:$M$225,MATCH(1,('Point Data'!$B$2:$B$225=FAAB!$AK72)*('Point Data'!$D$2:$D$225=FAAB!AP$62),0))</f>
        <v>19</v>
      </c>
      <c r="AQ72" s="190">
        <f t="array" aca="1" ref="AQ72" ca="1">INDEX('Point Data'!$M$2:$M$225,MATCH(1,('Point Data'!$B$2:$B$225=FAAB!$AK72)*('Point Data'!$D$2:$D$225=FAAB!AQ$62),0))</f>
        <v>17</v>
      </c>
      <c r="AR72" s="190">
        <f t="array" aca="1" ref="AR72" ca="1">INDEX('Point Data'!$M$2:$M$225,MATCH(1,('Point Data'!$B$2:$B$225=FAAB!$AK72)*('Point Data'!$D$2:$D$225=FAAB!AR$62),0))</f>
        <v>0</v>
      </c>
      <c r="AS72" s="190">
        <f t="array" aca="1" ref="AS72" ca="1">INDEX('Point Data'!$M$2:$M$225,MATCH(1,('Point Data'!$B$2:$B$225=FAAB!$AK72)*('Point Data'!$D$2:$D$225=FAAB!AS$62),0))</f>
        <v>37</v>
      </c>
      <c r="AT72" s="190">
        <f t="array" aca="1" ref="AT72" ca="1">INDEX('Point Data'!$M$2:$M$225,MATCH(1,('Point Data'!$B$2:$B$225=FAAB!$AK72)*('Point Data'!$D$2:$D$225=FAAB!AT$62),0))</f>
        <v>0</v>
      </c>
      <c r="AU72" s="190">
        <f t="array" aca="1" ref="AU72" ca="1">INDEX('Point Data'!$M$2:$M$225,MATCH(1,('Point Data'!$B$2:$B$225=FAAB!$AK72)*('Point Data'!$D$2:$D$225=FAAB!AU$62),0))</f>
        <v>0</v>
      </c>
      <c r="AV72" s="190">
        <f t="array" aca="1" ref="AV72" ca="1">INDEX('Point Data'!$M$2:$M$225,MATCH(1,('Point Data'!$B$2:$B$225=FAAB!$AK72)*('Point Data'!$D$2:$D$225=FAAB!AV$62),0))</f>
        <v>0</v>
      </c>
      <c r="AW72" s="190">
        <f t="array" aca="1" ref="AW72" ca="1">INDEX('Point Data'!$M$2:$M$225,MATCH(1,('Point Data'!$B$2:$B$225=FAAB!$AK72)*('Point Data'!$D$2:$D$225=FAAB!AW$62),0))</f>
        <v>0</v>
      </c>
      <c r="AX72" s="190">
        <f t="array" aca="1" ref="AX72" ca="1">INDEX('Point Data'!$M$2:$M$225,MATCH(1,('Point Data'!$B$2:$B$225=FAAB!$AK72)*('Point Data'!$D$2:$D$225=FAAB!AX$62),0))</f>
        <v>27</v>
      </c>
    </row>
    <row r="73" spans="15:50">
      <c r="AK73" s="207" t="str">
        <f>'Point Data'!$B$142</f>
        <v>Team 11</v>
      </c>
      <c r="AL73" s="190">
        <f t="array" aca="1" ref="AL73" ca="1">INDEX('Point Data'!$M$2:$M$225,MATCH(1,('Point Data'!$B$2:$B$225=FAAB!$AK73)*('Point Data'!$D$2:$D$225=FAAB!AL$62),0))</f>
        <v>0</v>
      </c>
      <c r="AM73" s="190">
        <f t="array" aca="1" ref="AM73" ca="1">INDEX('Point Data'!$M$2:$M$225,MATCH(1,('Point Data'!$B$2:$B$225=FAAB!$AK73)*('Point Data'!$D$2:$D$225=FAAB!AM$62),0))</f>
        <v>20</v>
      </c>
      <c r="AN73" s="190">
        <f t="array" aca="1" ref="AN73" ca="1">INDEX('Point Data'!$M$2:$M$225,MATCH(1,('Point Data'!$B$2:$B$225=FAAB!$AK73)*('Point Data'!$D$2:$D$225=FAAB!AN$62),0))</f>
        <v>6</v>
      </c>
      <c r="AO73" s="190">
        <f t="array" aca="1" ref="AO73" ca="1">INDEX('Point Data'!$M$2:$M$225,MATCH(1,('Point Data'!$B$2:$B$225=FAAB!$AK73)*('Point Data'!$D$2:$D$225=FAAB!AO$62),0))</f>
        <v>0</v>
      </c>
      <c r="AP73" s="190">
        <f t="array" aca="1" ref="AP73" ca="1">INDEX('Point Data'!$M$2:$M$225,MATCH(1,('Point Data'!$B$2:$B$225=FAAB!$AK73)*('Point Data'!$D$2:$D$225=FAAB!AP$62),0))</f>
        <v>15</v>
      </c>
      <c r="AQ73" s="190">
        <f t="array" aca="1" ref="AQ73" ca="1">INDEX('Point Data'!$M$2:$M$225,MATCH(1,('Point Data'!$B$2:$B$225=FAAB!$AK73)*('Point Data'!$D$2:$D$225=FAAB!AQ$62),0))</f>
        <v>35</v>
      </c>
      <c r="AR73" s="190">
        <f t="array" aca="1" ref="AR73" ca="1">INDEX('Point Data'!$M$2:$M$225,MATCH(1,('Point Data'!$B$2:$B$225=FAAB!$AK73)*('Point Data'!$D$2:$D$225=FAAB!AR$62),0))</f>
        <v>8</v>
      </c>
      <c r="AS73" s="190">
        <f t="array" aca="1" ref="AS73" ca="1">INDEX('Point Data'!$M$2:$M$225,MATCH(1,('Point Data'!$B$2:$B$225=FAAB!$AK73)*('Point Data'!$D$2:$D$225=FAAB!AS$62),0))</f>
        <v>7</v>
      </c>
      <c r="AT73" s="190">
        <f t="array" aca="1" ref="AT73" ca="1">INDEX('Point Data'!$M$2:$M$225,MATCH(1,('Point Data'!$B$2:$B$225=FAAB!$AK73)*('Point Data'!$D$2:$D$225=FAAB!AT$62),0))</f>
        <v>9</v>
      </c>
      <c r="AU73" s="190">
        <f t="array" aca="1" ref="AU73" ca="1">INDEX('Point Data'!$M$2:$M$225,MATCH(1,('Point Data'!$B$2:$B$225=FAAB!$AK73)*('Point Data'!$D$2:$D$225=FAAB!AU$62),0))</f>
        <v>0</v>
      </c>
      <c r="AV73" s="190">
        <f t="array" aca="1" ref="AV73" ca="1">INDEX('Point Data'!$M$2:$M$225,MATCH(1,('Point Data'!$B$2:$B$225=FAAB!$AK73)*('Point Data'!$D$2:$D$225=FAAB!AV$62),0))</f>
        <v>0</v>
      </c>
      <c r="AW73" s="190">
        <f t="array" aca="1" ref="AW73" ca="1">INDEX('Point Data'!$M$2:$M$225,MATCH(1,('Point Data'!$B$2:$B$225=FAAB!$AK73)*('Point Data'!$D$2:$D$225=FAAB!AW$62),0))</f>
        <v>0</v>
      </c>
      <c r="AX73" s="190">
        <f t="array" aca="1" ref="AX73" ca="1">INDEX('Point Data'!$M$2:$M$225,MATCH(1,('Point Data'!$B$2:$B$225=FAAB!$AK73)*('Point Data'!$D$2:$D$225=FAAB!AX$62),0))</f>
        <v>0</v>
      </c>
    </row>
    <row r="74" spans="15:50">
      <c r="AK74" s="207" t="str">
        <f>'Point Data'!$B$156</f>
        <v>Team 12</v>
      </c>
      <c r="AL74" s="190">
        <f t="array" aca="1" ref="AL74" ca="1">INDEX('Point Data'!$M$2:$M$225,MATCH(1,('Point Data'!$B$2:$B$225=FAAB!$AK74)*('Point Data'!$D$2:$D$225=FAAB!AL$62),0))</f>
        <v>0</v>
      </c>
      <c r="AM74" s="190">
        <f t="array" aca="1" ref="AM74" ca="1">INDEX('Point Data'!$M$2:$M$225,MATCH(1,('Point Data'!$B$2:$B$225=FAAB!$AK74)*('Point Data'!$D$2:$D$225=FAAB!AM$62),0))</f>
        <v>9</v>
      </c>
      <c r="AN74" s="190">
        <f t="array" aca="1" ref="AN74" ca="1">INDEX('Point Data'!$M$2:$M$225,MATCH(1,('Point Data'!$B$2:$B$225=FAAB!$AK74)*('Point Data'!$D$2:$D$225=FAAB!AN$62),0))</f>
        <v>40</v>
      </c>
      <c r="AO74" s="190">
        <f t="array" aca="1" ref="AO74" ca="1">INDEX('Point Data'!$M$2:$M$225,MATCH(1,('Point Data'!$B$2:$B$225=FAAB!$AK74)*('Point Data'!$D$2:$D$225=FAAB!AO$62),0))</f>
        <v>0</v>
      </c>
      <c r="AP74" s="190">
        <f t="array" aca="1" ref="AP74" ca="1">INDEX('Point Data'!$M$2:$M$225,MATCH(1,('Point Data'!$B$2:$B$225=FAAB!$AK74)*('Point Data'!$D$2:$D$225=FAAB!AP$62),0))</f>
        <v>0</v>
      </c>
      <c r="AQ74" s="190">
        <f t="array" aca="1" ref="AQ74" ca="1">INDEX('Point Data'!$M$2:$M$225,MATCH(1,('Point Data'!$B$2:$B$225=FAAB!$AK74)*('Point Data'!$D$2:$D$225=FAAB!AQ$62),0))</f>
        <v>0</v>
      </c>
      <c r="AR74" s="190">
        <f t="array" aca="1" ref="AR74" ca="1">INDEX('Point Data'!$M$2:$M$225,MATCH(1,('Point Data'!$B$2:$B$225=FAAB!$AK74)*('Point Data'!$D$2:$D$225=FAAB!AR$62),0))</f>
        <v>1</v>
      </c>
      <c r="AS74" s="190">
        <f t="array" aca="1" ref="AS74" ca="1">INDEX('Point Data'!$M$2:$M$225,MATCH(1,('Point Data'!$B$2:$B$225=FAAB!$AK74)*('Point Data'!$D$2:$D$225=FAAB!AS$62),0))</f>
        <v>12</v>
      </c>
      <c r="AT74" s="190">
        <f t="array" aca="1" ref="AT74" ca="1">INDEX('Point Data'!$M$2:$M$225,MATCH(1,('Point Data'!$B$2:$B$225=FAAB!$AK74)*('Point Data'!$D$2:$D$225=FAAB!AT$62),0))</f>
        <v>0</v>
      </c>
      <c r="AU74" s="190">
        <f t="array" aca="1" ref="AU74" ca="1">INDEX('Point Data'!$M$2:$M$225,MATCH(1,('Point Data'!$B$2:$B$225=FAAB!$AK74)*('Point Data'!$D$2:$D$225=FAAB!AU$62),0))</f>
        <v>0</v>
      </c>
      <c r="AV74" s="190">
        <f t="array" aca="1" ref="AV74" ca="1">INDEX('Point Data'!$M$2:$M$225,MATCH(1,('Point Data'!$B$2:$B$225=FAAB!$AK74)*('Point Data'!$D$2:$D$225=FAAB!AV$62),0))</f>
        <v>0</v>
      </c>
      <c r="AW74" s="190">
        <f t="array" aca="1" ref="AW74" ca="1">INDEX('Point Data'!$M$2:$M$225,MATCH(1,('Point Data'!$B$2:$B$225=FAAB!$AK74)*('Point Data'!$D$2:$D$225=FAAB!AW$62),0))</f>
        <v>0</v>
      </c>
      <c r="AX74" s="190">
        <f t="array" aca="1" ref="AX74" ca="1">INDEX('Point Data'!$M$2:$M$225,MATCH(1,('Point Data'!$B$2:$B$225=FAAB!$AK74)*('Point Data'!$D$2:$D$225=FAAB!AX$62),0))</f>
        <v>0</v>
      </c>
    </row>
    <row r="75" spans="15:50">
      <c r="AK75" s="207" t="str">
        <f>'Point Data'!$B$170</f>
        <v>Team 13</v>
      </c>
      <c r="AL75" s="190">
        <f t="array" aca="1" ref="AL75" ca="1">INDEX('Point Data'!$M$2:$M$225,MATCH(1,('Point Data'!$B$2:$B$225=FAAB!$AK75)*('Point Data'!$D$2:$D$225=FAAB!AL$62),0))</f>
        <v>0</v>
      </c>
      <c r="AM75" s="190">
        <f t="array" aca="1" ref="AM75" ca="1">INDEX('Point Data'!$M$2:$M$225,MATCH(1,('Point Data'!$B$2:$B$225=FAAB!$AK75)*('Point Data'!$D$2:$D$225=FAAB!AM$62),0))</f>
        <v>0</v>
      </c>
      <c r="AN75" s="190">
        <f t="array" aca="1" ref="AN75" ca="1">INDEX('Point Data'!$M$2:$M$225,MATCH(1,('Point Data'!$B$2:$B$225=FAAB!$AK75)*('Point Data'!$D$2:$D$225=FAAB!AN$62),0))</f>
        <v>0</v>
      </c>
      <c r="AO75" s="190">
        <f t="array" aca="1" ref="AO75" ca="1">INDEX('Point Data'!$M$2:$M$225,MATCH(1,('Point Data'!$B$2:$B$225=FAAB!$AK75)*('Point Data'!$D$2:$D$225=FAAB!AO$62),0))</f>
        <v>5</v>
      </c>
      <c r="AP75" s="190">
        <f t="array" aca="1" ref="AP75" ca="1">INDEX('Point Data'!$M$2:$M$225,MATCH(1,('Point Data'!$B$2:$B$225=FAAB!$AK75)*('Point Data'!$D$2:$D$225=FAAB!AP$62),0))</f>
        <v>5</v>
      </c>
      <c r="AQ75" s="190">
        <f t="array" aca="1" ref="AQ75" ca="1">INDEX('Point Data'!$M$2:$M$225,MATCH(1,('Point Data'!$B$2:$B$225=FAAB!$AK75)*('Point Data'!$D$2:$D$225=FAAB!AQ$62),0))</f>
        <v>0</v>
      </c>
      <c r="AR75" s="190">
        <f t="array" aca="1" ref="AR75" ca="1">INDEX('Point Data'!$M$2:$M$225,MATCH(1,('Point Data'!$B$2:$B$225=FAAB!$AK75)*('Point Data'!$D$2:$D$225=FAAB!AR$62),0))</f>
        <v>78</v>
      </c>
      <c r="AS75" s="190">
        <f t="array" aca="1" ref="AS75" ca="1">INDEX('Point Data'!$M$2:$M$225,MATCH(1,('Point Data'!$B$2:$B$225=FAAB!$AK75)*('Point Data'!$D$2:$D$225=FAAB!AS$62),0))</f>
        <v>6</v>
      </c>
      <c r="AT75" s="190">
        <f t="array" aca="1" ref="AT75" ca="1">INDEX('Point Data'!$M$2:$M$225,MATCH(1,('Point Data'!$B$2:$B$225=FAAB!$AK75)*('Point Data'!$D$2:$D$225=FAAB!AT$62),0))</f>
        <v>0</v>
      </c>
      <c r="AU75" s="190">
        <f t="array" aca="1" ref="AU75" ca="1">INDEX('Point Data'!$M$2:$M$225,MATCH(1,('Point Data'!$B$2:$B$225=FAAB!$AK75)*('Point Data'!$D$2:$D$225=FAAB!AU$62),0))</f>
        <v>1</v>
      </c>
      <c r="AV75" s="190">
        <f t="array" aca="1" ref="AV75" ca="1">INDEX('Point Data'!$M$2:$M$225,MATCH(1,('Point Data'!$B$2:$B$225=FAAB!$AK75)*('Point Data'!$D$2:$D$225=FAAB!AV$62),0))</f>
        <v>5</v>
      </c>
      <c r="AW75" s="190">
        <f t="array" aca="1" ref="AW75" ca="1">INDEX('Point Data'!$M$2:$M$225,MATCH(1,('Point Data'!$B$2:$B$225=FAAB!$AK75)*('Point Data'!$D$2:$D$225=FAAB!AW$62),0))</f>
        <v>0</v>
      </c>
      <c r="AX75" s="190">
        <f t="array" aca="1" ref="AX75" ca="1">INDEX('Point Data'!$M$2:$M$225,MATCH(1,('Point Data'!$B$2:$B$225=FAAB!$AK75)*('Point Data'!$D$2:$D$225=FAAB!AX$62),0))</f>
        <v>0</v>
      </c>
    </row>
    <row r="76" spans="15:50">
      <c r="AK76" s="207" t="str">
        <f>'Point Data'!$B$184</f>
        <v>Team 14</v>
      </c>
      <c r="AL76" s="190">
        <f t="array" aca="1" ref="AL76" ca="1">INDEX('Point Data'!$M$2:$M$225,MATCH(1,('Point Data'!$B$2:$B$225=FAAB!$AK76)*('Point Data'!$D$2:$D$225=FAAB!AL$62),0))</f>
        <v>0</v>
      </c>
      <c r="AM76" s="190">
        <f t="array" aca="1" ref="AM76" ca="1">INDEX('Point Data'!$M$2:$M$225,MATCH(1,('Point Data'!$B$2:$B$225=FAAB!$AK76)*('Point Data'!$D$2:$D$225=FAAB!AM$62),0))</f>
        <v>0</v>
      </c>
      <c r="AN76" s="190">
        <f t="array" aca="1" ref="AN76" ca="1">INDEX('Point Data'!$M$2:$M$225,MATCH(1,('Point Data'!$B$2:$B$225=FAAB!$AK76)*('Point Data'!$D$2:$D$225=FAAB!AN$62),0))</f>
        <v>0</v>
      </c>
      <c r="AO76" s="190">
        <f t="array" aca="1" ref="AO76" ca="1">INDEX('Point Data'!$M$2:$M$225,MATCH(1,('Point Data'!$B$2:$B$225=FAAB!$AK76)*('Point Data'!$D$2:$D$225=FAAB!AO$62),0))</f>
        <v>5</v>
      </c>
      <c r="AP76" s="190">
        <f t="array" aca="1" ref="AP76" ca="1">INDEX('Point Data'!$M$2:$M$225,MATCH(1,('Point Data'!$B$2:$B$225=FAAB!$AK76)*('Point Data'!$D$2:$D$225=FAAB!AP$62),0))</f>
        <v>0</v>
      </c>
      <c r="AQ76" s="190">
        <f t="array" aca="1" ref="AQ76" ca="1">INDEX('Point Data'!$M$2:$M$225,MATCH(1,('Point Data'!$B$2:$B$225=FAAB!$AK76)*('Point Data'!$D$2:$D$225=FAAB!AQ$62),0))</f>
        <v>0</v>
      </c>
      <c r="AR76" s="190">
        <f t="array" aca="1" ref="AR76" ca="1">INDEX('Point Data'!$M$2:$M$225,MATCH(1,('Point Data'!$B$2:$B$225=FAAB!$AK76)*('Point Data'!$D$2:$D$225=FAAB!AR$62),0))</f>
        <v>0</v>
      </c>
      <c r="AS76" s="190">
        <f t="array" aca="1" ref="AS76" ca="1">INDEX('Point Data'!$M$2:$M$225,MATCH(1,('Point Data'!$B$2:$B$225=FAAB!$AK76)*('Point Data'!$D$2:$D$225=FAAB!AS$62),0))</f>
        <v>0</v>
      </c>
      <c r="AT76" s="190">
        <f t="array" aca="1" ref="AT76" ca="1">INDEX('Point Data'!$M$2:$M$225,MATCH(1,('Point Data'!$B$2:$B$225=FAAB!$AK76)*('Point Data'!$D$2:$D$225=FAAB!AT$62),0))</f>
        <v>0</v>
      </c>
      <c r="AU76" s="190">
        <f t="array" aca="1" ref="AU76" ca="1">INDEX('Point Data'!$M$2:$M$225,MATCH(1,('Point Data'!$B$2:$B$225=FAAB!$AK76)*('Point Data'!$D$2:$D$225=FAAB!AU$62),0))</f>
        <v>0</v>
      </c>
      <c r="AV76" s="190">
        <f t="array" aca="1" ref="AV76" ca="1">INDEX('Point Data'!$M$2:$M$225,MATCH(1,('Point Data'!$B$2:$B$225=FAAB!$AK76)*('Point Data'!$D$2:$D$225=FAAB!AV$62),0))</f>
        <v>0</v>
      </c>
      <c r="AW76" s="190">
        <f t="array" aca="1" ref="AW76" ca="1">INDEX('Point Data'!$M$2:$M$225,MATCH(1,('Point Data'!$B$2:$B$225=FAAB!$AK76)*('Point Data'!$D$2:$D$225=FAAB!AW$62),0))</f>
        <v>35</v>
      </c>
      <c r="AX76" s="190">
        <f t="array" aca="1" ref="AX76" ca="1">INDEX('Point Data'!$M$2:$M$225,MATCH(1,('Point Data'!$B$2:$B$225=FAAB!$AK76)*('Point Data'!$D$2:$D$225=FAAB!AX$62),0))</f>
        <v>0</v>
      </c>
    </row>
    <row r="77" spans="15:50">
      <c r="AK77" s="207" t="str">
        <f>'Point Data'!$B$198</f>
        <v>Team 15</v>
      </c>
      <c r="AL77" s="190">
        <f t="array" aca="1" ref="AL77" ca="1">INDEX('Point Data'!$M$2:$M$225,MATCH(1,('Point Data'!$B$2:$B$225=FAAB!$AK77)*('Point Data'!$D$2:$D$225=FAAB!AL$62),0))</f>
        <v>0</v>
      </c>
      <c r="AM77" s="190">
        <f t="array" aca="1" ref="AM77" ca="1">INDEX('Point Data'!$M$2:$M$225,MATCH(1,('Point Data'!$B$2:$B$225=FAAB!$AK77)*('Point Data'!$D$2:$D$225=FAAB!AM$62),0))</f>
        <v>0</v>
      </c>
      <c r="AN77" s="190">
        <f t="array" aca="1" ref="AN77" ca="1">INDEX('Point Data'!$M$2:$M$225,MATCH(1,('Point Data'!$B$2:$B$225=FAAB!$AK77)*('Point Data'!$D$2:$D$225=FAAB!AN$62),0))</f>
        <v>39</v>
      </c>
      <c r="AO77" s="190">
        <f t="array" aca="1" ref="AO77" ca="1">INDEX('Point Data'!$M$2:$M$225,MATCH(1,('Point Data'!$B$2:$B$225=FAAB!$AK77)*('Point Data'!$D$2:$D$225=FAAB!AO$62),0))</f>
        <v>0</v>
      </c>
      <c r="AP77" s="190">
        <f t="array" aca="1" ref="AP77" ca="1">INDEX('Point Data'!$M$2:$M$225,MATCH(1,('Point Data'!$B$2:$B$225=FAAB!$AK77)*('Point Data'!$D$2:$D$225=FAAB!AP$62),0))</f>
        <v>0</v>
      </c>
      <c r="AQ77" s="190">
        <f t="array" aca="1" ref="AQ77" ca="1">INDEX('Point Data'!$M$2:$M$225,MATCH(1,('Point Data'!$B$2:$B$225=FAAB!$AK77)*('Point Data'!$D$2:$D$225=FAAB!AQ$62),0))</f>
        <v>15</v>
      </c>
      <c r="AR77" s="190">
        <f t="array" aca="1" ref="AR77" ca="1">INDEX('Point Data'!$M$2:$M$225,MATCH(1,('Point Data'!$B$2:$B$225=FAAB!$AK77)*('Point Data'!$D$2:$D$225=FAAB!AR$62),0))</f>
        <v>6</v>
      </c>
      <c r="AS77" s="190">
        <f t="array" aca="1" ref="AS77" ca="1">INDEX('Point Data'!$M$2:$M$225,MATCH(1,('Point Data'!$B$2:$B$225=FAAB!$AK77)*('Point Data'!$D$2:$D$225=FAAB!AS$62),0))</f>
        <v>0</v>
      </c>
      <c r="AT77" s="190">
        <f t="array" aca="1" ref="AT77" ca="1">INDEX('Point Data'!$M$2:$M$225,MATCH(1,('Point Data'!$B$2:$B$225=FAAB!$AK77)*('Point Data'!$D$2:$D$225=FAAB!AT$62),0))</f>
        <v>19</v>
      </c>
      <c r="AU77" s="190">
        <f t="array" aca="1" ref="AU77" ca="1">INDEX('Point Data'!$M$2:$M$225,MATCH(1,('Point Data'!$B$2:$B$225=FAAB!$AK77)*('Point Data'!$D$2:$D$225=FAAB!AU$62),0))</f>
        <v>12</v>
      </c>
      <c r="AV77" s="190">
        <f t="array" aca="1" ref="AV77" ca="1">INDEX('Point Data'!$M$2:$M$225,MATCH(1,('Point Data'!$B$2:$B$225=FAAB!$AK77)*('Point Data'!$D$2:$D$225=FAAB!AV$62),0))</f>
        <v>0</v>
      </c>
      <c r="AW77" s="190">
        <f t="array" aca="1" ref="AW77" ca="1">INDEX('Point Data'!$M$2:$M$225,MATCH(1,('Point Data'!$B$2:$B$225=FAAB!$AK77)*('Point Data'!$D$2:$D$225=FAAB!AW$62),0))</f>
        <v>0</v>
      </c>
      <c r="AX77" s="190">
        <f t="array" aca="1" ref="AX77" ca="1">INDEX('Point Data'!$M$2:$M$225,MATCH(1,('Point Data'!$B$2:$B$225=FAAB!$AK77)*('Point Data'!$D$2:$D$225=FAAB!AX$62),0))</f>
        <v>9</v>
      </c>
    </row>
    <row r="78" spans="15:50" ht="16" thickBot="1"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K78" s="208" t="str">
        <f>'Point Data'!$B$212</f>
        <v>Team 16</v>
      </c>
      <c r="AL78" s="190">
        <f t="array" aca="1" ref="AL78" ca="1">INDEX('Point Data'!$M$2:$M$225,MATCH(1,('Point Data'!$B$2:$B$225=FAAB!$AK78)*('Point Data'!$D$2:$D$225=FAAB!AL$62),0))</f>
        <v>0</v>
      </c>
      <c r="AM78" s="190">
        <f t="array" aca="1" ref="AM78" ca="1">INDEX('Point Data'!$M$2:$M$225,MATCH(1,('Point Data'!$B$2:$B$225=FAAB!$AK78)*('Point Data'!$D$2:$D$225=FAAB!AM$62),0))</f>
        <v>0</v>
      </c>
      <c r="AN78" s="190">
        <f t="array" aca="1" ref="AN78" ca="1">INDEX('Point Data'!$M$2:$M$225,MATCH(1,('Point Data'!$B$2:$B$225=FAAB!$AK78)*('Point Data'!$D$2:$D$225=FAAB!AN$62),0))</f>
        <v>100</v>
      </c>
      <c r="AO78" s="190">
        <f t="array" aca="1" ref="AO78" ca="1">INDEX('Point Data'!$M$2:$M$225,MATCH(1,('Point Data'!$B$2:$B$225=FAAB!$AK78)*('Point Data'!$D$2:$D$225=FAAB!AO$62),0))</f>
        <v>0</v>
      </c>
      <c r="AP78" s="190">
        <f t="array" aca="1" ref="AP78" ca="1">INDEX('Point Data'!$M$2:$M$225,MATCH(1,('Point Data'!$B$2:$B$225=FAAB!$AK78)*('Point Data'!$D$2:$D$225=FAAB!AP$62),0))</f>
        <v>0</v>
      </c>
      <c r="AQ78" s="190">
        <f t="array" aca="1" ref="AQ78" ca="1">INDEX('Point Data'!$M$2:$M$225,MATCH(1,('Point Data'!$B$2:$B$225=FAAB!$AK78)*('Point Data'!$D$2:$D$225=FAAB!AQ$62),0))</f>
        <v>0</v>
      </c>
      <c r="AR78" s="190">
        <f t="array" aca="1" ref="AR78" ca="1">INDEX('Point Data'!$M$2:$M$225,MATCH(1,('Point Data'!$B$2:$B$225=FAAB!$AK78)*('Point Data'!$D$2:$D$225=FAAB!AR$62),0))</f>
        <v>0</v>
      </c>
      <c r="AS78" s="190">
        <f t="array" aca="1" ref="AS78" ca="1">INDEX('Point Data'!$M$2:$M$225,MATCH(1,('Point Data'!$B$2:$B$225=FAAB!$AK78)*('Point Data'!$D$2:$D$225=FAAB!AS$62),0))</f>
        <v>0</v>
      </c>
      <c r="AT78" s="190">
        <f t="array" aca="1" ref="AT78" ca="1">INDEX('Point Data'!$M$2:$M$225,MATCH(1,('Point Data'!$B$2:$B$225=FAAB!$AK78)*('Point Data'!$D$2:$D$225=FAAB!AT$62),0))</f>
        <v>0</v>
      </c>
      <c r="AU78" s="190">
        <f t="array" aca="1" ref="AU78" ca="1">INDEX('Point Data'!$M$2:$M$225,MATCH(1,('Point Data'!$B$2:$B$225=FAAB!$AK78)*('Point Data'!$D$2:$D$225=FAAB!AU$62),0))</f>
        <v>0</v>
      </c>
      <c r="AV78" s="190">
        <f t="array" aca="1" ref="AV78" ca="1">INDEX('Point Data'!$M$2:$M$225,MATCH(1,('Point Data'!$B$2:$B$225=FAAB!$AK78)*('Point Data'!$D$2:$D$225=FAAB!AV$62),0))</f>
        <v>0</v>
      </c>
      <c r="AW78" s="190">
        <f t="array" aca="1" ref="AW78" ca="1">INDEX('Point Data'!$M$2:$M$225,MATCH(1,('Point Data'!$B$2:$B$225=FAAB!$AK78)*('Point Data'!$D$2:$D$225=FAAB!AW$62),0))</f>
        <v>0</v>
      </c>
      <c r="AX78" s="190">
        <f t="array" aca="1" ref="AX78" ca="1">INDEX('Point Data'!$M$2:$M$225,MATCH(1,('Point Data'!$B$2:$B$225=FAAB!$AK78)*('Point Data'!$D$2:$D$225=FAAB!AX$62),0))</f>
        <v>0</v>
      </c>
    </row>
    <row r="79" spans="15:50"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</row>
    <row r="80" spans="15:50">
      <c r="O80" s="190"/>
      <c r="P80" s="493"/>
      <c r="Q80" s="493"/>
      <c r="R80" s="493"/>
      <c r="S80" s="493"/>
      <c r="T80" s="493"/>
      <c r="U80" s="493"/>
      <c r="V80" s="493"/>
      <c r="W80" s="493"/>
      <c r="X80" s="493"/>
      <c r="Y80" s="493"/>
      <c r="Z80" s="493"/>
      <c r="AA80" s="493"/>
      <c r="AB80" s="493"/>
      <c r="AC80" s="493"/>
      <c r="AD80" s="493"/>
      <c r="AE80" s="493"/>
      <c r="AF80" s="16"/>
    </row>
    <row r="81" spans="15:32">
      <c r="O81" s="190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</row>
    <row r="82" spans="15:32">
      <c r="O82" s="190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</row>
    <row r="83" spans="15:32">
      <c r="O83" s="190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</row>
    <row r="84" spans="15:32">
      <c r="O84" s="190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</row>
    <row r="85" spans="15:32">
      <c r="O85" s="190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</row>
    <row r="86" spans="15:32"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0"/>
      <c r="AA86" s="190"/>
      <c r="AB86" s="190"/>
      <c r="AC86" s="190"/>
      <c r="AD86" s="190"/>
      <c r="AE86" s="190"/>
    </row>
    <row r="87" spans="15:32"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190"/>
      <c r="AA87" s="190"/>
      <c r="AB87" s="190"/>
      <c r="AC87" s="190"/>
      <c r="AD87" s="190"/>
      <c r="AE87" s="190"/>
    </row>
    <row r="88" spans="15:32"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0"/>
      <c r="AA88" s="190"/>
      <c r="AB88" s="190"/>
      <c r="AC88" s="190"/>
      <c r="AD88" s="190"/>
      <c r="AE88" s="190"/>
    </row>
    <row r="89" spans="15:32"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0"/>
      <c r="AA89" s="190"/>
      <c r="AB89" s="190"/>
      <c r="AC89" s="190"/>
      <c r="AD89" s="190"/>
      <c r="AE89" s="190"/>
    </row>
    <row r="90" spans="15:32"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  <c r="Z90" s="190"/>
      <c r="AA90" s="190"/>
      <c r="AB90" s="190"/>
      <c r="AC90" s="190"/>
      <c r="AD90" s="190"/>
      <c r="AE90" s="190"/>
    </row>
    <row r="91" spans="15:32"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  <c r="Z91" s="190"/>
      <c r="AA91" s="190"/>
      <c r="AB91" s="190"/>
      <c r="AC91" s="190"/>
      <c r="AD91" s="190"/>
      <c r="AE91" s="190"/>
    </row>
    <row r="92" spans="15:32"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</row>
    <row r="93" spans="15:32"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  <c r="Z93" s="190"/>
      <c r="AA93" s="190"/>
      <c r="AB93" s="190"/>
      <c r="AC93" s="190"/>
      <c r="AD93" s="190"/>
      <c r="AE93" s="190"/>
    </row>
    <row r="94" spans="15:32">
      <c r="P94" s="190"/>
      <c r="Q94" s="190"/>
      <c r="R94" s="190"/>
      <c r="S94" s="190"/>
      <c r="T94" s="190"/>
      <c r="U94" s="190"/>
      <c r="V94" s="190"/>
      <c r="W94" s="190"/>
      <c r="X94" s="190"/>
      <c r="Y94" s="190"/>
      <c r="Z94" s="190"/>
      <c r="AA94" s="190"/>
      <c r="AB94" s="190"/>
      <c r="AC94" s="190"/>
    </row>
    <row r="95" spans="15:32">
      <c r="P95" s="190"/>
      <c r="Q95" s="190"/>
      <c r="R95" s="190"/>
      <c r="S95" s="190"/>
      <c r="T95" s="190"/>
      <c r="U95" s="190"/>
      <c r="V95" s="190"/>
      <c r="W95" s="190"/>
      <c r="X95" s="190"/>
      <c r="Y95" s="190"/>
      <c r="Z95" s="190"/>
      <c r="AA95" s="190"/>
      <c r="AB95" s="190"/>
      <c r="AC95" s="190"/>
    </row>
    <row r="96" spans="15:32">
      <c r="P96" s="190"/>
      <c r="Q96" s="190"/>
      <c r="R96" s="190"/>
      <c r="S96" s="190"/>
      <c r="T96" s="190"/>
      <c r="U96" s="190"/>
      <c r="V96" s="190"/>
      <c r="W96" s="190"/>
      <c r="X96" s="190"/>
      <c r="Y96" s="190"/>
      <c r="Z96" s="190"/>
      <c r="AA96" s="190"/>
      <c r="AB96" s="190"/>
      <c r="AC96" s="190"/>
    </row>
  </sheetData>
  <pageMargins left="0.7" right="0.7" top="0.75" bottom="0.75" header="0.3" footer="0.3"/>
  <pageSetup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fitToPage="1"/>
  </sheetPr>
  <dimension ref="B1:AX110"/>
  <sheetViews>
    <sheetView showGridLines="0" zoomScale="70" zoomScaleNormal="70" workbookViewId="0">
      <selection activeCell="A2" sqref="A2"/>
    </sheetView>
  </sheetViews>
  <sheetFormatPr baseColWidth="10" defaultColWidth="9" defaultRowHeight="15"/>
  <cols>
    <col min="1" max="1" width="9" style="2"/>
    <col min="2" max="2" width="31.6640625" style="2" bestFit="1" customWidth="1"/>
    <col min="3" max="15" width="6.6640625" style="2" customWidth="1"/>
    <col min="16" max="16" width="6.6640625" style="549" customWidth="1"/>
    <col min="17" max="19" width="9.33203125" style="2" bestFit="1" customWidth="1"/>
    <col min="20" max="20" width="12.5" style="22" customWidth="1"/>
    <col min="21" max="21" width="13.33203125" style="71" bestFit="1" customWidth="1"/>
    <col min="22" max="22" width="9" style="73"/>
    <col min="23" max="23" width="39.6640625" style="2" bestFit="1" customWidth="1"/>
    <col min="24" max="36" width="7.6640625" style="2" bestFit="1" customWidth="1"/>
    <col min="37" max="37" width="7.6640625" style="549" customWidth="1"/>
    <col min="38" max="38" width="7.6640625" style="2" customWidth="1"/>
    <col min="39" max="46" width="9" style="2"/>
    <col min="47" max="47" width="30" style="2" bestFit="1" customWidth="1"/>
    <col min="48" max="48" width="12" style="2" bestFit="1" customWidth="1"/>
    <col min="49" max="16384" width="9" style="2"/>
  </cols>
  <sheetData>
    <row r="1" spans="2:50" ht="16" thickBot="1">
      <c r="B1" s="35" t="s">
        <v>16</v>
      </c>
      <c r="C1" s="76">
        <v>1</v>
      </c>
      <c r="D1" s="76">
        <v>2</v>
      </c>
      <c r="E1" s="76">
        <v>3</v>
      </c>
      <c r="F1" s="76">
        <v>4</v>
      </c>
      <c r="G1" s="76">
        <v>5</v>
      </c>
      <c r="H1" s="76">
        <v>6</v>
      </c>
      <c r="I1" s="76">
        <v>7</v>
      </c>
      <c r="J1" s="76">
        <v>8</v>
      </c>
      <c r="K1" s="76">
        <v>9</v>
      </c>
      <c r="L1" s="76">
        <v>10</v>
      </c>
      <c r="M1" s="76">
        <v>11</v>
      </c>
      <c r="N1" s="76">
        <v>12</v>
      </c>
      <c r="O1" s="76">
        <v>13</v>
      </c>
      <c r="P1" s="76">
        <v>14</v>
      </c>
      <c r="Q1" s="37" t="s">
        <v>15</v>
      </c>
      <c r="R1" s="37" t="s">
        <v>18</v>
      </c>
      <c r="S1" s="37" t="s">
        <v>113</v>
      </c>
      <c r="T1" s="38" t="s">
        <v>56</v>
      </c>
      <c r="U1" s="39" t="s">
        <v>57</v>
      </c>
      <c r="W1" s="34" t="s">
        <v>110</v>
      </c>
      <c r="X1" s="34">
        <v>1</v>
      </c>
      <c r="Y1" s="34">
        <v>2</v>
      </c>
      <c r="Z1" s="34">
        <v>3</v>
      </c>
      <c r="AA1" s="34">
        <v>4</v>
      </c>
      <c r="AB1" s="34">
        <v>5</v>
      </c>
      <c r="AC1" s="34">
        <v>6</v>
      </c>
      <c r="AD1" s="34">
        <v>7</v>
      </c>
      <c r="AE1" s="34">
        <v>8</v>
      </c>
      <c r="AF1" s="34">
        <v>9</v>
      </c>
      <c r="AG1" s="34">
        <v>10</v>
      </c>
      <c r="AH1" s="34">
        <v>11</v>
      </c>
      <c r="AI1" s="34">
        <v>12</v>
      </c>
      <c r="AJ1" s="34">
        <v>13</v>
      </c>
      <c r="AK1" s="34">
        <v>14</v>
      </c>
      <c r="AL1" s="34" t="s">
        <v>27</v>
      </c>
      <c r="AM1" s="34" t="s">
        <v>26</v>
      </c>
      <c r="AV1" s="2" t="s">
        <v>58</v>
      </c>
      <c r="AW1" s="2" t="s">
        <v>147</v>
      </c>
      <c r="AX1" s="2" t="s">
        <v>148</v>
      </c>
    </row>
    <row r="2" spans="2:50">
      <c r="B2" s="205" t="str">
        <f>'Point Data'!$B$2</f>
        <v>Team 1</v>
      </c>
      <c r="C2" s="440">
        <f t="array" aca="1" ref="C2" ca="1">IF(C$1&gt;Standings!$Q$27,"",INDEX('Point Data'!$J$2:$J$225,MATCH(1,(Ranks!$B2='Point Data'!$B$2:$B$225)*(Ranks!C$1='Point Data'!$D$2:$D$225),0)))</f>
        <v>106.84</v>
      </c>
      <c r="D2" s="441">
        <f t="array" aca="1" ref="D2" ca="1">IF(D$1&gt;Standings!$Q$27,"",INDEX('Point Data'!$J$2:$J$225,MATCH(1,(Ranks!$B2='Point Data'!$B$2:$B$225)*(Ranks!D$1='Point Data'!$D$2:$D$225),0)))</f>
        <v>94.86</v>
      </c>
      <c r="E2" s="441">
        <f t="array" aca="1" ref="E2" ca="1">IF(E$1&gt;Standings!$Q$27,"",INDEX('Point Data'!$J$2:$J$225,MATCH(1,(Ranks!$B2='Point Data'!$B$2:$B$225)*(Ranks!E$1='Point Data'!$D$2:$D$225),0)))</f>
        <v>113.11</v>
      </c>
      <c r="F2" s="441">
        <f t="array" aca="1" ref="F2" ca="1">IF(F$1&gt;Standings!$Q$27,"",INDEX('Point Data'!$J$2:$J$225,MATCH(1,(Ranks!$B2='Point Data'!$B$2:$B$225)*(Ranks!F$1='Point Data'!$D$2:$D$225),0)))</f>
        <v>97.92</v>
      </c>
      <c r="G2" s="441">
        <f t="array" aca="1" ref="G2" ca="1">IF(G$1&gt;Standings!$Q$27,"",INDEX('Point Data'!$J$2:$J$225,MATCH(1,(Ranks!$B2='Point Data'!$B$2:$B$225)*(Ranks!G$1='Point Data'!$D$2:$D$225),0)))</f>
        <v>66.3</v>
      </c>
      <c r="H2" s="441">
        <f t="array" aca="1" ref="H2" ca="1">IF(H$1&gt;Standings!$Q$27,"",INDEX('Point Data'!$J$2:$J$225,MATCH(1,(Ranks!$B2='Point Data'!$B$2:$B$225)*(Ranks!H$1='Point Data'!$D$2:$D$225),0)))</f>
        <v>74.430000000000007</v>
      </c>
      <c r="I2" s="441">
        <f t="array" aca="1" ref="I2" ca="1">IF(I$1&gt;Standings!$Q$27,"",INDEX('Point Data'!$J$2:$J$225,MATCH(1,(Ranks!$B2='Point Data'!$B$2:$B$225)*(Ranks!I$1='Point Data'!$D$2:$D$225),0)))</f>
        <v>96.84</v>
      </c>
      <c r="J2" s="441">
        <f t="array" aca="1" ref="J2" ca="1">IF(J$1&gt;Standings!$Q$27,"",INDEX('Point Data'!$J$2:$J$225,MATCH(1,(Ranks!$B2='Point Data'!$B$2:$B$225)*(Ranks!J$1='Point Data'!$D$2:$D$225),0)))</f>
        <v>67.86</v>
      </c>
      <c r="K2" s="441">
        <f t="array" aca="1" ref="K2" ca="1">IF(K$1&gt;Standings!$Q$27,"",INDEX('Point Data'!$J$2:$J$225,MATCH(1,(Ranks!$B2='Point Data'!$B$2:$B$225)*(Ranks!K$1='Point Data'!$D$2:$D$225),0)))</f>
        <v>76.75</v>
      </c>
      <c r="L2" s="441">
        <f t="array" aca="1" ref="L2" ca="1">IF(L$1&gt;Standings!$Q$27,"",INDEX('Point Data'!$J$2:$J$225,MATCH(1,(Ranks!$B2='Point Data'!$B$2:$B$225)*(Ranks!L$1='Point Data'!$D$2:$D$225),0)))</f>
        <v>73.91</v>
      </c>
      <c r="M2" s="441">
        <f t="array" aca="1" ref="M2" ca="1">IF(M$1&gt;Standings!$Q$27,"",INDEX('Point Data'!$J$2:$J$225,MATCH(1,(Ranks!$B2='Point Data'!$B$2:$B$225)*(Ranks!M$1='Point Data'!$D$2:$D$225),0)))</f>
        <v>100.09</v>
      </c>
      <c r="N2" s="441">
        <f t="array" aca="1" ref="N2" ca="1">IF(N$1&gt;Standings!$Q$27,"",INDEX('Point Data'!$J$2:$J$225,MATCH(1,(Ranks!$B2='Point Data'!$B$2:$B$225)*(Ranks!N$1='Point Data'!$D$2:$D$225),0)))</f>
        <v>98.98</v>
      </c>
      <c r="O2" s="441">
        <f t="array" aca="1" ref="O2" ca="1">IF(O$1&gt;Standings!$Q$27,"",INDEX('Point Data'!$J$2:$J$225,MATCH(1,(Ranks!$B2='Point Data'!$B$2:$B$225)*(Ranks!O$1='Point Data'!$D$2:$D$225),0)))</f>
        <v>95.1</v>
      </c>
      <c r="P2" s="442" t="str">
        <f t="array" ref="P2">IF(P$1&gt;Standings!$Q$27,"",INDEX('Point Data'!$J$2:$J$225,MATCH(1,(Ranks!$B2='Point Data'!$B$2:$B$225)*(Ranks!P$1='Point Data'!$D$2:$D$225),0)))</f>
        <v/>
      </c>
      <c r="Q2" s="96">
        <f ca="1">SUM(C2:P2)</f>
        <v>1162.99</v>
      </c>
      <c r="R2" s="443">
        <f ca="1">Q2/Standings!$Q$27</f>
        <v>89.46076923076923</v>
      </c>
      <c r="S2" s="444">
        <f ca="1">MAX(C2:P2)</f>
        <v>113.11</v>
      </c>
      <c r="T2" s="102">
        <f t="array" aca="1" ref="T2" ca="1">INDEX('Point Data'!$AP$2:$AP$225,MATCH(1,(Ranks!$B2='Point Data'!$B$2:$B$225)*(Standings!$Q$27='Point Data'!$D$2:$D$225),0))</f>
        <v>9</v>
      </c>
      <c r="U2" s="99">
        <f ca="1">RANK(Q2,$Q$2:$Q$17)</f>
        <v>15</v>
      </c>
      <c r="W2" s="209" t="str">
        <f>'ESPN Data'!M4</f>
        <v>Bone</v>
      </c>
      <c r="X2" s="456">
        <f ca="1">IFERROR(AVERAGE(C$2:C$9),"")</f>
        <v>103.38625</v>
      </c>
      <c r="Y2" s="456">
        <f t="shared" ref="Y2:AK2" ca="1" si="0">IFERROR(AVERAGE(D2:D9),"")</f>
        <v>106.14624999999999</v>
      </c>
      <c r="Z2" s="456">
        <f t="shared" ca="1" si="0"/>
        <v>115.91500000000001</v>
      </c>
      <c r="AA2" s="456">
        <f t="shared" ca="1" si="0"/>
        <v>100.8725</v>
      </c>
      <c r="AB2" s="456">
        <f t="shared" ca="1" si="0"/>
        <v>101.43375</v>
      </c>
      <c r="AC2" s="456">
        <f t="shared" ca="1" si="0"/>
        <v>97.793750000000003</v>
      </c>
      <c r="AD2" s="212">
        <f t="shared" ca="1" si="0"/>
        <v>117.40249999999999</v>
      </c>
      <c r="AE2" s="212">
        <f t="shared" ca="1" si="0"/>
        <v>90.580000000000013</v>
      </c>
      <c r="AF2" s="212">
        <f t="shared" ca="1" si="0"/>
        <v>97.515000000000001</v>
      </c>
      <c r="AG2" s="212">
        <f t="shared" ca="1" si="0"/>
        <v>94.172499999999999</v>
      </c>
      <c r="AH2" s="212">
        <f t="shared" ca="1" si="0"/>
        <v>104.19500000000001</v>
      </c>
      <c r="AI2" s="212">
        <f t="shared" ca="1" si="0"/>
        <v>105.17625000000001</v>
      </c>
      <c r="AJ2" s="212">
        <f t="shared" ca="1" si="0"/>
        <v>96.812500000000014</v>
      </c>
      <c r="AK2" s="212" t="str">
        <f t="shared" si="0"/>
        <v/>
      </c>
      <c r="AL2" s="456">
        <f ca="1">IFERROR(SUM(X2:AJ2),"")</f>
        <v>1331.4012499999999</v>
      </c>
      <c r="AM2" s="456">
        <f ca="1">IFERROR(AVERAGE(X2:AJ2),"")</f>
        <v>102.41548076923075</v>
      </c>
      <c r="AU2" s="364" t="str">
        <f>'ESPN Data'!$L4</f>
        <v>Team 1</v>
      </c>
      <c r="AV2" s="143">
        <f t="array" aca="1" ref="AV2" ca="1">INDEX('Point Data'!$L$2:$L$225,MATCH(1,($AU2='Point Data'!$B$2:$B$225)*(Standings!$Q$27='Point Data'!$D$2:$D$225)*(Standings!$K$3='Point Data'!$C$2:$C$225),0))</f>
        <v>4</v>
      </c>
      <c r="AW2" s="133" t="str">
        <f t="array" aca="1" ref="AW2" ca="1">INDEX('Point Data'!$W$2:$W$225,MATCH(1,(Ranks!$AU2='Point Data'!$B$2:$B$225)*(Standings!$Q$27='Point Data'!$D$2:$D$225),0))</f>
        <v>4-3</v>
      </c>
      <c r="AX2" s="488" t="str">
        <f t="array" aca="1" ref="AX2" ca="1">INDEX('Point Data'!$Y$2:$Y$225,MATCH(1,(Ranks!$AU2='Point Data'!$B$2:$B$225)*(Standings!$Q$27='Point Data'!$D$2:$D$225),0))</f>
        <v>0-6</v>
      </c>
    </row>
    <row r="3" spans="2:50">
      <c r="B3" s="206" t="str">
        <f>'Point Data'!$B$16</f>
        <v>Team 2</v>
      </c>
      <c r="C3" s="440">
        <f t="array" aca="1" ref="C3" ca="1">IF(C$1&gt;Standings!$Q$27,"",INDEX('Point Data'!$J$2:$J$225,MATCH(1,(Ranks!$B3='Point Data'!$B$2:$B$225)*(Ranks!C$1='Point Data'!$D$2:$D$225),0)))</f>
        <v>101.04</v>
      </c>
      <c r="D3" s="445">
        <f t="array" aca="1" ref="D3" ca="1">IF(D$1&gt;Standings!$Q$27,"",INDEX('Point Data'!$J$2:$J$225,MATCH(1,(Ranks!$B3='Point Data'!$B$2:$B$225)*(Ranks!D$1='Point Data'!$D$2:$D$225),0)))</f>
        <v>116.04</v>
      </c>
      <c r="E3" s="445">
        <f t="array" aca="1" ref="E3" ca="1">IF(E$1&gt;Standings!$Q$27,"",INDEX('Point Data'!$J$2:$J$225,MATCH(1,(Ranks!$B3='Point Data'!$B$2:$B$225)*(Ranks!E$1='Point Data'!$D$2:$D$225),0)))</f>
        <v>86.82</v>
      </c>
      <c r="F3" s="445">
        <f t="array" aca="1" ref="F3" ca="1">IF(F$1&gt;Standings!$Q$27,"",INDEX('Point Data'!$J$2:$J$225,MATCH(1,(Ranks!$B3='Point Data'!$B$2:$B$225)*(Ranks!F$1='Point Data'!$D$2:$D$225),0)))</f>
        <v>121.29</v>
      </c>
      <c r="G3" s="445">
        <f t="array" aca="1" ref="G3" ca="1">IF(G$1&gt;Standings!$Q$27,"",INDEX('Point Data'!$J$2:$J$225,MATCH(1,(Ranks!$B3='Point Data'!$B$2:$B$225)*(Ranks!G$1='Point Data'!$D$2:$D$225),0)))</f>
        <v>138.77000000000001</v>
      </c>
      <c r="H3" s="445">
        <f t="array" aca="1" ref="H3" ca="1">IF(H$1&gt;Standings!$Q$27,"",INDEX('Point Data'!$J$2:$J$225,MATCH(1,(Ranks!$B3='Point Data'!$B$2:$B$225)*(Ranks!H$1='Point Data'!$D$2:$D$225),0)))</f>
        <v>97.96</v>
      </c>
      <c r="I3" s="445">
        <f t="array" aca="1" ref="I3" ca="1">IF(I$1&gt;Standings!$Q$27,"",INDEX('Point Data'!$J$2:$J$225,MATCH(1,(Ranks!$B3='Point Data'!$B$2:$B$225)*(Ranks!I$1='Point Data'!$D$2:$D$225),0)))</f>
        <v>90.52</v>
      </c>
      <c r="J3" s="445">
        <f t="array" aca="1" ref="J3" ca="1">IF(J$1&gt;Standings!$Q$27,"",INDEX('Point Data'!$J$2:$J$225,MATCH(1,(Ranks!$B3='Point Data'!$B$2:$B$225)*(Ranks!J$1='Point Data'!$D$2:$D$225),0)))</f>
        <v>87.31</v>
      </c>
      <c r="K3" s="445">
        <f t="array" aca="1" ref="K3" ca="1">IF(K$1&gt;Standings!$Q$27,"",INDEX('Point Data'!$J$2:$J$225,MATCH(1,(Ranks!$B3='Point Data'!$B$2:$B$225)*(Ranks!K$1='Point Data'!$D$2:$D$225),0)))</f>
        <v>105.85</v>
      </c>
      <c r="L3" s="445">
        <f t="array" aca="1" ref="L3" ca="1">IF(L$1&gt;Standings!$Q$27,"",INDEX('Point Data'!$J$2:$J$225,MATCH(1,(Ranks!$B3='Point Data'!$B$2:$B$225)*(Ranks!L$1='Point Data'!$D$2:$D$225),0)))</f>
        <v>72.900000000000006</v>
      </c>
      <c r="M3" s="445">
        <f t="array" aca="1" ref="M3" ca="1">IF(M$1&gt;Standings!$Q$27,"",INDEX('Point Data'!$J$2:$J$225,MATCH(1,(Ranks!$B3='Point Data'!$B$2:$B$225)*(Ranks!M$1='Point Data'!$D$2:$D$225),0)))</f>
        <v>92.94</v>
      </c>
      <c r="N3" s="445">
        <f t="array" aca="1" ref="N3" ca="1">IF(N$1&gt;Standings!$Q$27,"",INDEX('Point Data'!$J$2:$J$225,MATCH(1,(Ranks!$B3='Point Data'!$B$2:$B$225)*(Ranks!N$1='Point Data'!$D$2:$D$225),0)))</f>
        <v>97.24</v>
      </c>
      <c r="O3" s="445">
        <f t="array" aca="1" ref="O3" ca="1">IF(O$1&gt;Standings!$Q$27,"",INDEX('Point Data'!$J$2:$J$225,MATCH(1,(Ranks!$B3='Point Data'!$B$2:$B$225)*(Ranks!O$1='Point Data'!$D$2:$D$225),0)))</f>
        <v>90.75</v>
      </c>
      <c r="P3" s="446" t="str">
        <f t="array" ref="P3">IF(P$1&gt;Standings!$Q$27,"",INDEX('Point Data'!$J$2:$J$225,MATCH(1,(Ranks!$B3='Point Data'!$B$2:$B$225)*(Ranks!P$1='Point Data'!$D$2:$D$225),0)))</f>
        <v/>
      </c>
      <c r="Q3" s="97">
        <f t="shared" ref="Q3:Q17" ca="1" si="1">SUM(C3:P3)</f>
        <v>1299.43</v>
      </c>
      <c r="R3" s="447">
        <f ca="1">Q3/Standings!$Q$27</f>
        <v>99.956153846153853</v>
      </c>
      <c r="S3" s="448">
        <f t="shared" ref="S3:S17" ca="1" si="2">MAX(C3:P3)</f>
        <v>138.77000000000001</v>
      </c>
      <c r="T3" s="103">
        <f t="array" aca="1" ref="T3" ca="1">INDEX('Point Data'!$AP$2:$AP$225,MATCH(1,(Ranks!$B3='Point Data'!$B$2:$B$225)*(Standings!$Q$27='Point Data'!$D$2:$D$225),0))</f>
        <v>11</v>
      </c>
      <c r="U3" s="100">
        <f t="shared" ref="U3:U17" ca="1" si="3">RANK(Q3,$Q$2:$Q$17)</f>
        <v>8</v>
      </c>
      <c r="V3" s="535"/>
      <c r="W3" s="50" t="str">
        <f>'ESPN Data'!M12</f>
        <v>Wardo</v>
      </c>
      <c r="X3" s="457">
        <f ca="1">IFERROR(AVERAGE(C$10:C$17),"")</f>
        <v>109.04500000000002</v>
      </c>
      <c r="Y3" s="457">
        <f t="shared" ref="Y3:AK3" ca="1" si="4">IFERROR(AVERAGE(D10:D17),"")</f>
        <v>117.16000000000001</v>
      </c>
      <c r="Z3" s="457">
        <f t="shared" ca="1" si="4"/>
        <v>104.00500000000001</v>
      </c>
      <c r="AA3" s="457">
        <f t="shared" ca="1" si="4"/>
        <v>103.48</v>
      </c>
      <c r="AB3" s="457">
        <f t="shared" ca="1" si="4"/>
        <v>106.89875000000001</v>
      </c>
      <c r="AC3" s="457">
        <f t="shared" ca="1" si="4"/>
        <v>96.085000000000008</v>
      </c>
      <c r="AD3" s="203">
        <f t="shared" ca="1" si="4"/>
        <v>89.368750000000006</v>
      </c>
      <c r="AE3" s="203">
        <f t="shared" ca="1" si="4"/>
        <v>94.48</v>
      </c>
      <c r="AF3" s="203">
        <f t="shared" ca="1" si="4"/>
        <v>101.655</v>
      </c>
      <c r="AG3" s="203">
        <f t="shared" ca="1" si="4"/>
        <v>92.166249999999991</v>
      </c>
      <c r="AH3" s="203">
        <f t="shared" ca="1" si="4"/>
        <v>98.77000000000001</v>
      </c>
      <c r="AI3" s="203">
        <f t="shared" ca="1" si="4"/>
        <v>93.304999999999993</v>
      </c>
      <c r="AJ3" s="203">
        <f t="shared" ca="1" si="4"/>
        <v>110.69750000000001</v>
      </c>
      <c r="AK3" s="476" t="str">
        <f t="shared" si="4"/>
        <v/>
      </c>
      <c r="AL3" s="457">
        <f ca="1">IFERROR(SUM(X3:AJ3),"")</f>
        <v>1317.1162500000003</v>
      </c>
      <c r="AM3" s="457">
        <f ca="1">IFERROR(AVERAGE(X3:AJ3),"")</f>
        <v>101.31663461538463</v>
      </c>
      <c r="AU3" s="365" t="str">
        <f>'ESPN Data'!$L5</f>
        <v>Team 2</v>
      </c>
      <c r="AV3" s="143">
        <f t="array" aca="1" ref="AV3" ca="1">INDEX('Point Data'!$L$2:$L$225,MATCH(1,($AU3='Point Data'!$B$2:$B$225)*(Standings!$Q$27='Point Data'!$D$2:$D$225)*(Standings!$K$3='Point Data'!$C$2:$C$225),0))</f>
        <v>2</v>
      </c>
      <c r="AW3" s="488" t="str">
        <f t="array" aca="1" ref="AW3" ca="1">INDEX('Point Data'!$W$2:$W$225,MATCH(1,(Ranks!$AU3='Point Data'!$B$2:$B$225)*(Standings!$Q$27='Point Data'!$D$2:$D$225),0))</f>
        <v>4-4</v>
      </c>
      <c r="AX3" s="488" t="str">
        <f t="array" aca="1" ref="AX3" ca="1">INDEX('Point Data'!$Y$2:$Y$225,MATCH(1,(Ranks!$AU3='Point Data'!$B$2:$B$225)*(Standings!$Q$27='Point Data'!$D$2:$D$225),0))</f>
        <v>4-1</v>
      </c>
    </row>
    <row r="4" spans="2:50">
      <c r="B4" s="206" t="str">
        <f>'Point Data'!$B$30</f>
        <v>Team 3</v>
      </c>
      <c r="C4" s="440">
        <f t="array" aca="1" ref="C4" ca="1">IF(C$1&gt;Standings!$Q$27,"",INDEX('Point Data'!$J$2:$J$225,MATCH(1,(Ranks!$B4='Point Data'!$B$2:$B$225)*(Ranks!C$1='Point Data'!$D$2:$D$225),0)))</f>
        <v>103.84</v>
      </c>
      <c r="D4" s="445">
        <f t="array" aca="1" ref="D4" ca="1">IF(D$1&gt;Standings!$Q$27,"",INDEX('Point Data'!$J$2:$J$225,MATCH(1,(Ranks!$B4='Point Data'!$B$2:$B$225)*(Ranks!D$1='Point Data'!$D$2:$D$225),0)))</f>
        <v>110.03</v>
      </c>
      <c r="E4" s="445">
        <f t="array" aca="1" ref="E4" ca="1">IF(E$1&gt;Standings!$Q$27,"",INDEX('Point Data'!$J$2:$J$225,MATCH(1,(Ranks!$B4='Point Data'!$B$2:$B$225)*(Ranks!E$1='Point Data'!$D$2:$D$225),0)))</f>
        <v>75.260000000000005</v>
      </c>
      <c r="F4" s="445">
        <f t="array" aca="1" ref="F4" ca="1">IF(F$1&gt;Standings!$Q$27,"",INDEX('Point Data'!$J$2:$J$225,MATCH(1,(Ranks!$B4='Point Data'!$B$2:$B$225)*(Ranks!F$1='Point Data'!$D$2:$D$225),0)))</f>
        <v>92.02</v>
      </c>
      <c r="G4" s="445">
        <f t="array" aca="1" ref="G4" ca="1">IF(G$1&gt;Standings!$Q$27,"",INDEX('Point Data'!$J$2:$J$225,MATCH(1,(Ranks!$B4='Point Data'!$B$2:$B$225)*(Ranks!G$1='Point Data'!$D$2:$D$225),0)))</f>
        <v>118.5</v>
      </c>
      <c r="H4" s="445">
        <f t="array" aca="1" ref="H4" ca="1">IF(H$1&gt;Standings!$Q$27,"",INDEX('Point Data'!$J$2:$J$225,MATCH(1,(Ranks!$B4='Point Data'!$B$2:$B$225)*(Ranks!H$1='Point Data'!$D$2:$D$225),0)))</f>
        <v>67.37</v>
      </c>
      <c r="I4" s="445">
        <f t="array" aca="1" ref="I4" ca="1">IF(I$1&gt;Standings!$Q$27,"",INDEX('Point Data'!$J$2:$J$225,MATCH(1,(Ranks!$B4='Point Data'!$B$2:$B$225)*(Ranks!I$1='Point Data'!$D$2:$D$225),0)))</f>
        <v>121.81</v>
      </c>
      <c r="J4" s="445">
        <f t="array" aca="1" ref="J4" ca="1">IF(J$1&gt;Standings!$Q$27,"",INDEX('Point Data'!$J$2:$J$225,MATCH(1,(Ranks!$B4='Point Data'!$B$2:$B$225)*(Ranks!J$1='Point Data'!$D$2:$D$225),0)))</f>
        <v>80.22</v>
      </c>
      <c r="K4" s="445">
        <f t="array" aca="1" ref="K4" ca="1">IF(K$1&gt;Standings!$Q$27,"",INDEX('Point Data'!$J$2:$J$225,MATCH(1,(Ranks!$B4='Point Data'!$B$2:$B$225)*(Ranks!K$1='Point Data'!$D$2:$D$225),0)))</f>
        <v>87.41</v>
      </c>
      <c r="L4" s="445">
        <f t="array" aca="1" ref="L4" ca="1">IF(L$1&gt;Standings!$Q$27,"",INDEX('Point Data'!$J$2:$J$225,MATCH(1,(Ranks!$B4='Point Data'!$B$2:$B$225)*(Ranks!L$1='Point Data'!$D$2:$D$225),0)))</f>
        <v>71.05</v>
      </c>
      <c r="M4" s="445">
        <f t="array" aca="1" ref="M4" ca="1">IF(M$1&gt;Standings!$Q$27,"",INDEX('Point Data'!$J$2:$J$225,MATCH(1,(Ranks!$B4='Point Data'!$B$2:$B$225)*(Ranks!M$1='Point Data'!$D$2:$D$225),0)))</f>
        <v>112.3</v>
      </c>
      <c r="N4" s="445">
        <f t="array" aca="1" ref="N4" ca="1">IF(N$1&gt;Standings!$Q$27,"",INDEX('Point Data'!$J$2:$J$225,MATCH(1,(Ranks!$B4='Point Data'!$B$2:$B$225)*(Ranks!N$1='Point Data'!$D$2:$D$225),0)))</f>
        <v>87.75</v>
      </c>
      <c r="O4" s="445">
        <f t="array" aca="1" ref="O4" ca="1">IF(O$1&gt;Standings!$Q$27,"",INDEX('Point Data'!$J$2:$J$225,MATCH(1,(Ranks!$B4='Point Data'!$B$2:$B$225)*(Ranks!O$1='Point Data'!$D$2:$D$225),0)))</f>
        <v>105.17</v>
      </c>
      <c r="P4" s="446" t="str">
        <f t="array" ref="P4">IF(P$1&gt;Standings!$Q$27,"",INDEX('Point Data'!$J$2:$J$225,MATCH(1,(Ranks!$B4='Point Data'!$B$2:$B$225)*(Ranks!P$1='Point Data'!$D$2:$D$225),0)))</f>
        <v/>
      </c>
      <c r="Q4" s="97">
        <f t="shared" ca="1" si="1"/>
        <v>1232.73</v>
      </c>
      <c r="R4" s="447">
        <f ca="1">Q4/Standings!$Q$27</f>
        <v>94.825384615384621</v>
      </c>
      <c r="S4" s="448">
        <f t="shared" ca="1" si="2"/>
        <v>121.81</v>
      </c>
      <c r="T4" s="103">
        <f t="array" aca="1" ref="T4" ca="1">INDEX('Point Data'!$AP$2:$AP$225,MATCH(1,(Ranks!$B4='Point Data'!$B$2:$B$225)*(Standings!$Q$27='Point Data'!$D$2:$D$225),0))</f>
        <v>5</v>
      </c>
      <c r="U4" s="100">
        <f t="shared" ca="1" si="3"/>
        <v>11</v>
      </c>
      <c r="V4" s="535"/>
      <c r="AU4" s="365" t="str">
        <f>'ESPN Data'!$L6</f>
        <v>Team 3</v>
      </c>
      <c r="AV4" s="143">
        <f t="array" aca="1" ref="AV4" ca="1">INDEX('Point Data'!$L$2:$L$225,MATCH(1,($AU4='Point Data'!$B$2:$B$225)*(Standings!$Q$27='Point Data'!$D$2:$D$225)*(Standings!$K$3='Point Data'!$C$2:$C$225),0))</f>
        <v>32</v>
      </c>
      <c r="AW4" s="488" t="str">
        <f t="array" aca="1" ref="AW4" ca="1">INDEX('Point Data'!$W$2:$W$225,MATCH(1,(Ranks!$AU4='Point Data'!$B$2:$B$225)*(Standings!$Q$27='Point Data'!$D$2:$D$225),0))</f>
        <v>4-3</v>
      </c>
      <c r="AX4" s="488" t="str">
        <f t="array" aca="1" ref="AX4" ca="1">INDEX('Point Data'!$Y$2:$Y$225,MATCH(1,(Ranks!$AU4='Point Data'!$B$2:$B$225)*(Standings!$Q$27='Point Data'!$D$2:$D$225),0))</f>
        <v>1-5</v>
      </c>
    </row>
    <row r="5" spans="2:50">
      <c r="B5" s="206" t="str">
        <f>'Point Data'!$B$44</f>
        <v>Team 4</v>
      </c>
      <c r="C5" s="440">
        <f t="array" aca="1" ref="C5" ca="1">IF(C$1&gt;Standings!$Q$27,"",INDEX('Point Data'!$J$2:$J$225,MATCH(1,(Ranks!$B5='Point Data'!$B$2:$B$225)*(Ranks!C$1='Point Data'!$D$2:$D$225),0)))</f>
        <v>88.33</v>
      </c>
      <c r="D5" s="445">
        <f t="array" aca="1" ref="D5" ca="1">IF(D$1&gt;Standings!$Q$27,"",INDEX('Point Data'!$J$2:$J$225,MATCH(1,(Ranks!$B5='Point Data'!$B$2:$B$225)*(Ranks!D$1='Point Data'!$D$2:$D$225),0)))</f>
        <v>89.02</v>
      </c>
      <c r="E5" s="445">
        <f t="array" aca="1" ref="E5" ca="1">IF(E$1&gt;Standings!$Q$27,"",INDEX('Point Data'!$J$2:$J$225,MATCH(1,(Ranks!$B5='Point Data'!$B$2:$B$225)*(Ranks!E$1='Point Data'!$D$2:$D$225),0)))</f>
        <v>121.5</v>
      </c>
      <c r="F5" s="445">
        <f t="array" aca="1" ref="F5" ca="1">IF(F$1&gt;Standings!$Q$27,"",INDEX('Point Data'!$J$2:$J$225,MATCH(1,(Ranks!$B5='Point Data'!$B$2:$B$225)*(Ranks!F$1='Point Data'!$D$2:$D$225),0)))</f>
        <v>84.76</v>
      </c>
      <c r="G5" s="445">
        <f t="array" aca="1" ref="G5" ca="1">IF(G$1&gt;Standings!$Q$27,"",INDEX('Point Data'!$J$2:$J$225,MATCH(1,(Ranks!$B5='Point Data'!$B$2:$B$225)*(Ranks!G$1='Point Data'!$D$2:$D$225),0)))</f>
        <v>93.88</v>
      </c>
      <c r="H5" s="445">
        <f t="array" aca="1" ref="H5" ca="1">IF(H$1&gt;Standings!$Q$27,"",INDEX('Point Data'!$J$2:$J$225,MATCH(1,(Ranks!$B5='Point Data'!$B$2:$B$225)*(Ranks!H$1='Point Data'!$D$2:$D$225),0)))</f>
        <v>133.94999999999999</v>
      </c>
      <c r="I5" s="445">
        <f t="array" aca="1" ref="I5" ca="1">IF(I$1&gt;Standings!$Q$27,"",INDEX('Point Data'!$J$2:$J$225,MATCH(1,(Ranks!$B5='Point Data'!$B$2:$B$225)*(Ranks!I$1='Point Data'!$D$2:$D$225),0)))</f>
        <v>123.84</v>
      </c>
      <c r="J5" s="445">
        <f t="array" aca="1" ref="J5" ca="1">IF(J$1&gt;Standings!$Q$27,"",INDEX('Point Data'!$J$2:$J$225,MATCH(1,(Ranks!$B5='Point Data'!$B$2:$B$225)*(Ranks!J$1='Point Data'!$D$2:$D$225),0)))</f>
        <v>92.41</v>
      </c>
      <c r="K5" s="445">
        <f t="array" aca="1" ref="K5" ca="1">IF(K$1&gt;Standings!$Q$27,"",INDEX('Point Data'!$J$2:$J$225,MATCH(1,(Ranks!$B5='Point Data'!$B$2:$B$225)*(Ranks!K$1='Point Data'!$D$2:$D$225),0)))</f>
        <v>56.32</v>
      </c>
      <c r="L5" s="445">
        <f t="array" aca="1" ref="L5" ca="1">IF(L$1&gt;Standings!$Q$27,"",INDEX('Point Data'!$J$2:$J$225,MATCH(1,(Ranks!$B5='Point Data'!$B$2:$B$225)*(Ranks!L$1='Point Data'!$D$2:$D$225),0)))</f>
        <v>100.87</v>
      </c>
      <c r="M5" s="445">
        <f t="array" aca="1" ref="M5" ca="1">IF(M$1&gt;Standings!$Q$27,"",INDEX('Point Data'!$J$2:$J$225,MATCH(1,(Ranks!$B5='Point Data'!$B$2:$B$225)*(Ranks!M$1='Point Data'!$D$2:$D$225),0)))</f>
        <v>91.73</v>
      </c>
      <c r="N5" s="445">
        <f t="array" aca="1" ref="N5" ca="1">IF(N$1&gt;Standings!$Q$27,"",INDEX('Point Data'!$J$2:$J$225,MATCH(1,(Ranks!$B5='Point Data'!$B$2:$B$225)*(Ranks!N$1='Point Data'!$D$2:$D$225),0)))</f>
        <v>117.48</v>
      </c>
      <c r="O5" s="445">
        <f t="array" aca="1" ref="O5" ca="1">IF(O$1&gt;Standings!$Q$27,"",INDEX('Point Data'!$J$2:$J$225,MATCH(1,(Ranks!$B5='Point Data'!$B$2:$B$225)*(Ranks!O$1='Point Data'!$D$2:$D$225),0)))</f>
        <v>104.84</v>
      </c>
      <c r="P5" s="446" t="str">
        <f t="array" ref="P5">IF(P$1&gt;Standings!$Q$27,"",INDEX('Point Data'!$J$2:$J$225,MATCH(1,(Ranks!$B5='Point Data'!$B$2:$B$225)*(Ranks!P$1='Point Data'!$D$2:$D$225),0)))</f>
        <v/>
      </c>
      <c r="Q5" s="97">
        <f t="shared" ca="1" si="1"/>
        <v>1298.93</v>
      </c>
      <c r="R5" s="447">
        <f ca="1">Q5/Standings!$Q$27</f>
        <v>99.917692307692306</v>
      </c>
      <c r="S5" s="448">
        <f t="shared" ca="1" si="2"/>
        <v>133.94999999999999</v>
      </c>
      <c r="T5" s="103">
        <f t="array" aca="1" ref="T5" ca="1">INDEX('Point Data'!$AP$2:$AP$225,MATCH(1,(Ranks!$B5='Point Data'!$B$2:$B$225)*(Standings!$Q$27='Point Data'!$D$2:$D$225),0))</f>
        <v>6</v>
      </c>
      <c r="U5" s="100">
        <f t="shared" ca="1" si="3"/>
        <v>9</v>
      </c>
      <c r="V5" s="535"/>
      <c r="W5" s="34" t="s">
        <v>111</v>
      </c>
      <c r="X5" s="34">
        <v>1</v>
      </c>
      <c r="Y5" s="34">
        <v>2</v>
      </c>
      <c r="Z5" s="34">
        <v>3</v>
      </c>
      <c r="AA5" s="34">
        <v>4</v>
      </c>
      <c r="AB5" s="34">
        <v>5</v>
      </c>
      <c r="AC5" s="34">
        <v>6</v>
      </c>
      <c r="AD5" s="34">
        <v>7</v>
      </c>
      <c r="AE5" s="34">
        <v>8</v>
      </c>
      <c r="AF5" s="34">
        <v>9</v>
      </c>
      <c r="AG5" s="34">
        <v>10</v>
      </c>
      <c r="AH5" s="34">
        <v>11</v>
      </c>
      <c r="AI5" s="34">
        <v>12</v>
      </c>
      <c r="AJ5" s="34">
        <v>13</v>
      </c>
      <c r="AK5" s="34"/>
      <c r="AL5" s="34" t="s">
        <v>27</v>
      </c>
      <c r="AM5" s="34" t="s">
        <v>26</v>
      </c>
      <c r="AU5" s="365" t="str">
        <f>'ESPN Data'!$L7</f>
        <v>Team 4</v>
      </c>
      <c r="AV5" s="143">
        <f t="array" aca="1" ref="AV5" ca="1">INDEX('Point Data'!$L$2:$L$225,MATCH(1,($AU5='Point Data'!$B$2:$B$225)*(Standings!$Q$27='Point Data'!$D$2:$D$225)*(Standings!$K$3='Point Data'!$C$2:$C$225),0))</f>
        <v>28</v>
      </c>
      <c r="AW5" s="488" t="str">
        <f t="array" aca="1" ref="AW5" ca="1">INDEX('Point Data'!$W$2:$W$225,MATCH(1,(Ranks!$AU5='Point Data'!$B$2:$B$225)*(Standings!$Q$27='Point Data'!$D$2:$D$225),0))</f>
        <v>5-2</v>
      </c>
      <c r="AX5" s="488" t="str">
        <f t="array" aca="1" ref="AX5" ca="1">INDEX('Point Data'!$Y$2:$Y$225,MATCH(1,(Ranks!$AU5='Point Data'!$B$2:$B$225)*(Standings!$Q$27='Point Data'!$D$2:$D$225),0))</f>
        <v>3-3</v>
      </c>
    </row>
    <row r="6" spans="2:50">
      <c r="B6" s="206" t="str">
        <f>'Point Data'!$B$58</f>
        <v>Team 5</v>
      </c>
      <c r="C6" s="440">
        <f t="array" aca="1" ref="C6" ca="1">IF(C$1&gt;Standings!$Q$27,"",INDEX('Point Data'!$J$2:$J$225,MATCH(1,(Ranks!$B6='Point Data'!$B$2:$B$225)*(Ranks!C$1='Point Data'!$D$2:$D$225),0)))</f>
        <v>96.78</v>
      </c>
      <c r="D6" s="445">
        <f t="array" aca="1" ref="D6" ca="1">IF(D$1&gt;Standings!$Q$27,"",INDEX('Point Data'!$J$2:$J$225,MATCH(1,(Ranks!$B6='Point Data'!$B$2:$B$225)*(Ranks!D$1='Point Data'!$D$2:$D$225),0)))</f>
        <v>98.65</v>
      </c>
      <c r="E6" s="445">
        <f t="array" aca="1" ref="E6" ca="1">IF(E$1&gt;Standings!$Q$27,"",INDEX('Point Data'!$J$2:$J$225,MATCH(1,(Ranks!$B6='Point Data'!$B$2:$B$225)*(Ranks!E$1='Point Data'!$D$2:$D$225),0)))</f>
        <v>155.85</v>
      </c>
      <c r="F6" s="445">
        <f t="array" aca="1" ref="F6" ca="1">IF(F$1&gt;Standings!$Q$27,"",INDEX('Point Data'!$J$2:$J$225,MATCH(1,(Ranks!$B6='Point Data'!$B$2:$B$225)*(Ranks!F$1='Point Data'!$D$2:$D$225),0)))</f>
        <v>114.82</v>
      </c>
      <c r="G6" s="445">
        <f t="array" aca="1" ref="G6" ca="1">IF(G$1&gt;Standings!$Q$27,"",INDEX('Point Data'!$J$2:$J$225,MATCH(1,(Ranks!$B6='Point Data'!$B$2:$B$225)*(Ranks!G$1='Point Data'!$D$2:$D$225),0)))</f>
        <v>105.79</v>
      </c>
      <c r="H6" s="445">
        <f t="array" aca="1" ref="H6" ca="1">IF(H$1&gt;Standings!$Q$27,"",INDEX('Point Data'!$J$2:$J$225,MATCH(1,(Ranks!$B6='Point Data'!$B$2:$B$225)*(Ranks!H$1='Point Data'!$D$2:$D$225),0)))</f>
        <v>94.69</v>
      </c>
      <c r="I6" s="445">
        <f t="array" aca="1" ref="I6" ca="1">IF(I$1&gt;Standings!$Q$27,"",INDEX('Point Data'!$J$2:$J$225,MATCH(1,(Ranks!$B6='Point Data'!$B$2:$B$225)*(Ranks!I$1='Point Data'!$D$2:$D$225),0)))</f>
        <v>154.35</v>
      </c>
      <c r="J6" s="445">
        <f t="array" aca="1" ref="J6" ca="1">IF(J$1&gt;Standings!$Q$27,"",INDEX('Point Data'!$J$2:$J$225,MATCH(1,(Ranks!$B6='Point Data'!$B$2:$B$225)*(Ranks!J$1='Point Data'!$D$2:$D$225),0)))</f>
        <v>121.81</v>
      </c>
      <c r="K6" s="445">
        <f t="array" aca="1" ref="K6" ca="1">IF(K$1&gt;Standings!$Q$27,"",INDEX('Point Data'!$J$2:$J$225,MATCH(1,(Ranks!$B6='Point Data'!$B$2:$B$225)*(Ranks!K$1='Point Data'!$D$2:$D$225),0)))</f>
        <v>157.65</v>
      </c>
      <c r="L6" s="445">
        <f t="array" aca="1" ref="L6" ca="1">IF(L$1&gt;Standings!$Q$27,"",INDEX('Point Data'!$J$2:$J$225,MATCH(1,(Ranks!$B6='Point Data'!$B$2:$B$225)*(Ranks!L$1='Point Data'!$D$2:$D$225),0)))</f>
        <v>112.46</v>
      </c>
      <c r="M6" s="445">
        <f t="array" aca="1" ref="M6" ca="1">IF(M$1&gt;Standings!$Q$27,"",INDEX('Point Data'!$J$2:$J$225,MATCH(1,(Ranks!$B6='Point Data'!$B$2:$B$225)*(Ranks!M$1='Point Data'!$D$2:$D$225),0)))</f>
        <v>127.2</v>
      </c>
      <c r="N6" s="445">
        <f t="array" aca="1" ref="N6" ca="1">IF(N$1&gt;Standings!$Q$27,"",INDEX('Point Data'!$J$2:$J$225,MATCH(1,(Ranks!$B6='Point Data'!$B$2:$B$225)*(Ranks!N$1='Point Data'!$D$2:$D$225),0)))</f>
        <v>88.25</v>
      </c>
      <c r="O6" s="445">
        <f t="array" aca="1" ref="O6" ca="1">IF(O$1&gt;Standings!$Q$27,"",INDEX('Point Data'!$J$2:$J$225,MATCH(1,(Ranks!$B6='Point Data'!$B$2:$B$225)*(Ranks!O$1='Point Data'!$D$2:$D$225),0)))</f>
        <v>90.68</v>
      </c>
      <c r="P6" s="446" t="str">
        <f t="array" ref="P6">IF(P$1&gt;Standings!$Q$27,"",INDEX('Point Data'!$J$2:$J$225,MATCH(1,(Ranks!$B6='Point Data'!$B$2:$B$225)*(Ranks!P$1='Point Data'!$D$2:$D$225),0)))</f>
        <v/>
      </c>
      <c r="Q6" s="97">
        <f t="shared" ca="1" si="1"/>
        <v>1518.9800000000002</v>
      </c>
      <c r="R6" s="447">
        <f ca="1">Q6/Standings!$Q$27</f>
        <v>116.84461538461541</v>
      </c>
      <c r="S6" s="448">
        <f t="shared" ca="1" si="2"/>
        <v>157.65</v>
      </c>
      <c r="T6" s="103">
        <f t="array" aca="1" ref="T6" ca="1">INDEX('Point Data'!$AP$2:$AP$225,MATCH(1,(Ranks!$B6='Point Data'!$B$2:$B$225)*(Standings!$Q$27='Point Data'!$D$2:$D$225),0))</f>
        <v>12</v>
      </c>
      <c r="U6" s="100">
        <f t="shared" ca="1" si="3"/>
        <v>2</v>
      </c>
      <c r="V6" s="535"/>
      <c r="W6" s="209" t="str">
        <f>W2</f>
        <v>Bone</v>
      </c>
      <c r="X6" s="456">
        <f t="shared" ref="X6:AK6" ca="1" si="5">IFERROR(AVERAGE(C$19:C$26),"")</f>
        <v>104.95000000000002</v>
      </c>
      <c r="Y6" s="456">
        <f t="shared" ca="1" si="5"/>
        <v>111.04749999999999</v>
      </c>
      <c r="Z6" s="456">
        <f t="shared" ca="1" si="5"/>
        <v>113.77125000000001</v>
      </c>
      <c r="AA6" s="456">
        <f t="shared" ca="1" si="5"/>
        <v>109.7175</v>
      </c>
      <c r="AB6" s="456">
        <f t="shared" ca="1" si="5"/>
        <v>97.117500000000007</v>
      </c>
      <c r="AC6" s="456">
        <f t="shared" ca="1" si="5"/>
        <v>98.068750000000023</v>
      </c>
      <c r="AD6" s="212">
        <f t="shared" ca="1" si="5"/>
        <v>97.63375000000002</v>
      </c>
      <c r="AE6" s="212">
        <f t="shared" ca="1" si="5"/>
        <v>98.548749999999984</v>
      </c>
      <c r="AF6" s="212">
        <f t="shared" ca="1" si="5"/>
        <v>99.121250000000018</v>
      </c>
      <c r="AG6" s="212">
        <f t="shared" ca="1" si="5"/>
        <v>97.21875</v>
      </c>
      <c r="AH6" s="212">
        <f t="shared" ca="1" si="5"/>
        <v>107.79124999999999</v>
      </c>
      <c r="AI6" s="212">
        <f t="shared" ca="1" si="5"/>
        <v>83.666250000000005</v>
      </c>
      <c r="AJ6" s="212">
        <f t="shared" ca="1" si="5"/>
        <v>102.9675</v>
      </c>
      <c r="AK6" s="212" t="str">
        <f t="shared" si="5"/>
        <v/>
      </c>
      <c r="AL6" s="456">
        <f ca="1">IFERROR(SUM(X6:AJ6),"")</f>
        <v>1321.6200000000001</v>
      </c>
      <c r="AM6" s="456">
        <f ca="1">IFERROR(AVERAGE(X6:AJ6),"")</f>
        <v>101.66307692307693</v>
      </c>
      <c r="AU6" s="365" t="str">
        <f>'ESPN Data'!$L8</f>
        <v>Team 5</v>
      </c>
      <c r="AV6" s="143">
        <f t="array" aca="1" ref="AV6" ca="1">INDEX('Point Data'!$L$2:$L$225,MATCH(1,($AU6='Point Data'!$B$2:$B$225)*(Standings!$Q$27='Point Data'!$D$2:$D$225)*(Standings!$K$3='Point Data'!$C$2:$C$225),0))</f>
        <v>0</v>
      </c>
      <c r="AW6" s="488" t="str">
        <f t="array" aca="1" ref="AW6" ca="1">INDEX('Point Data'!$W$2:$W$225,MATCH(1,(Ranks!$AU6='Point Data'!$B$2:$B$225)*(Standings!$Q$27='Point Data'!$D$2:$D$225),0))</f>
        <v>4-2</v>
      </c>
      <c r="AX6" s="488" t="str">
        <f t="array" aca="1" ref="AX6" ca="1">INDEX('Point Data'!$Y$2:$Y$225,MATCH(1,(Ranks!$AU6='Point Data'!$B$2:$B$225)*(Standings!$Q$27='Point Data'!$D$2:$D$225),0))</f>
        <v>6-1</v>
      </c>
    </row>
    <row r="7" spans="2:50">
      <c r="B7" s="206" t="str">
        <f>'Point Data'!$B$72</f>
        <v>Team 6</v>
      </c>
      <c r="C7" s="440">
        <f t="array" aca="1" ref="C7" ca="1">IF(C$1&gt;Standings!$Q$27,"",INDEX('Point Data'!$J$2:$J$225,MATCH(1,(Ranks!$B7='Point Data'!$B$2:$B$225)*(Ranks!C$1='Point Data'!$D$2:$D$225),0)))</f>
        <v>111.33</v>
      </c>
      <c r="D7" s="445">
        <f t="array" aca="1" ref="D7" ca="1">IF(D$1&gt;Standings!$Q$27,"",INDEX('Point Data'!$J$2:$J$225,MATCH(1,(Ranks!$B7='Point Data'!$B$2:$B$225)*(Ranks!D$1='Point Data'!$D$2:$D$225),0)))</f>
        <v>111.23</v>
      </c>
      <c r="E7" s="445">
        <f t="array" aca="1" ref="E7" ca="1">IF(E$1&gt;Standings!$Q$27,"",INDEX('Point Data'!$J$2:$J$225,MATCH(1,(Ranks!$B7='Point Data'!$B$2:$B$225)*(Ranks!E$1='Point Data'!$D$2:$D$225),0)))</f>
        <v>101.93</v>
      </c>
      <c r="F7" s="445">
        <f t="array" aca="1" ref="F7" ca="1">IF(F$1&gt;Standings!$Q$27,"",INDEX('Point Data'!$J$2:$J$225,MATCH(1,(Ranks!$B7='Point Data'!$B$2:$B$225)*(Ranks!F$1='Point Data'!$D$2:$D$225),0)))</f>
        <v>93.77</v>
      </c>
      <c r="G7" s="445">
        <f t="array" aca="1" ref="G7" ca="1">IF(G$1&gt;Standings!$Q$27,"",INDEX('Point Data'!$J$2:$J$225,MATCH(1,(Ranks!$B7='Point Data'!$B$2:$B$225)*(Ranks!G$1='Point Data'!$D$2:$D$225),0)))</f>
        <v>92.34</v>
      </c>
      <c r="H7" s="445">
        <f t="array" aca="1" ref="H7" ca="1">IF(H$1&gt;Standings!$Q$27,"",INDEX('Point Data'!$J$2:$J$225,MATCH(1,(Ranks!$B7='Point Data'!$B$2:$B$225)*(Ranks!H$1='Point Data'!$D$2:$D$225),0)))</f>
        <v>91.59</v>
      </c>
      <c r="I7" s="445">
        <f t="array" aca="1" ref="I7" ca="1">IF(I$1&gt;Standings!$Q$27,"",INDEX('Point Data'!$J$2:$J$225,MATCH(1,(Ranks!$B7='Point Data'!$B$2:$B$225)*(Ranks!I$1='Point Data'!$D$2:$D$225),0)))</f>
        <v>113.68</v>
      </c>
      <c r="J7" s="445">
        <f t="array" aca="1" ref="J7" ca="1">IF(J$1&gt;Standings!$Q$27,"",INDEX('Point Data'!$J$2:$J$225,MATCH(1,(Ranks!$B7='Point Data'!$B$2:$B$225)*(Ranks!J$1='Point Data'!$D$2:$D$225),0)))</f>
        <v>96.07</v>
      </c>
      <c r="K7" s="445">
        <f t="array" aca="1" ref="K7" ca="1">IF(K$1&gt;Standings!$Q$27,"",INDEX('Point Data'!$J$2:$J$225,MATCH(1,(Ranks!$B7='Point Data'!$B$2:$B$225)*(Ranks!K$1='Point Data'!$D$2:$D$225),0)))</f>
        <v>73.540000000000006</v>
      </c>
      <c r="L7" s="445">
        <f t="array" aca="1" ref="L7" ca="1">IF(L$1&gt;Standings!$Q$27,"",INDEX('Point Data'!$J$2:$J$225,MATCH(1,(Ranks!$B7='Point Data'!$B$2:$B$225)*(Ranks!L$1='Point Data'!$D$2:$D$225),0)))</f>
        <v>128.55000000000001</v>
      </c>
      <c r="M7" s="445">
        <f t="array" aca="1" ref="M7" ca="1">IF(M$1&gt;Standings!$Q$27,"",INDEX('Point Data'!$J$2:$J$225,MATCH(1,(Ranks!$B7='Point Data'!$B$2:$B$225)*(Ranks!M$1='Point Data'!$D$2:$D$225),0)))</f>
        <v>83.37</v>
      </c>
      <c r="N7" s="445">
        <f t="array" aca="1" ref="N7" ca="1">IF(N$1&gt;Standings!$Q$27,"",INDEX('Point Data'!$J$2:$J$225,MATCH(1,(Ranks!$B7='Point Data'!$B$2:$B$225)*(Ranks!N$1='Point Data'!$D$2:$D$225),0)))</f>
        <v>112.45</v>
      </c>
      <c r="O7" s="445">
        <f t="array" aca="1" ref="O7" ca="1">IF(O$1&gt;Standings!$Q$27,"",INDEX('Point Data'!$J$2:$J$225,MATCH(1,(Ranks!$B7='Point Data'!$B$2:$B$225)*(Ranks!O$1='Point Data'!$D$2:$D$225),0)))</f>
        <v>101.68</v>
      </c>
      <c r="P7" s="446" t="str">
        <f t="array" ref="P7">IF(P$1&gt;Standings!$Q$27,"",INDEX('Point Data'!$J$2:$J$225,MATCH(1,(Ranks!$B7='Point Data'!$B$2:$B$225)*(Ranks!P$1='Point Data'!$D$2:$D$225),0)))</f>
        <v/>
      </c>
      <c r="Q7" s="97">
        <f t="shared" ca="1" si="1"/>
        <v>1311.5300000000002</v>
      </c>
      <c r="R7" s="447">
        <f ca="1">Q7/Standings!$Q$27</f>
        <v>100.8869230769231</v>
      </c>
      <c r="S7" s="448">
        <f t="shared" ca="1" si="2"/>
        <v>128.55000000000001</v>
      </c>
      <c r="T7" s="103">
        <f t="array" aca="1" ref="T7" ca="1">INDEX('Point Data'!$AP$2:$AP$225,MATCH(1,(Ranks!$B7='Point Data'!$B$2:$B$225)*(Standings!$Q$27='Point Data'!$D$2:$D$225),0))</f>
        <v>8</v>
      </c>
      <c r="U7" s="100">
        <f t="shared" ca="1" si="3"/>
        <v>7</v>
      </c>
      <c r="V7" s="535"/>
      <c r="W7" s="50" t="str">
        <f>W3</f>
        <v>Wardo</v>
      </c>
      <c r="X7" s="457">
        <f t="shared" ref="X7:AK7" ca="1" si="6">IFERROR(AVERAGE(C$27:C$34),"")</f>
        <v>107.48124999999999</v>
      </c>
      <c r="Y7" s="457">
        <f t="shared" ca="1" si="6"/>
        <v>112.25875000000001</v>
      </c>
      <c r="Z7" s="457">
        <f t="shared" ca="1" si="6"/>
        <v>106.14875000000001</v>
      </c>
      <c r="AA7" s="457">
        <f t="shared" ca="1" si="6"/>
        <v>94.634999999999991</v>
      </c>
      <c r="AB7" s="457">
        <f t="shared" ca="1" si="6"/>
        <v>111.21500000000002</v>
      </c>
      <c r="AC7" s="457">
        <f t="shared" ca="1" si="6"/>
        <v>95.810000000000016</v>
      </c>
      <c r="AD7" s="203">
        <f t="shared" ca="1" si="6"/>
        <v>109.13749999999999</v>
      </c>
      <c r="AE7" s="203">
        <f t="shared" ca="1" si="6"/>
        <v>86.511250000000004</v>
      </c>
      <c r="AF7" s="203">
        <f t="shared" ca="1" si="6"/>
        <v>100.04875</v>
      </c>
      <c r="AG7" s="203">
        <f t="shared" ca="1" si="6"/>
        <v>89.12</v>
      </c>
      <c r="AH7" s="203">
        <f t="shared" ca="1" si="6"/>
        <v>95.173750000000013</v>
      </c>
      <c r="AI7" s="203">
        <f t="shared" ca="1" si="6"/>
        <v>114.815</v>
      </c>
      <c r="AJ7" s="203">
        <f t="shared" ca="1" si="6"/>
        <v>104.54249999999999</v>
      </c>
      <c r="AK7" s="476" t="str">
        <f t="shared" si="6"/>
        <v/>
      </c>
      <c r="AL7" s="457">
        <f ca="1">IFERROR(SUM(X7:AJ7),"")</f>
        <v>1326.8975</v>
      </c>
      <c r="AM7" s="457">
        <f ca="1">IFERROR(AVERAGE(X7:AJ7),"")</f>
        <v>102.06903846153847</v>
      </c>
      <c r="AU7" s="365" t="str">
        <f>'ESPN Data'!$L9</f>
        <v>Team 6</v>
      </c>
      <c r="AV7" s="143">
        <f t="array" aca="1" ref="AV7" ca="1">INDEX('Point Data'!$L$2:$L$225,MATCH(1,($AU7='Point Data'!$B$2:$B$225)*(Standings!$Q$27='Point Data'!$D$2:$D$225)*(Standings!$K$3='Point Data'!$C$2:$C$225),0))</f>
        <v>36</v>
      </c>
      <c r="AW7" s="488" t="str">
        <f t="array" aca="1" ref="AW7" ca="1">INDEX('Point Data'!$W$2:$W$225,MATCH(1,(Ranks!$AU7='Point Data'!$B$2:$B$225)*(Standings!$Q$27='Point Data'!$D$2:$D$225),0))</f>
        <v>4-3</v>
      </c>
      <c r="AX7" s="488" t="str">
        <f t="array" aca="1" ref="AX7" ca="1">INDEX('Point Data'!$Y$2:$Y$225,MATCH(1,(Ranks!$AU7='Point Data'!$B$2:$B$225)*(Standings!$Q$27='Point Data'!$D$2:$D$225),0))</f>
        <v>4-2</v>
      </c>
    </row>
    <row r="8" spans="2:50">
      <c r="B8" s="206" t="str">
        <f>'Point Data'!$B$86</f>
        <v>Team 7</v>
      </c>
      <c r="C8" s="440">
        <f t="array" aca="1" ref="C8" ca="1">IF(C$1&gt;Standings!$Q$27,"",INDEX('Point Data'!$J$2:$J$225,MATCH(1,(Ranks!$B8='Point Data'!$B$2:$B$225)*(Ranks!C$1='Point Data'!$D$2:$D$225),0)))</f>
        <v>103.56</v>
      </c>
      <c r="D8" s="445">
        <f t="array" aca="1" ref="D8" ca="1">IF(D$1&gt;Standings!$Q$27,"",INDEX('Point Data'!$J$2:$J$225,MATCH(1,(Ranks!$B8='Point Data'!$B$2:$B$225)*(Ranks!D$1='Point Data'!$D$2:$D$225),0)))</f>
        <v>117.67</v>
      </c>
      <c r="E8" s="445">
        <f t="array" aca="1" ref="E8" ca="1">IF(E$1&gt;Standings!$Q$27,"",INDEX('Point Data'!$J$2:$J$225,MATCH(1,(Ranks!$B8='Point Data'!$B$2:$B$225)*(Ranks!E$1='Point Data'!$D$2:$D$225),0)))</f>
        <v>139.19</v>
      </c>
      <c r="F8" s="445">
        <f t="array" aca="1" ref="F8" ca="1">IF(F$1&gt;Standings!$Q$27,"",INDEX('Point Data'!$J$2:$J$225,MATCH(1,(Ranks!$B8='Point Data'!$B$2:$B$225)*(Ranks!F$1='Point Data'!$D$2:$D$225),0)))</f>
        <v>87.35</v>
      </c>
      <c r="G8" s="445">
        <f t="array" aca="1" ref="G8" ca="1">IF(G$1&gt;Standings!$Q$27,"",INDEX('Point Data'!$J$2:$J$225,MATCH(1,(Ranks!$B8='Point Data'!$B$2:$B$225)*(Ranks!G$1='Point Data'!$D$2:$D$225),0)))</f>
        <v>113.92</v>
      </c>
      <c r="H8" s="445">
        <f t="array" aca="1" ref="H8" ca="1">IF(H$1&gt;Standings!$Q$27,"",INDEX('Point Data'!$J$2:$J$225,MATCH(1,(Ranks!$B8='Point Data'!$B$2:$B$225)*(Ranks!H$1='Point Data'!$D$2:$D$225),0)))</f>
        <v>113.46</v>
      </c>
      <c r="I8" s="445">
        <f t="array" aca="1" ref="I8" ca="1">IF(I$1&gt;Standings!$Q$27,"",INDEX('Point Data'!$J$2:$J$225,MATCH(1,(Ranks!$B8='Point Data'!$B$2:$B$225)*(Ranks!I$1='Point Data'!$D$2:$D$225),0)))</f>
        <v>143.06</v>
      </c>
      <c r="J8" s="445">
        <f t="array" aca="1" ref="J8" ca="1">IF(J$1&gt;Standings!$Q$27,"",INDEX('Point Data'!$J$2:$J$225,MATCH(1,(Ranks!$B8='Point Data'!$B$2:$B$225)*(Ranks!J$1='Point Data'!$D$2:$D$225),0)))</f>
        <v>90.03</v>
      </c>
      <c r="K8" s="445">
        <f t="array" aca="1" ref="K8" ca="1">IF(K$1&gt;Standings!$Q$27,"",INDEX('Point Data'!$J$2:$J$225,MATCH(1,(Ranks!$B8='Point Data'!$B$2:$B$225)*(Ranks!K$1='Point Data'!$D$2:$D$225),0)))</f>
        <v>90.25</v>
      </c>
      <c r="L8" s="445">
        <f t="array" aca="1" ref="L8" ca="1">IF(L$1&gt;Standings!$Q$27,"",INDEX('Point Data'!$J$2:$J$225,MATCH(1,(Ranks!$B8='Point Data'!$B$2:$B$225)*(Ranks!L$1='Point Data'!$D$2:$D$225),0)))</f>
        <v>104.01</v>
      </c>
      <c r="M8" s="445">
        <f t="array" aca="1" ref="M8" ca="1">IF(M$1&gt;Standings!$Q$27,"",INDEX('Point Data'!$J$2:$J$225,MATCH(1,(Ranks!$B8='Point Data'!$B$2:$B$225)*(Ranks!M$1='Point Data'!$D$2:$D$225),0)))</f>
        <v>121.21</v>
      </c>
      <c r="N8" s="445">
        <f t="array" aca="1" ref="N8" ca="1">IF(N$1&gt;Standings!$Q$27,"",INDEX('Point Data'!$J$2:$J$225,MATCH(1,(Ranks!$B8='Point Data'!$B$2:$B$225)*(Ranks!N$1='Point Data'!$D$2:$D$225),0)))</f>
        <v>98.78</v>
      </c>
      <c r="O8" s="445">
        <f t="array" aca="1" ref="O8" ca="1">IF(O$1&gt;Standings!$Q$27,"",INDEX('Point Data'!$J$2:$J$225,MATCH(1,(Ranks!$B8='Point Data'!$B$2:$B$225)*(Ranks!O$1='Point Data'!$D$2:$D$225),0)))</f>
        <v>84.18</v>
      </c>
      <c r="P8" s="446" t="str">
        <f t="array" ref="P8">IF(P$1&gt;Standings!$Q$27,"",INDEX('Point Data'!$J$2:$J$225,MATCH(1,(Ranks!$B8='Point Data'!$B$2:$B$225)*(Ranks!P$1='Point Data'!$D$2:$D$225),0)))</f>
        <v/>
      </c>
      <c r="Q8" s="97">
        <f t="shared" ca="1" si="1"/>
        <v>1406.67</v>
      </c>
      <c r="R8" s="447">
        <f ca="1">Q8/Standings!$Q$27</f>
        <v>108.20538461538462</v>
      </c>
      <c r="S8" s="448">
        <f t="shared" ca="1" si="2"/>
        <v>143.06</v>
      </c>
      <c r="T8" s="103">
        <f t="array" aca="1" ref="T8" ca="1">INDEX('Point Data'!$AP$2:$AP$225,MATCH(1,(Ranks!$B8='Point Data'!$B$2:$B$225)*(Standings!$Q$27='Point Data'!$D$2:$D$225),0))</f>
        <v>14</v>
      </c>
      <c r="U8" s="100">
        <f t="shared" ca="1" si="3"/>
        <v>6</v>
      </c>
      <c r="V8" s="535"/>
      <c r="AU8" s="365" t="str">
        <f>'ESPN Data'!$L10</f>
        <v>Team 7</v>
      </c>
      <c r="AV8" s="143">
        <f t="array" aca="1" ref="AV8" ca="1">INDEX('Point Data'!$L$2:$L$225,MATCH(1,($AU8='Point Data'!$B$2:$B$225)*(Standings!$Q$27='Point Data'!$D$2:$D$225)*(Standings!$K$3='Point Data'!$C$2:$C$225),0))</f>
        <v>70</v>
      </c>
      <c r="AW8" s="488" t="str">
        <f t="array" aca="1" ref="AW8" ca="1">INDEX('Point Data'!$W$2:$W$225,MATCH(1,(Ranks!$AU8='Point Data'!$B$2:$B$225)*(Standings!$Q$27='Point Data'!$D$2:$D$225),0))</f>
        <v>4-3</v>
      </c>
      <c r="AX8" s="488" t="str">
        <f t="array" aca="1" ref="AX8" ca="1">INDEX('Point Data'!$Y$2:$Y$225,MATCH(1,(Ranks!$AU8='Point Data'!$B$2:$B$225)*(Standings!$Q$27='Point Data'!$D$2:$D$225),0))</f>
        <v>3-3</v>
      </c>
    </row>
    <row r="9" spans="2:50">
      <c r="B9" s="206" t="str">
        <f>'Point Data'!$B$100</f>
        <v>Team 8</v>
      </c>
      <c r="C9" s="440">
        <f t="array" aca="1" ref="C9" ca="1">IF(C$1&gt;Standings!$Q$27,"",INDEX('Point Data'!$J$2:$J$225,MATCH(1,(Ranks!$B9='Point Data'!$B$2:$B$225)*(Ranks!C$1='Point Data'!$D$2:$D$225),0)))</f>
        <v>115.37</v>
      </c>
      <c r="D9" s="445">
        <f t="array" aca="1" ref="D9" ca="1">IF(D$1&gt;Standings!$Q$27,"",INDEX('Point Data'!$J$2:$J$225,MATCH(1,(Ranks!$B9='Point Data'!$B$2:$B$225)*(Ranks!D$1='Point Data'!$D$2:$D$225),0)))</f>
        <v>111.67</v>
      </c>
      <c r="E9" s="445">
        <f t="array" aca="1" ref="E9" ca="1">IF(E$1&gt;Standings!$Q$27,"",INDEX('Point Data'!$J$2:$J$225,MATCH(1,(Ranks!$B9='Point Data'!$B$2:$B$225)*(Ranks!E$1='Point Data'!$D$2:$D$225),0)))</f>
        <v>133.66</v>
      </c>
      <c r="F9" s="445">
        <f t="array" aca="1" ref="F9" ca="1">IF(F$1&gt;Standings!$Q$27,"",INDEX('Point Data'!$J$2:$J$225,MATCH(1,(Ranks!$B9='Point Data'!$B$2:$B$225)*(Ranks!F$1='Point Data'!$D$2:$D$225),0)))</f>
        <v>115.05</v>
      </c>
      <c r="G9" s="445">
        <f t="array" aca="1" ref="G9" ca="1">IF(G$1&gt;Standings!$Q$27,"",INDEX('Point Data'!$J$2:$J$225,MATCH(1,(Ranks!$B9='Point Data'!$B$2:$B$225)*(Ranks!G$1='Point Data'!$D$2:$D$225),0)))</f>
        <v>81.97</v>
      </c>
      <c r="H9" s="445">
        <f t="array" aca="1" ref="H9" ca="1">IF(H$1&gt;Standings!$Q$27,"",INDEX('Point Data'!$J$2:$J$225,MATCH(1,(Ranks!$B9='Point Data'!$B$2:$B$225)*(Ranks!H$1='Point Data'!$D$2:$D$225),0)))</f>
        <v>108.9</v>
      </c>
      <c r="I9" s="445">
        <f t="array" aca="1" ref="I9" ca="1">IF(I$1&gt;Standings!$Q$27,"",INDEX('Point Data'!$J$2:$J$225,MATCH(1,(Ranks!$B9='Point Data'!$B$2:$B$225)*(Ranks!I$1='Point Data'!$D$2:$D$225),0)))</f>
        <v>95.12</v>
      </c>
      <c r="J9" s="445">
        <f t="array" aca="1" ref="J9" ca="1">IF(J$1&gt;Standings!$Q$27,"",INDEX('Point Data'!$J$2:$J$225,MATCH(1,(Ranks!$B9='Point Data'!$B$2:$B$225)*(Ranks!J$1='Point Data'!$D$2:$D$225),0)))</f>
        <v>88.93</v>
      </c>
      <c r="K9" s="445">
        <f t="array" aca="1" ref="K9" ca="1">IF(K$1&gt;Standings!$Q$27,"",INDEX('Point Data'!$J$2:$J$225,MATCH(1,(Ranks!$B9='Point Data'!$B$2:$B$225)*(Ranks!K$1='Point Data'!$D$2:$D$225),0)))</f>
        <v>132.35</v>
      </c>
      <c r="L9" s="445">
        <f t="array" aca="1" ref="L9" ca="1">IF(L$1&gt;Standings!$Q$27,"",INDEX('Point Data'!$J$2:$J$225,MATCH(1,(Ranks!$B9='Point Data'!$B$2:$B$225)*(Ranks!L$1='Point Data'!$D$2:$D$225),0)))</f>
        <v>89.63</v>
      </c>
      <c r="M9" s="445">
        <f t="array" aca="1" ref="M9" ca="1">IF(M$1&gt;Standings!$Q$27,"",INDEX('Point Data'!$J$2:$J$225,MATCH(1,(Ranks!$B9='Point Data'!$B$2:$B$225)*(Ranks!M$1='Point Data'!$D$2:$D$225),0)))</f>
        <v>104.72</v>
      </c>
      <c r="N9" s="445">
        <f t="array" aca="1" ref="N9" ca="1">IF(N$1&gt;Standings!$Q$27,"",INDEX('Point Data'!$J$2:$J$225,MATCH(1,(Ranks!$B9='Point Data'!$B$2:$B$225)*(Ranks!N$1='Point Data'!$D$2:$D$225),0)))</f>
        <v>140.47999999999999</v>
      </c>
      <c r="O9" s="445">
        <f t="array" aca="1" ref="O9" ca="1">IF(O$1&gt;Standings!$Q$27,"",INDEX('Point Data'!$J$2:$J$225,MATCH(1,(Ranks!$B9='Point Data'!$B$2:$B$225)*(Ranks!O$1='Point Data'!$D$2:$D$225),0)))</f>
        <v>102.1</v>
      </c>
      <c r="P9" s="446" t="str">
        <f t="array" ref="P9">IF(P$1&gt;Standings!$Q$27,"",INDEX('Point Data'!$J$2:$J$225,MATCH(1,(Ranks!$B9='Point Data'!$B$2:$B$225)*(Ranks!P$1='Point Data'!$D$2:$D$225),0)))</f>
        <v/>
      </c>
      <c r="Q9" s="97">
        <f t="shared" ca="1" si="1"/>
        <v>1419.95</v>
      </c>
      <c r="R9" s="447">
        <f ca="1">Q9/Standings!$Q$27</f>
        <v>109.22692307692309</v>
      </c>
      <c r="S9" s="448">
        <f t="shared" ca="1" si="2"/>
        <v>140.47999999999999</v>
      </c>
      <c r="T9" s="103">
        <f t="array" aca="1" ref="T9" ca="1">INDEX('Point Data'!$AP$2:$AP$225,MATCH(1,(Ranks!$B9='Point Data'!$B$2:$B$225)*(Standings!$Q$27='Point Data'!$D$2:$D$225),0))</f>
        <v>7</v>
      </c>
      <c r="U9" s="100">
        <f t="shared" ca="1" si="3"/>
        <v>5</v>
      </c>
      <c r="V9" s="535"/>
      <c r="W9" s="201"/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547"/>
      <c r="AL9" s="201"/>
      <c r="AM9" s="201"/>
      <c r="AU9" s="365" t="str">
        <f>'ESPN Data'!$L11</f>
        <v>Team 8</v>
      </c>
      <c r="AV9" s="143">
        <f t="array" aca="1" ref="AV9" ca="1">INDEX('Point Data'!$L$2:$L$225,MATCH(1,($AU9='Point Data'!$B$2:$B$225)*(Standings!$Q$27='Point Data'!$D$2:$D$225)*(Standings!$K$3='Point Data'!$C$2:$C$225),0))</f>
        <v>52</v>
      </c>
      <c r="AW9" s="488" t="str">
        <f t="array" aca="1" ref="AW9" ca="1">INDEX('Point Data'!$W$2:$W$225,MATCH(1,(Ranks!$AU9='Point Data'!$B$2:$B$225)*(Standings!$Q$27='Point Data'!$D$2:$D$225),0))</f>
        <v>4-3</v>
      </c>
      <c r="AX9" s="488" t="str">
        <f t="array" aca="1" ref="AX9" ca="1">INDEX('Point Data'!$Y$2:$Y$225,MATCH(1,(Ranks!$AU9='Point Data'!$B$2:$B$225)*(Standings!$Q$27='Point Data'!$D$2:$D$225),0))</f>
        <v>3-3</v>
      </c>
    </row>
    <row r="10" spans="2:50">
      <c r="B10" s="207" t="str">
        <f>'Point Data'!$B$114</f>
        <v>Team 9</v>
      </c>
      <c r="C10" s="440">
        <f t="array" aca="1" ref="C10" ca="1">IF(C$1&gt;Standings!$Q$27,"",INDEX('Point Data'!$J$2:$J$225,MATCH(1,(Ranks!$B10='Point Data'!$B$2:$B$225)*(Ranks!C$1='Point Data'!$D$2:$D$225),0)))</f>
        <v>150.91999999999999</v>
      </c>
      <c r="D10" s="445">
        <f t="array" aca="1" ref="D10" ca="1">IF(D$1&gt;Standings!$Q$27,"",INDEX('Point Data'!$J$2:$J$225,MATCH(1,(Ranks!$B10='Point Data'!$B$2:$B$225)*(Ranks!D$1='Point Data'!$D$2:$D$225),0)))</f>
        <v>144.41999999999999</v>
      </c>
      <c r="E10" s="445">
        <f t="array" aca="1" ref="E10" ca="1">IF(E$1&gt;Standings!$Q$27,"",INDEX('Point Data'!$J$2:$J$225,MATCH(1,(Ranks!$B10='Point Data'!$B$2:$B$225)*(Ranks!E$1='Point Data'!$D$2:$D$225),0)))</f>
        <v>96.08</v>
      </c>
      <c r="F10" s="445">
        <f t="array" aca="1" ref="F10" ca="1">IF(F$1&gt;Standings!$Q$27,"",INDEX('Point Data'!$J$2:$J$225,MATCH(1,(Ranks!$B10='Point Data'!$B$2:$B$225)*(Ranks!F$1='Point Data'!$D$2:$D$225),0)))</f>
        <v>108.47</v>
      </c>
      <c r="G10" s="445">
        <f t="array" aca="1" ref="G10" ca="1">IF(G$1&gt;Standings!$Q$27,"",INDEX('Point Data'!$J$2:$J$225,MATCH(1,(Ranks!$B10='Point Data'!$B$2:$B$225)*(Ranks!G$1='Point Data'!$D$2:$D$225),0)))</f>
        <v>137.87</v>
      </c>
      <c r="H10" s="445">
        <f t="array" aca="1" ref="H10" ca="1">IF(H$1&gt;Standings!$Q$27,"",INDEX('Point Data'!$J$2:$J$225,MATCH(1,(Ranks!$B10='Point Data'!$B$2:$B$225)*(Ranks!H$1='Point Data'!$D$2:$D$225),0)))</f>
        <v>98.25</v>
      </c>
      <c r="I10" s="445">
        <f t="array" aca="1" ref="I10" ca="1">IF(I$1&gt;Standings!$Q$27,"",INDEX('Point Data'!$J$2:$J$225,MATCH(1,(Ranks!$B10='Point Data'!$B$2:$B$225)*(Ranks!I$1='Point Data'!$D$2:$D$225),0)))</f>
        <v>119.96</v>
      </c>
      <c r="J10" s="445">
        <f t="array" aca="1" ref="J10" ca="1">IF(J$1&gt;Standings!$Q$27,"",INDEX('Point Data'!$J$2:$J$225,MATCH(1,(Ranks!$B10='Point Data'!$B$2:$B$225)*(Ranks!J$1='Point Data'!$D$2:$D$225),0)))</f>
        <v>82.72</v>
      </c>
      <c r="K10" s="445">
        <f t="array" aca="1" ref="K10" ca="1">IF(K$1&gt;Standings!$Q$27,"",INDEX('Point Data'!$J$2:$J$225,MATCH(1,(Ranks!$B10='Point Data'!$B$2:$B$225)*(Ranks!K$1='Point Data'!$D$2:$D$225),0)))</f>
        <v>117.03</v>
      </c>
      <c r="L10" s="445">
        <f t="array" aca="1" ref="L10" ca="1">IF(L$1&gt;Standings!$Q$27,"",INDEX('Point Data'!$J$2:$J$225,MATCH(1,(Ranks!$B10='Point Data'!$B$2:$B$225)*(Ranks!L$1='Point Data'!$D$2:$D$225),0)))</f>
        <v>124.62</v>
      </c>
      <c r="M10" s="445">
        <f t="array" aca="1" ref="M10" ca="1">IF(M$1&gt;Standings!$Q$27,"",INDEX('Point Data'!$J$2:$J$225,MATCH(1,(Ranks!$B10='Point Data'!$B$2:$B$225)*(Ranks!M$1='Point Data'!$D$2:$D$225),0)))</f>
        <v>129.88</v>
      </c>
      <c r="N10" s="445">
        <f t="array" aca="1" ref="N10" ca="1">IF(N$1&gt;Standings!$Q$27,"",INDEX('Point Data'!$J$2:$J$225,MATCH(1,(Ranks!$B10='Point Data'!$B$2:$B$225)*(Ranks!N$1='Point Data'!$D$2:$D$225),0)))</f>
        <v>137.66</v>
      </c>
      <c r="O10" s="445">
        <f t="array" aca="1" ref="O10" ca="1">IF(O$1&gt;Standings!$Q$27,"",INDEX('Point Data'!$J$2:$J$225,MATCH(1,(Ranks!$B10='Point Data'!$B$2:$B$225)*(Ranks!O$1='Point Data'!$D$2:$D$225),0)))</f>
        <v>144.69</v>
      </c>
      <c r="P10" s="446" t="str">
        <f t="array" ref="P10">IF(P$1&gt;Standings!$Q$27,"",INDEX('Point Data'!$J$2:$J$225,MATCH(1,(Ranks!$B10='Point Data'!$B$2:$B$225)*(Ranks!P$1='Point Data'!$D$2:$D$225),0)))</f>
        <v/>
      </c>
      <c r="Q10" s="97">
        <f t="shared" ca="1" si="1"/>
        <v>1592.5700000000004</v>
      </c>
      <c r="R10" s="447">
        <f ca="1">Q10/Standings!$Q$27</f>
        <v>122.50538461538464</v>
      </c>
      <c r="S10" s="448">
        <f t="shared" ca="1" si="2"/>
        <v>150.91999999999999</v>
      </c>
      <c r="T10" s="103">
        <f t="array" aca="1" ref="T10" ca="1">INDEX('Point Data'!$AP$2:$AP$225,MATCH(1,(Ranks!$B10='Point Data'!$B$2:$B$225)*(Standings!$Q$27='Point Data'!$D$2:$D$225),0))</f>
        <v>2</v>
      </c>
      <c r="U10" s="100">
        <f t="shared" ca="1" si="3"/>
        <v>1</v>
      </c>
      <c r="V10" s="535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547"/>
      <c r="AL10" s="393"/>
      <c r="AM10" s="393"/>
      <c r="AU10" s="85" t="str">
        <f>'ESPN Data'!$L12</f>
        <v>Team 9</v>
      </c>
      <c r="AV10" s="143">
        <f t="array" aca="1" ref="AV10" ca="1">INDEX('Point Data'!$L$2:$L$225,MATCH(1,($AU10='Point Data'!$B$2:$B$225)*(Standings!$Q$27='Point Data'!$D$2:$D$225)*(Standings!$U$3='Point Data'!$C$2:$C$225),0))</f>
        <v>48</v>
      </c>
      <c r="AW10" s="488" t="str">
        <f t="array" aca="1" ref="AW10" ca="1">INDEX('Point Data'!$W$2:$W$225,MATCH(1,(Ranks!$AU10='Point Data'!$B$2:$B$225)*(Standings!$Q$27='Point Data'!$D$2:$D$225),0))</f>
        <v>5-2</v>
      </c>
      <c r="AX10" s="488" t="str">
        <f t="array" aca="1" ref="AX10" ca="1">INDEX('Point Data'!$Y$2:$Y$225,MATCH(1,(Ranks!$AU10='Point Data'!$B$2:$B$225)*(Standings!$Q$27='Point Data'!$D$2:$D$225),0))</f>
        <v>4-2</v>
      </c>
    </row>
    <row r="11" spans="2:50">
      <c r="B11" s="207" t="str">
        <f>'Point Data'!$B$128</f>
        <v>Team 10</v>
      </c>
      <c r="C11" s="440">
        <f t="array" aca="1" ref="C11" ca="1">IF(C$1&gt;Standings!$Q$27,"",INDEX('Point Data'!$J$2:$J$225,MATCH(1,(Ranks!$B11='Point Data'!$B$2:$B$225)*(Ranks!C$1='Point Data'!$D$2:$D$225),0)))</f>
        <v>95.97</v>
      </c>
      <c r="D11" s="445">
        <f t="array" aca="1" ref="D11" ca="1">IF(D$1&gt;Standings!$Q$27,"",INDEX('Point Data'!$J$2:$J$225,MATCH(1,(Ranks!$B11='Point Data'!$B$2:$B$225)*(Ranks!D$1='Point Data'!$D$2:$D$225),0)))</f>
        <v>100.51</v>
      </c>
      <c r="E11" s="445">
        <f t="array" aca="1" ref="E11" ca="1">IF(E$1&gt;Standings!$Q$27,"",INDEX('Point Data'!$J$2:$J$225,MATCH(1,(Ranks!$B11='Point Data'!$B$2:$B$225)*(Ranks!E$1='Point Data'!$D$2:$D$225),0)))</f>
        <v>122.66</v>
      </c>
      <c r="F11" s="445">
        <f t="array" aca="1" ref="F11" ca="1">IF(F$1&gt;Standings!$Q$27,"",INDEX('Point Data'!$J$2:$J$225,MATCH(1,(Ranks!$B11='Point Data'!$B$2:$B$225)*(Ranks!F$1='Point Data'!$D$2:$D$225),0)))</f>
        <v>121.55</v>
      </c>
      <c r="G11" s="445">
        <f t="array" aca="1" ref="G11" ca="1">IF(G$1&gt;Standings!$Q$27,"",INDEX('Point Data'!$J$2:$J$225,MATCH(1,(Ranks!$B11='Point Data'!$B$2:$B$225)*(Ranks!G$1='Point Data'!$D$2:$D$225),0)))</f>
        <v>103.25</v>
      </c>
      <c r="H11" s="445">
        <f t="array" aca="1" ref="H11" ca="1">IF(H$1&gt;Standings!$Q$27,"",INDEX('Point Data'!$J$2:$J$225,MATCH(1,(Ranks!$B11='Point Data'!$B$2:$B$225)*(Ranks!H$1='Point Data'!$D$2:$D$225),0)))</f>
        <v>113.1</v>
      </c>
      <c r="I11" s="445">
        <f t="array" aca="1" ref="I11" ca="1">IF(I$1&gt;Standings!$Q$27,"",INDEX('Point Data'!$J$2:$J$225,MATCH(1,(Ranks!$B11='Point Data'!$B$2:$B$225)*(Ranks!I$1='Point Data'!$D$2:$D$225),0)))</f>
        <v>68.06</v>
      </c>
      <c r="J11" s="445">
        <f t="array" aca="1" ref="J11" ca="1">IF(J$1&gt;Standings!$Q$27,"",INDEX('Point Data'!$J$2:$J$225,MATCH(1,(Ranks!$B11='Point Data'!$B$2:$B$225)*(Ranks!J$1='Point Data'!$D$2:$D$225),0)))</f>
        <v>81.650000000000006</v>
      </c>
      <c r="K11" s="445">
        <f t="array" aca="1" ref="K11" ca="1">IF(K$1&gt;Standings!$Q$27,"",INDEX('Point Data'!$J$2:$J$225,MATCH(1,(Ranks!$B11='Point Data'!$B$2:$B$225)*(Ranks!K$1='Point Data'!$D$2:$D$225),0)))</f>
        <v>117.32</v>
      </c>
      <c r="L11" s="445">
        <f t="array" aca="1" ref="L11" ca="1">IF(L$1&gt;Standings!$Q$27,"",INDEX('Point Data'!$J$2:$J$225,MATCH(1,(Ranks!$B11='Point Data'!$B$2:$B$225)*(Ranks!L$1='Point Data'!$D$2:$D$225),0)))</f>
        <v>59.04</v>
      </c>
      <c r="M11" s="445">
        <f t="array" aca="1" ref="M11" ca="1">IF(M$1&gt;Standings!$Q$27,"",INDEX('Point Data'!$J$2:$J$225,MATCH(1,(Ranks!$B11='Point Data'!$B$2:$B$225)*(Ranks!M$1='Point Data'!$D$2:$D$225),0)))</f>
        <v>91.31</v>
      </c>
      <c r="N11" s="445">
        <f t="array" aca="1" ref="N11" ca="1">IF(N$1&gt;Standings!$Q$27,"",INDEX('Point Data'!$J$2:$J$225,MATCH(1,(Ranks!$B11='Point Data'!$B$2:$B$225)*(Ranks!N$1='Point Data'!$D$2:$D$225),0)))</f>
        <v>51.3</v>
      </c>
      <c r="O11" s="445">
        <f t="array" aca="1" ref="O11" ca="1">IF(O$1&gt;Standings!$Q$27,"",INDEX('Point Data'!$J$2:$J$225,MATCH(1,(Ranks!$B11='Point Data'!$B$2:$B$225)*(Ranks!O$1='Point Data'!$D$2:$D$225),0)))</f>
        <v>84.35</v>
      </c>
      <c r="P11" s="446" t="str">
        <f t="array" ref="P11">IF(P$1&gt;Standings!$Q$27,"",INDEX('Point Data'!$J$2:$J$225,MATCH(1,(Ranks!$B11='Point Data'!$B$2:$B$225)*(Ranks!P$1='Point Data'!$D$2:$D$225),0)))</f>
        <v/>
      </c>
      <c r="Q11" s="97">
        <f t="shared" ca="1" si="1"/>
        <v>1210.07</v>
      </c>
      <c r="R11" s="447">
        <f ca="1">Q11/Standings!$Q$27</f>
        <v>93.082307692307694</v>
      </c>
      <c r="S11" s="448">
        <f t="shared" ca="1" si="2"/>
        <v>122.66</v>
      </c>
      <c r="T11" s="103">
        <f t="array" aca="1" ref="T11" ca="1">INDEX('Point Data'!$AP$2:$AP$225,MATCH(1,(Ranks!$B11='Point Data'!$B$2:$B$225)*(Standings!$Q$27='Point Data'!$D$2:$D$225),0))</f>
        <v>13</v>
      </c>
      <c r="U11" s="100">
        <f t="shared" ca="1" si="3"/>
        <v>13</v>
      </c>
      <c r="V11" s="535"/>
      <c r="W11" s="393"/>
      <c r="X11" s="392"/>
      <c r="Y11" s="392"/>
      <c r="Z11" s="392"/>
      <c r="AA11" s="392"/>
      <c r="AB11" s="392"/>
      <c r="AC11" s="392"/>
      <c r="AD11" s="392"/>
      <c r="AE11" s="392"/>
      <c r="AF11" s="392"/>
      <c r="AG11" s="392"/>
      <c r="AH11" s="392"/>
      <c r="AI11" s="392"/>
      <c r="AJ11" s="392"/>
      <c r="AK11" s="548"/>
      <c r="AL11" s="392"/>
      <c r="AM11" s="392"/>
      <c r="AU11" s="85" t="str">
        <f>'ESPN Data'!$L13</f>
        <v>Team 10</v>
      </c>
      <c r="AV11" s="143">
        <f t="array" aca="1" ref="AV11" ca="1">INDEX('Point Data'!$L$2:$L$225,MATCH(1,($AU11='Point Data'!$B$2:$B$225)*(Standings!$Q$27='Point Data'!$D$2:$D$225)*(Standings!$U$3='Point Data'!$C$2:$C$225),0))</f>
        <v>0</v>
      </c>
      <c r="AW11" s="488" t="str">
        <f t="array" aca="1" ref="AW11" ca="1">INDEX('Point Data'!$W$2:$W$225,MATCH(1,(Ranks!$AU11='Point Data'!$B$2:$B$225)*(Standings!$Q$27='Point Data'!$D$2:$D$225),0))</f>
        <v>2-5</v>
      </c>
      <c r="AX11" s="488" t="str">
        <f t="array" aca="1" ref="AX11" ca="1">INDEX('Point Data'!$Y$2:$Y$225,MATCH(1,(Ranks!$AU11='Point Data'!$B$2:$B$225)*(Standings!$Q$27='Point Data'!$D$2:$D$225),0))</f>
        <v>3-3</v>
      </c>
    </row>
    <row r="12" spans="2:50">
      <c r="B12" s="207" t="str">
        <f>'Point Data'!$B$142</f>
        <v>Team 11</v>
      </c>
      <c r="C12" s="440">
        <f t="array" aca="1" ref="C12" ca="1">IF(C$1&gt;Standings!$Q$27,"",INDEX('Point Data'!$J$2:$J$225,MATCH(1,(Ranks!$B12='Point Data'!$B$2:$B$225)*(Ranks!C$1='Point Data'!$D$2:$D$225),0)))</f>
        <v>123.72</v>
      </c>
      <c r="D12" s="445">
        <f t="array" aca="1" ref="D12" ca="1">IF(D$1&gt;Standings!$Q$27,"",INDEX('Point Data'!$J$2:$J$225,MATCH(1,(Ranks!$B12='Point Data'!$B$2:$B$225)*(Ranks!D$1='Point Data'!$D$2:$D$225),0)))</f>
        <v>101.32</v>
      </c>
      <c r="E12" s="445">
        <f t="array" aca="1" ref="E12" ca="1">IF(E$1&gt;Standings!$Q$27,"",INDEX('Point Data'!$J$2:$J$225,MATCH(1,(Ranks!$B12='Point Data'!$B$2:$B$225)*(Ranks!E$1='Point Data'!$D$2:$D$225),0)))</f>
        <v>107.92</v>
      </c>
      <c r="F12" s="445">
        <f t="array" aca="1" ref="F12" ca="1">IF(F$1&gt;Standings!$Q$27,"",INDEX('Point Data'!$J$2:$J$225,MATCH(1,(Ranks!$B12='Point Data'!$B$2:$B$225)*(Ranks!F$1='Point Data'!$D$2:$D$225),0)))</f>
        <v>53.05</v>
      </c>
      <c r="G12" s="445">
        <f t="array" aca="1" ref="G12" ca="1">IF(G$1&gt;Standings!$Q$27,"",INDEX('Point Data'!$J$2:$J$225,MATCH(1,(Ranks!$B12='Point Data'!$B$2:$B$225)*(Ranks!G$1='Point Data'!$D$2:$D$225),0)))</f>
        <v>137.59</v>
      </c>
      <c r="H12" s="445">
        <f t="array" aca="1" ref="H12" ca="1">IF(H$1&gt;Standings!$Q$27,"",INDEX('Point Data'!$J$2:$J$225,MATCH(1,(Ranks!$B12='Point Data'!$B$2:$B$225)*(Ranks!H$1='Point Data'!$D$2:$D$225),0)))</f>
        <v>113.54</v>
      </c>
      <c r="I12" s="445">
        <f t="array" aca="1" ref="I12" ca="1">IF(I$1&gt;Standings!$Q$27,"",INDEX('Point Data'!$J$2:$J$225,MATCH(1,(Ranks!$B12='Point Data'!$B$2:$B$225)*(Ranks!I$1='Point Data'!$D$2:$D$225),0)))</f>
        <v>96.92</v>
      </c>
      <c r="J12" s="445">
        <f t="array" aca="1" ref="J12" ca="1">IF(J$1&gt;Standings!$Q$27,"",INDEX('Point Data'!$J$2:$J$225,MATCH(1,(Ranks!$B12='Point Data'!$B$2:$B$225)*(Ranks!J$1='Point Data'!$D$2:$D$225),0)))</f>
        <v>70.75</v>
      </c>
      <c r="K12" s="445">
        <f t="array" aca="1" ref="K12" ca="1">IF(K$1&gt;Standings!$Q$27,"",INDEX('Point Data'!$J$2:$J$225,MATCH(1,(Ranks!$B12='Point Data'!$B$2:$B$225)*(Ranks!K$1='Point Data'!$D$2:$D$225),0)))</f>
        <v>95.29</v>
      </c>
      <c r="L12" s="445">
        <f t="array" aca="1" ref="L12" ca="1">IF(L$1&gt;Standings!$Q$27,"",INDEX('Point Data'!$J$2:$J$225,MATCH(1,(Ranks!$B12='Point Data'!$B$2:$B$225)*(Ranks!L$1='Point Data'!$D$2:$D$225),0)))</f>
        <v>75.64</v>
      </c>
      <c r="M12" s="445">
        <f t="array" aca="1" ref="M12" ca="1">IF(M$1&gt;Standings!$Q$27,"",INDEX('Point Data'!$J$2:$J$225,MATCH(1,(Ranks!$B12='Point Data'!$B$2:$B$225)*(Ranks!M$1='Point Data'!$D$2:$D$225),0)))</f>
        <v>79.53</v>
      </c>
      <c r="N12" s="445">
        <f t="array" aca="1" ref="N12" ca="1">IF(N$1&gt;Standings!$Q$27,"",INDEX('Point Data'!$J$2:$J$225,MATCH(1,(Ranks!$B12='Point Data'!$B$2:$B$225)*(Ranks!N$1='Point Data'!$D$2:$D$225),0)))</f>
        <v>116.15</v>
      </c>
      <c r="O12" s="445">
        <f t="array" aca="1" ref="O12" ca="1">IF(O$1&gt;Standings!$Q$27,"",INDEX('Point Data'!$J$2:$J$225,MATCH(1,(Ranks!$B12='Point Data'!$B$2:$B$225)*(Ranks!O$1='Point Data'!$D$2:$D$225),0)))</f>
        <v>110.41</v>
      </c>
      <c r="P12" s="446" t="str">
        <f t="array" ref="P12">IF(P$1&gt;Standings!$Q$27,"",INDEX('Point Data'!$J$2:$J$225,MATCH(1,(Ranks!$B12='Point Data'!$B$2:$B$225)*(Ranks!P$1='Point Data'!$D$2:$D$225),0)))</f>
        <v/>
      </c>
      <c r="Q12" s="97">
        <f t="shared" ca="1" si="1"/>
        <v>1281.8300000000002</v>
      </c>
      <c r="R12" s="447">
        <f ca="1">Q12/Standings!$Q$27</f>
        <v>98.602307692307704</v>
      </c>
      <c r="S12" s="448">
        <f t="shared" ca="1" si="2"/>
        <v>137.59</v>
      </c>
      <c r="T12" s="103">
        <f t="array" aca="1" ref="T12" ca="1">INDEX('Point Data'!$AP$2:$AP$225,MATCH(1,(Ranks!$B12='Point Data'!$B$2:$B$225)*(Standings!$Q$27='Point Data'!$D$2:$D$225),0))</f>
        <v>4</v>
      </c>
      <c r="U12" s="100">
        <f t="shared" ca="1" si="3"/>
        <v>10</v>
      </c>
      <c r="V12" s="535"/>
      <c r="W12" s="393"/>
      <c r="X12" s="392"/>
      <c r="Y12" s="392"/>
      <c r="Z12" s="392"/>
      <c r="AA12" s="392"/>
      <c r="AB12" s="392"/>
      <c r="AC12" s="392"/>
      <c r="AD12" s="392"/>
      <c r="AE12" s="392"/>
      <c r="AF12" s="392"/>
      <c r="AG12" s="392"/>
      <c r="AH12" s="392"/>
      <c r="AI12" s="392"/>
      <c r="AJ12" s="392"/>
      <c r="AK12" s="548"/>
      <c r="AL12" s="392"/>
      <c r="AM12" s="392"/>
      <c r="AU12" s="85" t="str">
        <f>'ESPN Data'!$L14</f>
        <v>Team 11</v>
      </c>
      <c r="AV12" s="143">
        <f t="array" aca="1" ref="AV12" ca="1">INDEX('Point Data'!$L$2:$L$225,MATCH(1,($AU12='Point Data'!$B$2:$B$225)*(Standings!$Q$27='Point Data'!$D$2:$D$225)*(Standings!$U$3='Point Data'!$C$2:$C$225),0))</f>
        <v>0</v>
      </c>
      <c r="AW12" s="488" t="str">
        <f t="array" aca="1" ref="AW12" ca="1">INDEX('Point Data'!$W$2:$W$225,MATCH(1,(Ranks!$AU12='Point Data'!$B$2:$B$225)*(Standings!$Q$27='Point Data'!$D$2:$D$225),0))</f>
        <v>5-3</v>
      </c>
      <c r="AX12" s="488" t="str">
        <f t="array" aca="1" ref="AX12" ca="1">INDEX('Point Data'!$Y$2:$Y$225,MATCH(1,(Ranks!$AU12='Point Data'!$B$2:$B$225)*(Standings!$Q$27='Point Data'!$D$2:$D$225),0))</f>
        <v>3-2</v>
      </c>
    </row>
    <row r="13" spans="2:50">
      <c r="B13" s="207" t="str">
        <f>'Point Data'!$B$156</f>
        <v>Team 12</v>
      </c>
      <c r="C13" s="440">
        <f t="array" aca="1" ref="C13" ca="1">IF(C$1&gt;Standings!$Q$27,"",INDEX('Point Data'!$J$2:$J$225,MATCH(1,(Ranks!$B13='Point Data'!$B$2:$B$225)*(Ranks!C$1='Point Data'!$D$2:$D$225),0)))</f>
        <v>97.6</v>
      </c>
      <c r="D13" s="445">
        <f t="array" aca="1" ref="D13" ca="1">IF(D$1&gt;Standings!$Q$27,"",INDEX('Point Data'!$J$2:$J$225,MATCH(1,(Ranks!$B13='Point Data'!$B$2:$B$225)*(Ranks!D$1='Point Data'!$D$2:$D$225),0)))</f>
        <v>123.72</v>
      </c>
      <c r="E13" s="445">
        <f t="array" aca="1" ref="E13" ca="1">IF(E$1&gt;Standings!$Q$27,"",INDEX('Point Data'!$J$2:$J$225,MATCH(1,(Ranks!$B13='Point Data'!$B$2:$B$225)*(Ranks!E$1='Point Data'!$D$2:$D$225),0)))</f>
        <v>84.94</v>
      </c>
      <c r="F13" s="445">
        <f t="array" aca="1" ref="F13" ca="1">IF(F$1&gt;Standings!$Q$27,"",INDEX('Point Data'!$J$2:$J$225,MATCH(1,(Ranks!$B13='Point Data'!$B$2:$B$225)*(Ranks!F$1='Point Data'!$D$2:$D$225),0)))</f>
        <v>108.26</v>
      </c>
      <c r="G13" s="445">
        <f t="array" aca="1" ref="G13" ca="1">IF(G$1&gt;Standings!$Q$27,"",INDEX('Point Data'!$J$2:$J$225,MATCH(1,(Ranks!$B13='Point Data'!$B$2:$B$225)*(Ranks!G$1='Point Data'!$D$2:$D$225),0)))</f>
        <v>84.54</v>
      </c>
      <c r="H13" s="445">
        <f t="array" aca="1" ref="H13" ca="1">IF(H$1&gt;Standings!$Q$27,"",INDEX('Point Data'!$J$2:$J$225,MATCH(1,(Ranks!$B13='Point Data'!$B$2:$B$225)*(Ranks!H$1='Point Data'!$D$2:$D$225),0)))</f>
        <v>84.33</v>
      </c>
      <c r="I13" s="445">
        <f t="array" aca="1" ref="I13" ca="1">IF(I$1&gt;Standings!$Q$27,"",INDEX('Point Data'!$J$2:$J$225,MATCH(1,(Ranks!$B13='Point Data'!$B$2:$B$225)*(Ranks!I$1='Point Data'!$D$2:$D$225),0)))</f>
        <v>75.430000000000007</v>
      </c>
      <c r="J13" s="445">
        <f t="array" aca="1" ref="J13" ca="1">IF(J$1&gt;Standings!$Q$27,"",INDEX('Point Data'!$J$2:$J$225,MATCH(1,(Ranks!$B13='Point Data'!$B$2:$B$225)*(Ranks!J$1='Point Data'!$D$2:$D$225),0)))</f>
        <v>129.93</v>
      </c>
      <c r="K13" s="445">
        <f t="array" aca="1" ref="K13" ca="1">IF(K$1&gt;Standings!$Q$27,"",INDEX('Point Data'!$J$2:$J$225,MATCH(1,(Ranks!$B13='Point Data'!$B$2:$B$225)*(Ranks!K$1='Point Data'!$D$2:$D$225),0)))</f>
        <v>87.25</v>
      </c>
      <c r="L13" s="445">
        <f t="array" aca="1" ref="L13" ca="1">IF(L$1&gt;Standings!$Q$27,"",INDEX('Point Data'!$J$2:$J$225,MATCH(1,(Ranks!$B13='Point Data'!$B$2:$B$225)*(Ranks!L$1='Point Data'!$D$2:$D$225),0)))</f>
        <v>77.27</v>
      </c>
      <c r="M13" s="445">
        <f t="array" aca="1" ref="M13" ca="1">IF(M$1&gt;Standings!$Q$27,"",INDEX('Point Data'!$J$2:$J$225,MATCH(1,(Ranks!$B13='Point Data'!$B$2:$B$225)*(Ranks!M$1='Point Data'!$D$2:$D$225),0)))</f>
        <v>69.319999999999993</v>
      </c>
      <c r="N13" s="445">
        <f t="array" aca="1" ref="N13" ca="1">IF(N$1&gt;Standings!$Q$27,"",INDEX('Point Data'!$J$2:$J$225,MATCH(1,(Ranks!$B13='Point Data'!$B$2:$B$225)*(Ranks!N$1='Point Data'!$D$2:$D$225),0)))</f>
        <v>85.52</v>
      </c>
      <c r="O13" s="445">
        <f t="array" aca="1" ref="O13" ca="1">IF(O$1&gt;Standings!$Q$27,"",INDEX('Point Data'!$J$2:$J$225,MATCH(1,(Ranks!$B13='Point Data'!$B$2:$B$225)*(Ranks!O$1='Point Data'!$D$2:$D$225),0)))</f>
        <v>90.95</v>
      </c>
      <c r="P13" s="446" t="str">
        <f t="array" ref="P13">IF(P$1&gt;Standings!$Q$27,"",INDEX('Point Data'!$J$2:$J$225,MATCH(1,(Ranks!$B13='Point Data'!$B$2:$B$225)*(Ranks!P$1='Point Data'!$D$2:$D$225),0)))</f>
        <v/>
      </c>
      <c r="Q13" s="97">
        <f t="shared" ca="1" si="1"/>
        <v>1199.06</v>
      </c>
      <c r="R13" s="447">
        <f ca="1">Q13/Standings!$Q$27</f>
        <v>92.235384615384618</v>
      </c>
      <c r="S13" s="448">
        <f t="shared" ca="1" si="2"/>
        <v>129.93</v>
      </c>
      <c r="T13" s="103">
        <f t="array" aca="1" ref="T13" ca="1">INDEX('Point Data'!$AP$2:$AP$225,MATCH(1,(Ranks!$B13='Point Data'!$B$2:$B$225)*(Standings!$Q$27='Point Data'!$D$2:$D$225),0))</f>
        <v>10</v>
      </c>
      <c r="U13" s="100">
        <f t="shared" ca="1" si="3"/>
        <v>14</v>
      </c>
      <c r="V13" s="535"/>
      <c r="W13" s="201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548"/>
      <c r="AL13" s="15"/>
      <c r="AM13" s="15"/>
      <c r="AU13" s="85" t="str">
        <f>'ESPN Data'!$L15</f>
        <v>Team 12</v>
      </c>
      <c r="AV13" s="143">
        <f t="array" aca="1" ref="AV13" ca="1">INDEX('Point Data'!$L$2:$L$225,MATCH(1,($AU13='Point Data'!$B$2:$B$225)*(Standings!$Q$27='Point Data'!$D$2:$D$225)*(Standings!$U$3='Point Data'!$C$2:$C$225),0))</f>
        <v>38</v>
      </c>
      <c r="AW13" s="488" t="str">
        <f t="array" aca="1" ref="AW13" ca="1">INDEX('Point Data'!$W$2:$W$225,MATCH(1,(Ranks!$AU13='Point Data'!$B$2:$B$225)*(Standings!$Q$27='Point Data'!$D$2:$D$225),0))</f>
        <v>1-7</v>
      </c>
      <c r="AX13" s="488" t="str">
        <f t="array" aca="1" ref="AX13" ca="1">INDEX('Point Data'!$Y$2:$Y$225,MATCH(1,(Ranks!$AU13='Point Data'!$B$2:$B$225)*(Standings!$Q$27='Point Data'!$D$2:$D$225),0))</f>
        <v>3-2</v>
      </c>
    </row>
    <row r="14" spans="2:50">
      <c r="B14" s="207" t="str">
        <f>'Point Data'!$B$170</f>
        <v>Team 13</v>
      </c>
      <c r="C14" s="440">
        <f t="array" aca="1" ref="C14" ca="1">IF(C$1&gt;Standings!$Q$27,"",INDEX('Point Data'!$J$2:$J$225,MATCH(1,(Ranks!$B14='Point Data'!$B$2:$B$225)*(Ranks!C$1='Point Data'!$D$2:$D$225),0)))</f>
        <v>90.29</v>
      </c>
      <c r="D14" s="445">
        <f t="array" aca="1" ref="D14" ca="1">IF(D$1&gt;Standings!$Q$27,"",INDEX('Point Data'!$J$2:$J$225,MATCH(1,(Ranks!$B14='Point Data'!$B$2:$B$225)*(Ranks!D$1='Point Data'!$D$2:$D$225),0)))</f>
        <v>79.11</v>
      </c>
      <c r="E14" s="445">
        <f t="array" aca="1" ref="E14" ca="1">IF(E$1&gt;Standings!$Q$27,"",INDEX('Point Data'!$J$2:$J$225,MATCH(1,(Ranks!$B14='Point Data'!$B$2:$B$225)*(Ranks!E$1='Point Data'!$D$2:$D$225),0)))</f>
        <v>88.72</v>
      </c>
      <c r="F14" s="445">
        <f t="array" aca="1" ref="F14" ca="1">IF(F$1&gt;Standings!$Q$27,"",INDEX('Point Data'!$J$2:$J$225,MATCH(1,(Ranks!$B14='Point Data'!$B$2:$B$225)*(Ranks!F$1='Point Data'!$D$2:$D$225),0)))</f>
        <v>121.54</v>
      </c>
      <c r="G14" s="445">
        <f t="array" aca="1" ref="G14" ca="1">IF(G$1&gt;Standings!$Q$27,"",INDEX('Point Data'!$J$2:$J$225,MATCH(1,(Ranks!$B14='Point Data'!$B$2:$B$225)*(Ranks!G$1='Point Data'!$D$2:$D$225),0)))</f>
        <v>54.24</v>
      </c>
      <c r="H14" s="445">
        <f t="array" aca="1" ref="H14" ca="1">IF(H$1&gt;Standings!$Q$27,"",INDEX('Point Data'!$J$2:$J$225,MATCH(1,(Ranks!$B14='Point Data'!$B$2:$B$225)*(Ranks!H$1='Point Data'!$D$2:$D$225),0)))</f>
        <v>118.5</v>
      </c>
      <c r="I14" s="445">
        <f t="array" aca="1" ref="I14" ca="1">IF(I$1&gt;Standings!$Q$27,"",INDEX('Point Data'!$J$2:$J$225,MATCH(1,(Ranks!$B14='Point Data'!$B$2:$B$225)*(Ranks!I$1='Point Data'!$D$2:$D$225),0)))</f>
        <v>104.38</v>
      </c>
      <c r="J14" s="445">
        <f t="array" aca="1" ref="J14" ca="1">IF(J$1&gt;Standings!$Q$27,"",INDEX('Point Data'!$J$2:$J$225,MATCH(1,(Ranks!$B14='Point Data'!$B$2:$B$225)*(Ranks!J$1='Point Data'!$D$2:$D$225),0)))</f>
        <v>73.22</v>
      </c>
      <c r="K14" s="445">
        <f t="array" aca="1" ref="K14" ca="1">IF(K$1&gt;Standings!$Q$27,"",INDEX('Point Data'!$J$2:$J$225,MATCH(1,(Ranks!$B14='Point Data'!$B$2:$B$225)*(Ranks!K$1='Point Data'!$D$2:$D$225),0)))</f>
        <v>90.79</v>
      </c>
      <c r="L14" s="445">
        <f t="array" aca="1" ref="L14" ca="1">IF(L$1&gt;Standings!$Q$27,"",INDEX('Point Data'!$J$2:$J$225,MATCH(1,(Ranks!$B14='Point Data'!$B$2:$B$225)*(Ranks!L$1='Point Data'!$D$2:$D$225),0)))</f>
        <v>85.59</v>
      </c>
      <c r="M14" s="445">
        <f t="array" aca="1" ref="M14" ca="1">IF(M$1&gt;Standings!$Q$27,"",INDEX('Point Data'!$J$2:$J$225,MATCH(1,(Ranks!$B14='Point Data'!$B$2:$B$225)*(Ranks!M$1='Point Data'!$D$2:$D$225),0)))</f>
        <v>85.8</v>
      </c>
      <c r="N14" s="445">
        <f t="array" aca="1" ref="N14" ca="1">IF(N$1&gt;Standings!$Q$27,"",INDEX('Point Data'!$J$2:$J$225,MATCH(1,(Ranks!$B14='Point Data'!$B$2:$B$225)*(Ranks!N$1='Point Data'!$D$2:$D$225),0)))</f>
        <v>72.25</v>
      </c>
      <c r="O14" s="445">
        <f t="array" aca="1" ref="O14" ca="1">IF(O$1&gt;Standings!$Q$27,"",INDEX('Point Data'!$J$2:$J$225,MATCH(1,(Ranks!$B14='Point Data'!$B$2:$B$225)*(Ranks!O$1='Point Data'!$D$2:$D$225),0)))</f>
        <v>72.98</v>
      </c>
      <c r="P14" s="446" t="str">
        <f t="array" ref="P14">IF(P$1&gt;Standings!$Q$27,"",INDEX('Point Data'!$J$2:$J$225,MATCH(1,(Ranks!$B14='Point Data'!$B$2:$B$225)*(Ranks!P$1='Point Data'!$D$2:$D$225),0)))</f>
        <v/>
      </c>
      <c r="Q14" s="97">
        <f t="shared" ca="1" si="1"/>
        <v>1137.4100000000001</v>
      </c>
      <c r="R14" s="447">
        <f ca="1">Q14/Standings!$Q$27</f>
        <v>87.493076923076927</v>
      </c>
      <c r="S14" s="448">
        <f t="shared" ca="1" si="2"/>
        <v>121.54</v>
      </c>
      <c r="T14" s="103">
        <f t="array" aca="1" ref="T14" ca="1">INDEX('Point Data'!$AP$2:$AP$225,MATCH(1,(Ranks!$B14='Point Data'!$B$2:$B$225)*(Standings!$Q$27='Point Data'!$D$2:$D$225),0))</f>
        <v>16</v>
      </c>
      <c r="U14" s="100">
        <f t="shared" ca="1" si="3"/>
        <v>16</v>
      </c>
      <c r="V14" s="535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547"/>
      <c r="AL14" s="192"/>
      <c r="AM14" s="192"/>
      <c r="AU14" s="85" t="str">
        <f>'ESPN Data'!$L16</f>
        <v>Team 13</v>
      </c>
      <c r="AV14" s="143">
        <f t="array" aca="1" ref="AV14" ca="1">INDEX('Point Data'!$L$2:$L$225,MATCH(1,($AU14='Point Data'!$B$2:$B$225)*(Standings!$Q$27='Point Data'!$D$2:$D$225)*(Standings!$U$3='Point Data'!$C$2:$C$225),0))</f>
        <v>0</v>
      </c>
      <c r="AW14" s="488" t="str">
        <f t="array" aca="1" ref="AW14" ca="1">INDEX('Point Data'!$W$2:$W$225,MATCH(1,(Ranks!$AU14='Point Data'!$B$2:$B$225)*(Standings!$Q$27='Point Data'!$D$2:$D$225),0))</f>
        <v>3-4</v>
      </c>
      <c r="AX14" s="488" t="str">
        <f t="array" aca="1" ref="AX14" ca="1">INDEX('Point Data'!$Y$2:$Y$225,MATCH(1,(Ranks!$AU14='Point Data'!$B$2:$B$225)*(Standings!$Q$27='Point Data'!$D$2:$D$225),0))</f>
        <v>2-4</v>
      </c>
    </row>
    <row r="15" spans="2:50">
      <c r="B15" s="207" t="str">
        <f>'Point Data'!$B$184</f>
        <v>Team 14</v>
      </c>
      <c r="C15" s="440">
        <f t="array" aca="1" ref="C15" ca="1">IF(C$1&gt;Standings!$Q$27,"",INDEX('Point Data'!$J$2:$J$225,MATCH(1,(Ranks!$B15='Point Data'!$B$2:$B$225)*(Ranks!C$1='Point Data'!$D$2:$D$225),0)))</f>
        <v>114.11</v>
      </c>
      <c r="D15" s="445">
        <f t="array" aca="1" ref="D15" ca="1">IF(D$1&gt;Standings!$Q$27,"",INDEX('Point Data'!$J$2:$J$225,MATCH(1,(Ranks!$B15='Point Data'!$B$2:$B$225)*(Ranks!D$1='Point Data'!$D$2:$D$225),0)))</f>
        <v>131.12</v>
      </c>
      <c r="E15" s="445">
        <f t="array" aca="1" ref="E15" ca="1">IF(E$1&gt;Standings!$Q$27,"",INDEX('Point Data'!$J$2:$J$225,MATCH(1,(Ranks!$B15='Point Data'!$B$2:$B$225)*(Ranks!E$1='Point Data'!$D$2:$D$225),0)))</f>
        <v>120.14</v>
      </c>
      <c r="F15" s="445">
        <f t="array" aca="1" ref="F15" ca="1">IF(F$1&gt;Standings!$Q$27,"",INDEX('Point Data'!$J$2:$J$225,MATCH(1,(Ranks!$B15='Point Data'!$B$2:$B$225)*(Ranks!F$1='Point Data'!$D$2:$D$225),0)))</f>
        <v>106.32</v>
      </c>
      <c r="G15" s="445">
        <f t="array" aca="1" ref="G15" ca="1">IF(G$1&gt;Standings!$Q$27,"",INDEX('Point Data'!$J$2:$J$225,MATCH(1,(Ranks!$B15='Point Data'!$B$2:$B$225)*(Ranks!G$1='Point Data'!$D$2:$D$225),0)))</f>
        <v>99.27</v>
      </c>
      <c r="H15" s="445">
        <f t="array" aca="1" ref="H15" ca="1">IF(H$1&gt;Standings!$Q$27,"",INDEX('Point Data'!$J$2:$J$225,MATCH(1,(Ranks!$B15='Point Data'!$B$2:$B$225)*(Ranks!H$1='Point Data'!$D$2:$D$225),0)))</f>
        <v>68.94</v>
      </c>
      <c r="I15" s="445">
        <f t="array" aca="1" ref="I15" ca="1">IF(I$1&gt;Standings!$Q$27,"",INDEX('Point Data'!$J$2:$J$225,MATCH(1,(Ranks!$B15='Point Data'!$B$2:$B$225)*(Ranks!I$1='Point Data'!$D$2:$D$225),0)))</f>
        <v>90.17</v>
      </c>
      <c r="J15" s="445">
        <f t="array" aca="1" ref="J15" ca="1">IF(J$1&gt;Standings!$Q$27,"",INDEX('Point Data'!$J$2:$J$225,MATCH(1,(Ranks!$B15='Point Data'!$B$2:$B$225)*(Ranks!J$1='Point Data'!$D$2:$D$225),0)))</f>
        <v>131.43</v>
      </c>
      <c r="K15" s="445">
        <f t="array" aca="1" ref="K15" ca="1">IF(K$1&gt;Standings!$Q$27,"",INDEX('Point Data'!$J$2:$J$225,MATCH(1,(Ranks!$B15='Point Data'!$B$2:$B$225)*(Ranks!K$1='Point Data'!$D$2:$D$225),0)))</f>
        <v>135.29</v>
      </c>
      <c r="L15" s="445">
        <f t="array" aca="1" ref="L15" ca="1">IF(L$1&gt;Standings!$Q$27,"",INDEX('Point Data'!$J$2:$J$225,MATCH(1,(Ranks!$B15='Point Data'!$B$2:$B$225)*(Ranks!L$1='Point Data'!$D$2:$D$225),0)))</f>
        <v>128.22</v>
      </c>
      <c r="M15" s="445">
        <f t="array" aca="1" ref="M15" ca="1">IF(M$1&gt;Standings!$Q$27,"",INDEX('Point Data'!$J$2:$J$225,MATCH(1,(Ranks!$B15='Point Data'!$B$2:$B$225)*(Ranks!M$1='Point Data'!$D$2:$D$225),0)))</f>
        <v>120.56</v>
      </c>
      <c r="N15" s="445">
        <f t="array" aca="1" ref="N15" ca="1">IF(N$1&gt;Standings!$Q$27,"",INDEX('Point Data'!$J$2:$J$225,MATCH(1,(Ranks!$B15='Point Data'!$B$2:$B$225)*(Ranks!N$1='Point Data'!$D$2:$D$225),0)))</f>
        <v>106.11</v>
      </c>
      <c r="O15" s="445">
        <f t="array" aca="1" ref="O15" ca="1">IF(O$1&gt;Standings!$Q$27,"",INDEX('Point Data'!$J$2:$J$225,MATCH(1,(Ranks!$B15='Point Data'!$B$2:$B$225)*(Ranks!O$1='Point Data'!$D$2:$D$225),0)))</f>
        <v>114.13</v>
      </c>
      <c r="P15" s="446" t="str">
        <f t="array" ref="P15">IF(P$1&gt;Standings!$Q$27,"",INDEX('Point Data'!$J$2:$J$225,MATCH(1,(Ranks!$B15='Point Data'!$B$2:$B$225)*(Ranks!P$1='Point Data'!$D$2:$D$225),0)))</f>
        <v/>
      </c>
      <c r="Q15" s="97">
        <f t="shared" ca="1" si="1"/>
        <v>1465.81</v>
      </c>
      <c r="R15" s="447">
        <f ca="1">Q15/Standings!$Q$27</f>
        <v>112.75461538461538</v>
      </c>
      <c r="S15" s="448">
        <f t="shared" ca="1" si="2"/>
        <v>135.29</v>
      </c>
      <c r="T15" s="103">
        <f t="array" aca="1" ref="T15" ca="1">INDEX('Point Data'!$AP$2:$AP$225,MATCH(1,(Ranks!$B15='Point Data'!$B$2:$B$225)*(Standings!$Q$27='Point Data'!$D$2:$D$225),0))</f>
        <v>3</v>
      </c>
      <c r="U15" s="100">
        <f t="shared" ca="1" si="3"/>
        <v>3</v>
      </c>
      <c r="V15" s="535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L15" s="73"/>
      <c r="AM15" s="73"/>
      <c r="AU15" s="85" t="str">
        <f>'ESPN Data'!$L17</f>
        <v>Team 14</v>
      </c>
      <c r="AV15" s="143">
        <f t="array" aca="1" ref="AV15" ca="1">INDEX('Point Data'!$L$2:$L$225,MATCH(1,($AU15='Point Data'!$B$2:$B$225)*(Standings!$Q$27='Point Data'!$D$2:$D$225)*(Standings!$U$3='Point Data'!$C$2:$C$225),0))</f>
        <v>60</v>
      </c>
      <c r="AW15" s="488" t="str">
        <f t="array" aca="1" ref="AW15" ca="1">INDEX('Point Data'!$W$2:$W$225,MATCH(1,(Ranks!$AU15='Point Data'!$B$2:$B$225)*(Standings!$Q$27='Point Data'!$D$2:$D$225),0))</f>
        <v>3-3</v>
      </c>
      <c r="AX15" s="488" t="str">
        <f t="array" aca="1" ref="AX15" ca="1">INDEX('Point Data'!$Y$2:$Y$225,MATCH(1,(Ranks!$AU15='Point Data'!$B$2:$B$225)*(Standings!$Q$27='Point Data'!$D$2:$D$225),0))</f>
        <v>4-3</v>
      </c>
    </row>
    <row r="16" spans="2:50">
      <c r="B16" s="207" t="str">
        <f>'Point Data'!$B$198</f>
        <v>Team 15</v>
      </c>
      <c r="C16" s="440">
        <f t="array" aca="1" ref="C16" ca="1">IF(C$1&gt;Standings!$Q$27,"",INDEX('Point Data'!$J$2:$J$225,MATCH(1,(Ranks!$B16='Point Data'!$B$2:$B$225)*(Ranks!C$1='Point Data'!$D$2:$D$225),0)))</f>
        <v>114.82</v>
      </c>
      <c r="D16" s="445">
        <f t="array" aca="1" ref="D16" ca="1">IF(D$1&gt;Standings!$Q$27,"",INDEX('Point Data'!$J$2:$J$225,MATCH(1,(Ranks!$B16='Point Data'!$B$2:$B$225)*(Ranks!D$1='Point Data'!$D$2:$D$225),0)))</f>
        <v>148.19</v>
      </c>
      <c r="E16" s="445">
        <f t="array" aca="1" ref="E16" ca="1">IF(E$1&gt;Standings!$Q$27,"",INDEX('Point Data'!$J$2:$J$225,MATCH(1,(Ranks!$B16='Point Data'!$B$2:$B$225)*(Ranks!E$1='Point Data'!$D$2:$D$225),0)))</f>
        <v>108.7</v>
      </c>
      <c r="F16" s="445">
        <f t="array" aca="1" ref="F16" ca="1">IF(F$1&gt;Standings!$Q$27,"",INDEX('Point Data'!$J$2:$J$225,MATCH(1,(Ranks!$B16='Point Data'!$B$2:$B$225)*(Ranks!F$1='Point Data'!$D$2:$D$225),0)))</f>
        <v>109.16</v>
      </c>
      <c r="G16" s="445">
        <f t="array" aca="1" ref="G16" ca="1">IF(G$1&gt;Standings!$Q$27,"",INDEX('Point Data'!$J$2:$J$225,MATCH(1,(Ranks!$B16='Point Data'!$B$2:$B$225)*(Ranks!G$1='Point Data'!$D$2:$D$225),0)))</f>
        <v>105.13</v>
      </c>
      <c r="H16" s="445">
        <f t="array" aca="1" ref="H16" ca="1">IF(H$1&gt;Standings!$Q$27,"",INDEX('Point Data'!$J$2:$J$225,MATCH(1,(Ranks!$B16='Point Data'!$B$2:$B$225)*(Ranks!H$1='Point Data'!$D$2:$D$225),0)))</f>
        <v>73.25</v>
      </c>
      <c r="I16" s="445">
        <f t="array" aca="1" ref="I16" ca="1">IF(I$1&gt;Standings!$Q$27,"",INDEX('Point Data'!$J$2:$J$225,MATCH(1,(Ranks!$B16='Point Data'!$B$2:$B$225)*(Ranks!I$1='Point Data'!$D$2:$D$225),0)))</f>
        <v>93.71</v>
      </c>
      <c r="J16" s="445">
        <f t="array" aca="1" ref="J16" ca="1">IF(J$1&gt;Standings!$Q$27,"",INDEX('Point Data'!$J$2:$J$225,MATCH(1,(Ranks!$B16='Point Data'!$B$2:$B$225)*(Ranks!J$1='Point Data'!$D$2:$D$225),0)))</f>
        <v>118.52</v>
      </c>
      <c r="K16" s="445">
        <f t="array" aca="1" ref="K16" ca="1">IF(K$1&gt;Standings!$Q$27,"",INDEX('Point Data'!$J$2:$J$225,MATCH(1,(Ranks!$B16='Point Data'!$B$2:$B$225)*(Ranks!K$1='Point Data'!$D$2:$D$225),0)))</f>
        <v>82.36</v>
      </c>
      <c r="L16" s="445">
        <f t="array" aca="1" ref="L16" ca="1">IF(L$1&gt;Standings!$Q$27,"",INDEX('Point Data'!$J$2:$J$225,MATCH(1,(Ranks!$B16='Point Data'!$B$2:$B$225)*(Ranks!L$1='Point Data'!$D$2:$D$225),0)))</f>
        <v>103.51</v>
      </c>
      <c r="M16" s="445">
        <f t="array" aca="1" ref="M16" ca="1">IF(M$1&gt;Standings!$Q$27,"",INDEX('Point Data'!$J$2:$J$225,MATCH(1,(Ranks!$B16='Point Data'!$B$2:$B$225)*(Ranks!M$1='Point Data'!$D$2:$D$225),0)))</f>
        <v>114.22</v>
      </c>
      <c r="N16" s="445">
        <f t="array" aca="1" ref="N16" ca="1">IF(N$1&gt;Standings!$Q$27,"",INDEX('Point Data'!$J$2:$J$225,MATCH(1,(Ranks!$B16='Point Data'!$B$2:$B$225)*(Ranks!N$1='Point Data'!$D$2:$D$225),0)))</f>
        <v>64.040000000000006</v>
      </c>
      <c r="O16" s="445">
        <f t="array" aca="1" ref="O16" ca="1">IF(O$1&gt;Standings!$Q$27,"",INDEX('Point Data'!$J$2:$J$225,MATCH(1,(Ranks!$B16='Point Data'!$B$2:$B$225)*(Ranks!O$1='Point Data'!$D$2:$D$225),0)))</f>
        <v>184.43</v>
      </c>
      <c r="P16" s="446" t="str">
        <f t="array" ref="P16">IF(P$1&gt;Standings!$Q$27,"",INDEX('Point Data'!$J$2:$J$225,MATCH(1,(Ranks!$B16='Point Data'!$B$2:$B$225)*(Ranks!P$1='Point Data'!$D$2:$D$225),0)))</f>
        <v/>
      </c>
      <c r="Q16" s="97">
        <f t="shared" ca="1" si="1"/>
        <v>1420.0400000000002</v>
      </c>
      <c r="R16" s="447">
        <f ca="1">Q16/Standings!$Q$27</f>
        <v>109.23384615384617</v>
      </c>
      <c r="S16" s="448">
        <f t="shared" ca="1" si="2"/>
        <v>184.43</v>
      </c>
      <c r="T16" s="103">
        <f t="array" aca="1" ref="T16" ca="1">INDEX('Point Data'!$AP$2:$AP$225,MATCH(1,(Ranks!$B16='Point Data'!$B$2:$B$225)*(Standings!$Q$27='Point Data'!$D$2:$D$225),0))</f>
        <v>1</v>
      </c>
      <c r="U16" s="100">
        <f t="shared" ca="1" si="3"/>
        <v>4</v>
      </c>
      <c r="V16" s="535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547"/>
      <c r="AL16" s="192"/>
      <c r="AM16" s="192"/>
      <c r="AU16" s="85" t="str">
        <f>'ESPN Data'!$L18</f>
        <v>Team 15</v>
      </c>
      <c r="AV16" s="143">
        <f t="array" aca="1" ref="AV16" ca="1">INDEX('Point Data'!$L$2:$L$225,MATCH(1,($AU16='Point Data'!$B$2:$B$225)*(Standings!$Q$27='Point Data'!$D$2:$D$225)*(Standings!$U$3='Point Data'!$C$2:$C$225),0))</f>
        <v>0</v>
      </c>
      <c r="AW16" s="488" t="str">
        <f t="array" aca="1" ref="AW16" ca="1">INDEX('Point Data'!$W$2:$W$225,MATCH(1,(Ranks!$AU16='Point Data'!$B$2:$B$225)*(Standings!$Q$27='Point Data'!$D$2:$D$225),0))</f>
        <v>3-4</v>
      </c>
      <c r="AX16" s="488" t="str">
        <f t="array" aca="1" ref="AX16" ca="1">INDEX('Point Data'!$Y$2:$Y$225,MATCH(1,(Ranks!$AU16='Point Data'!$B$2:$B$225)*(Standings!$Q$27='Point Data'!$D$2:$D$225),0))</f>
        <v>2-4</v>
      </c>
    </row>
    <row r="17" spans="2:50" ht="16" thickBot="1">
      <c r="B17" s="208" t="str">
        <f>'Point Data'!$B$212</f>
        <v>Team 16</v>
      </c>
      <c r="C17" s="449">
        <f t="array" aca="1" ref="C17" ca="1">IF(C$1&gt;Standings!$Q$27,"",INDEX('Point Data'!$J$2:$J$225,MATCH(1,(Ranks!$B17='Point Data'!$B$2:$B$225)*(Ranks!C$1='Point Data'!$D$2:$D$225),0)))</f>
        <v>84.93</v>
      </c>
      <c r="D17" s="450">
        <f t="array" aca="1" ref="D17" ca="1">IF(D$1&gt;Standings!$Q$27,"",INDEX('Point Data'!$J$2:$J$225,MATCH(1,(Ranks!$B17='Point Data'!$B$2:$B$225)*(Ranks!D$1='Point Data'!$D$2:$D$225),0)))</f>
        <v>108.89</v>
      </c>
      <c r="E17" s="450">
        <f t="array" aca="1" ref="E17" ca="1">IF(E$1&gt;Standings!$Q$27,"",INDEX('Point Data'!$J$2:$J$225,MATCH(1,(Ranks!$B17='Point Data'!$B$2:$B$225)*(Ranks!E$1='Point Data'!$D$2:$D$225),0)))</f>
        <v>102.88</v>
      </c>
      <c r="F17" s="450">
        <f t="array" aca="1" ref="F17" ca="1">IF(F$1&gt;Standings!$Q$27,"",INDEX('Point Data'!$J$2:$J$225,MATCH(1,(Ranks!$B17='Point Data'!$B$2:$B$225)*(Ranks!F$1='Point Data'!$D$2:$D$225),0)))</f>
        <v>99.49</v>
      </c>
      <c r="G17" s="450">
        <f t="array" aca="1" ref="G17" ca="1">IF(G$1&gt;Standings!$Q$27,"",INDEX('Point Data'!$J$2:$J$225,MATCH(1,(Ranks!$B17='Point Data'!$B$2:$B$225)*(Ranks!G$1='Point Data'!$D$2:$D$225),0)))</f>
        <v>133.30000000000001</v>
      </c>
      <c r="H17" s="450">
        <f t="array" aca="1" ref="H17" ca="1">IF(H$1&gt;Standings!$Q$27,"",INDEX('Point Data'!$J$2:$J$225,MATCH(1,(Ranks!$B17='Point Data'!$B$2:$B$225)*(Ranks!H$1='Point Data'!$D$2:$D$225),0)))</f>
        <v>98.77</v>
      </c>
      <c r="I17" s="450">
        <f t="array" aca="1" ref="I17" ca="1">IF(I$1&gt;Standings!$Q$27,"",INDEX('Point Data'!$J$2:$J$225,MATCH(1,(Ranks!$B17='Point Data'!$B$2:$B$225)*(Ranks!I$1='Point Data'!$D$2:$D$225),0)))</f>
        <v>66.319999999999993</v>
      </c>
      <c r="J17" s="450">
        <f t="array" aca="1" ref="J17" ca="1">IF(J$1&gt;Standings!$Q$27,"",INDEX('Point Data'!$J$2:$J$225,MATCH(1,(Ranks!$B17='Point Data'!$B$2:$B$225)*(Ranks!J$1='Point Data'!$D$2:$D$225),0)))</f>
        <v>67.62</v>
      </c>
      <c r="K17" s="450">
        <f t="array" aca="1" ref="K17" ca="1">IF(K$1&gt;Standings!$Q$27,"",INDEX('Point Data'!$J$2:$J$225,MATCH(1,(Ranks!$B17='Point Data'!$B$2:$B$225)*(Ranks!K$1='Point Data'!$D$2:$D$225),0)))</f>
        <v>87.91</v>
      </c>
      <c r="L17" s="450">
        <f t="array" aca="1" ref="L17" ca="1">IF(L$1&gt;Standings!$Q$27,"",INDEX('Point Data'!$J$2:$J$225,MATCH(1,(Ranks!$B17='Point Data'!$B$2:$B$225)*(Ranks!L$1='Point Data'!$D$2:$D$225),0)))</f>
        <v>83.44</v>
      </c>
      <c r="M17" s="450">
        <f t="array" aca="1" ref="M17" ca="1">IF(M$1&gt;Standings!$Q$27,"",INDEX('Point Data'!$J$2:$J$225,MATCH(1,(Ranks!$B17='Point Data'!$B$2:$B$225)*(Ranks!M$1='Point Data'!$D$2:$D$225),0)))</f>
        <v>99.54</v>
      </c>
      <c r="N17" s="450">
        <f t="array" aca="1" ref="N17" ca="1">IF(N$1&gt;Standings!$Q$27,"",INDEX('Point Data'!$J$2:$J$225,MATCH(1,(Ranks!$B17='Point Data'!$B$2:$B$225)*(Ranks!N$1='Point Data'!$D$2:$D$225),0)))</f>
        <v>113.41</v>
      </c>
      <c r="O17" s="450">
        <f t="array" aca="1" ref="O17" ca="1">IF(O$1&gt;Standings!$Q$27,"",INDEX('Point Data'!$J$2:$J$225,MATCH(1,(Ranks!$B17='Point Data'!$B$2:$B$225)*(Ranks!O$1='Point Data'!$D$2:$D$225),0)))</f>
        <v>83.64</v>
      </c>
      <c r="P17" s="451" t="str">
        <f t="array" ref="P17">IF(P$1&gt;Standings!$Q$27,"",INDEX('Point Data'!$J$2:$J$225,MATCH(1,(Ranks!$B17='Point Data'!$B$2:$B$225)*(Ranks!P$1='Point Data'!$D$2:$D$225),0)))</f>
        <v/>
      </c>
      <c r="Q17" s="98">
        <f t="shared" ca="1" si="1"/>
        <v>1230.1400000000001</v>
      </c>
      <c r="R17" s="452">
        <f ca="1">Q17/Standings!$Q$27</f>
        <v>94.626153846153855</v>
      </c>
      <c r="S17" s="453">
        <f t="shared" ca="1" si="2"/>
        <v>133.30000000000001</v>
      </c>
      <c r="T17" s="107">
        <f t="array" aca="1" ref="T17" ca="1">INDEX('Point Data'!$AP$2:$AP$225,MATCH(1,(Ranks!$B17='Point Data'!$B$2:$B$225)*(Standings!$Q$27='Point Data'!$D$2:$D$225),0))</f>
        <v>15</v>
      </c>
      <c r="U17" s="101">
        <f t="shared" ca="1" si="3"/>
        <v>12</v>
      </c>
      <c r="V17" s="535"/>
      <c r="W17" s="192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  <c r="AL17" s="211"/>
      <c r="AM17" s="15"/>
      <c r="AR17" s="23"/>
      <c r="AS17" s="23"/>
      <c r="AU17" s="366" t="str">
        <f>'ESPN Data'!$L19</f>
        <v>Team 16</v>
      </c>
      <c r="AV17" s="143">
        <f t="array" aca="1" ref="AV17" ca="1">INDEX('Point Data'!$L$2:$L$225,MATCH(1,($AU17='Point Data'!$B$2:$B$225)*(Standings!$Q$27='Point Data'!$D$2:$D$225)*(Standings!$U$3='Point Data'!$C$2:$C$225),0))</f>
        <v>0</v>
      </c>
      <c r="AW17" s="488" t="str">
        <f t="array" aca="1" ref="AW17" ca="1">INDEX('Point Data'!$W$2:$W$225,MATCH(1,(Ranks!$AU17='Point Data'!$B$2:$B$225)*(Standings!$Q$27='Point Data'!$D$2:$D$225),0))</f>
        <v>1-5</v>
      </c>
      <c r="AX17" s="488" t="str">
        <f t="array" aca="1" ref="AX17" ca="1">INDEX('Point Data'!$Y$2:$Y$225,MATCH(1,(Ranks!$AU17='Point Data'!$B$2:$B$225)*(Standings!$Q$27='Point Data'!$D$2:$D$225),0))</f>
        <v>3-4</v>
      </c>
    </row>
    <row r="18" spans="2:50" ht="16" thickBot="1">
      <c r="B18" s="35" t="s">
        <v>17</v>
      </c>
      <c r="C18" s="502">
        <v>1</v>
      </c>
      <c r="D18" s="502">
        <v>2</v>
      </c>
      <c r="E18" s="502">
        <v>3</v>
      </c>
      <c r="F18" s="502">
        <v>4</v>
      </c>
      <c r="G18" s="502">
        <v>5</v>
      </c>
      <c r="H18" s="502">
        <v>6</v>
      </c>
      <c r="I18" s="502">
        <v>7</v>
      </c>
      <c r="J18" s="502">
        <v>8</v>
      </c>
      <c r="K18" s="502">
        <v>9</v>
      </c>
      <c r="L18" s="502">
        <v>10</v>
      </c>
      <c r="M18" s="502">
        <v>11</v>
      </c>
      <c r="N18" s="502">
        <v>12</v>
      </c>
      <c r="O18" s="502">
        <v>13</v>
      </c>
      <c r="P18" s="502">
        <v>14</v>
      </c>
      <c r="Q18" s="469" t="s">
        <v>15</v>
      </c>
      <c r="R18" s="454" t="s">
        <v>18</v>
      </c>
      <c r="S18" s="454" t="s">
        <v>114</v>
      </c>
      <c r="T18" s="77" t="s">
        <v>56</v>
      </c>
      <c r="U18" s="78" t="s">
        <v>57</v>
      </c>
      <c r="W18" s="192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  <c r="AL18" s="211"/>
      <c r="AM18" s="15"/>
      <c r="AR18" s="72"/>
      <c r="AS18" s="23"/>
    </row>
    <row r="19" spans="2:50">
      <c r="B19" s="205" t="str">
        <f>'Point Data'!$B$2</f>
        <v>Team 1</v>
      </c>
      <c r="C19" s="455">
        <f t="array" aca="1" ref="C19" ca="1">IF(C$18&gt;Standings!$Q$27,"",INDEX('Point Data'!$K$2:$K$225,MATCH(1,(Ranks!$B19='Point Data'!$B$2:$B$225)*(Ranks!C$18='Point Data'!$D$2:$D$225),0)))</f>
        <v>111.33</v>
      </c>
      <c r="D19" s="441">
        <f t="array" aca="1" ref="D19" ca="1">IF(D$18&gt;Standings!$Q$27,"",INDEX('Point Data'!$K$2:$K$225,MATCH(1,(Ranks!$B19='Point Data'!$B$2:$B$225)*(Ranks!D$18='Point Data'!$D$2:$D$225),0)))</f>
        <v>101.32</v>
      </c>
      <c r="E19" s="441">
        <f t="array" aca="1" ref="E19" ca="1">IF(E$18&gt;Standings!$Q$27,"",INDEX('Point Data'!$K$2:$K$225,MATCH(1,(Ranks!$B19='Point Data'!$B$2:$B$225)*(Ranks!E$18='Point Data'!$D$2:$D$225),0)))</f>
        <v>108.7</v>
      </c>
      <c r="F19" s="441">
        <f t="array" aca="1" ref="F19" ca="1">IF(F$18&gt;Standings!$Q$27,"",INDEX('Point Data'!$K$2:$K$225,MATCH(1,(Ranks!$B19='Point Data'!$B$2:$B$225)*(Ranks!F$18='Point Data'!$D$2:$D$225),0)))</f>
        <v>121.55</v>
      </c>
      <c r="G19" s="441">
        <f t="array" aca="1" ref="G19" ca="1">IF(G$18&gt;Standings!$Q$27,"",INDEX('Point Data'!$K$2:$K$225,MATCH(1,(Ranks!$B19='Point Data'!$B$2:$B$225)*(Ranks!G$18='Point Data'!$D$2:$D$225),0)))</f>
        <v>93.88</v>
      </c>
      <c r="H19" s="441">
        <f t="array" aca="1" ref="H19" ca="1">IF(H$18&gt;Standings!$Q$27,"",INDEX('Point Data'!$K$2:$K$225,MATCH(1,(Ranks!$B19='Point Data'!$B$2:$B$225)*(Ranks!H$18='Point Data'!$D$2:$D$225),0)))</f>
        <v>108.9</v>
      </c>
      <c r="I19" s="441">
        <f t="array" aca="1" ref="I19" ca="1">IF(I$18&gt;Standings!$Q$27,"",INDEX('Point Data'!$K$2:$K$225,MATCH(1,(Ranks!$B19='Point Data'!$B$2:$B$225)*(Ranks!I$18='Point Data'!$D$2:$D$225),0)))</f>
        <v>121.81</v>
      </c>
      <c r="J19" s="441">
        <f t="array" aca="1" ref="J19" ca="1">IF(J$18&gt;Standings!$Q$27,"",INDEX('Point Data'!$K$2:$K$225,MATCH(1,(Ranks!$B19='Point Data'!$B$2:$B$225)*(Ranks!J$18='Point Data'!$D$2:$D$225),0)))</f>
        <v>67.62</v>
      </c>
      <c r="K19" s="441">
        <f t="array" aca="1" ref="K19" ca="1">IF(K$18&gt;Standings!$Q$27,"",INDEX('Point Data'!$K$2:$K$225,MATCH(1,(Ranks!$B19='Point Data'!$B$2:$B$225)*(Ranks!K$18='Point Data'!$D$2:$D$225),0)))</f>
        <v>105.85</v>
      </c>
      <c r="L19" s="441">
        <f t="array" aca="1" ref="L19" ca="1">IF(L$18&gt;Standings!$Q$27,"",INDEX('Point Data'!$K$2:$K$225,MATCH(1,(Ranks!$B19='Point Data'!$B$2:$B$225)*(Ranks!L$18='Point Data'!$D$2:$D$225),0)))</f>
        <v>124.62</v>
      </c>
      <c r="M19" s="441">
        <f t="array" aca="1" ref="M19" ca="1">IF(M$18&gt;Standings!$Q$27,"",INDEX('Point Data'!$K$2:$K$225,MATCH(1,(Ranks!$B19='Point Data'!$B$2:$B$225)*(Ranks!M$18='Point Data'!$D$2:$D$225),0)))</f>
        <v>127.2</v>
      </c>
      <c r="N19" s="441">
        <f t="array" aca="1" ref="N19" ca="1">IF(N$18&gt;Standings!$Q$27,"",INDEX('Point Data'!$K$2:$K$225,MATCH(1,(Ranks!$B19='Point Data'!$B$2:$B$225)*(Ranks!N$18='Point Data'!$D$2:$D$225),0)))</f>
        <v>85.52</v>
      </c>
      <c r="O19" s="441">
        <f t="array" aca="1" ref="O19" ca="1">IF(O$18&gt;Standings!$Q$27,"",INDEX('Point Data'!$K$2:$K$225,MATCH(1,(Ranks!$B19='Point Data'!$B$2:$B$225)*(Ranks!O$18='Point Data'!$D$2:$D$225),0)))</f>
        <v>72.98</v>
      </c>
      <c r="P19" s="442" t="str">
        <f t="array" ref="P19">IF(P$18&gt;Standings!$Q$27,"",INDEX('Point Data'!$K$2:$K$225,MATCH(1,(Ranks!$B19='Point Data'!$B$2:$B$225)*(Ranks!P$18='Point Data'!$D$2:$D$225),0)))</f>
        <v/>
      </c>
      <c r="Q19" s="470">
        <f ca="1">SUM(C19:P19)</f>
        <v>1351.28</v>
      </c>
      <c r="R19" s="443">
        <f ca="1">Q19/Standings!$Q$27</f>
        <v>103.94461538461539</v>
      </c>
      <c r="S19" s="443">
        <f ca="1">MIN(C19:P19)</f>
        <v>67.62</v>
      </c>
      <c r="T19" s="104">
        <f t="array" aca="1" ref="T19" ca="1">INDEX('Point Data'!$AR$2:$AR$225,MATCH(1,(Ranks!$B19='Point Data'!$B$2:$B$225)*(Standings!$Q$27='Point Data'!$D$2:$D$225),0))</f>
        <v>16</v>
      </c>
      <c r="U19" s="104">
        <f ca="1">RANK(Q19,$Q$19:$Q$34)</f>
        <v>7</v>
      </c>
      <c r="V19" s="537"/>
      <c r="AR19" s="23"/>
      <c r="AS19" s="23"/>
      <c r="AW19" s="2" t="s">
        <v>129</v>
      </c>
    </row>
    <row r="20" spans="2:50">
      <c r="B20" s="206" t="str">
        <f>'Point Data'!$B$16</f>
        <v>Team 2</v>
      </c>
      <c r="C20" s="440">
        <f t="array" aca="1" ref="C20" ca="1">IF(C$18&gt;Standings!$Q$27,"",INDEX('Point Data'!$K$2:$K$225,MATCH(1,(Ranks!$B20='Point Data'!$B$2:$B$225)*(Ranks!C$18='Point Data'!$D$2:$D$225),0)))</f>
        <v>95.97</v>
      </c>
      <c r="D20" s="445">
        <f t="array" aca="1" ref="D20" ca="1">IF(D$18&gt;Standings!$Q$27,"",INDEX('Point Data'!$K$2:$K$225,MATCH(1,(Ranks!$B20='Point Data'!$B$2:$B$225)*(Ranks!D$18='Point Data'!$D$2:$D$225),0)))</f>
        <v>111.23</v>
      </c>
      <c r="E20" s="445">
        <f t="array" aca="1" ref="E20" ca="1">IF(E$18&gt;Standings!$Q$27,"",INDEX('Point Data'!$K$2:$K$225,MATCH(1,(Ranks!$B20='Point Data'!$B$2:$B$225)*(Ranks!E$18='Point Data'!$D$2:$D$225),0)))</f>
        <v>120.14</v>
      </c>
      <c r="F20" s="445">
        <f t="array" aca="1" ref="F20" ca="1">IF(F$18&gt;Standings!$Q$27,"",INDEX('Point Data'!$K$2:$K$225,MATCH(1,(Ranks!$B20='Point Data'!$B$2:$B$225)*(Ranks!F$18='Point Data'!$D$2:$D$225),0)))</f>
        <v>87.35</v>
      </c>
      <c r="G20" s="445">
        <f t="array" aca="1" ref="G20" ca="1">IF(G$18&gt;Standings!$Q$27,"",INDEX('Point Data'!$K$2:$K$225,MATCH(1,(Ranks!$B20='Point Data'!$B$2:$B$225)*(Ranks!G$18='Point Data'!$D$2:$D$225),0)))</f>
        <v>137.59</v>
      </c>
      <c r="H20" s="445">
        <f t="array" aca="1" ref="H20" ca="1">IF(H$18&gt;Standings!$Q$27,"",INDEX('Point Data'!$K$2:$K$225,MATCH(1,(Ranks!$B20='Point Data'!$B$2:$B$225)*(Ranks!H$18='Point Data'!$D$2:$D$225),0)))</f>
        <v>73.25</v>
      </c>
      <c r="I20" s="445">
        <f t="array" aca="1" ref="I20" ca="1">IF(I$18&gt;Standings!$Q$27,"",INDEX('Point Data'!$K$2:$K$225,MATCH(1,(Ranks!$B20='Point Data'!$B$2:$B$225)*(Ranks!I$18='Point Data'!$D$2:$D$225),0)))</f>
        <v>75.430000000000007</v>
      </c>
      <c r="J20" s="445">
        <f t="array" aca="1" ref="J20" ca="1">IF(J$18&gt;Standings!$Q$27,"",INDEX('Point Data'!$K$2:$K$225,MATCH(1,(Ranks!$B20='Point Data'!$B$2:$B$225)*(Ranks!J$18='Point Data'!$D$2:$D$225),0)))</f>
        <v>121.81</v>
      </c>
      <c r="K20" s="445">
        <f t="array" aca="1" ref="K20" ca="1">IF(K$18&gt;Standings!$Q$27,"",INDEX('Point Data'!$K$2:$K$225,MATCH(1,(Ranks!$B20='Point Data'!$B$2:$B$225)*(Ranks!K$18='Point Data'!$D$2:$D$225),0)))</f>
        <v>76.75</v>
      </c>
      <c r="L20" s="445">
        <f t="array" aca="1" ref="L20" ca="1">IF(L$18&gt;Standings!$Q$27,"",INDEX('Point Data'!$K$2:$K$225,MATCH(1,(Ranks!$B20='Point Data'!$B$2:$B$225)*(Ranks!L$18='Point Data'!$D$2:$D$225),0)))</f>
        <v>85.59</v>
      </c>
      <c r="M20" s="445">
        <f t="array" aca="1" ref="M20" ca="1">IF(M$18&gt;Standings!$Q$27,"",INDEX('Point Data'!$K$2:$K$225,MATCH(1,(Ranks!$B20='Point Data'!$B$2:$B$225)*(Ranks!M$18='Point Data'!$D$2:$D$225),0)))</f>
        <v>99.54</v>
      </c>
      <c r="N20" s="445">
        <f t="array" aca="1" ref="N20" ca="1">IF(N$18&gt;Standings!$Q$27,"",INDEX('Point Data'!$K$2:$K$225,MATCH(1,(Ranks!$B20='Point Data'!$B$2:$B$225)*(Ranks!N$18='Point Data'!$D$2:$D$225),0)))</f>
        <v>87.75</v>
      </c>
      <c r="O20" s="445">
        <f t="array" aca="1" ref="O20" ca="1">IF(O$18&gt;Standings!$Q$27,"",INDEX('Point Data'!$K$2:$K$225,MATCH(1,(Ranks!$B20='Point Data'!$B$2:$B$225)*(Ranks!O$18='Point Data'!$D$2:$D$225),0)))</f>
        <v>144.69</v>
      </c>
      <c r="P20" s="446" t="str">
        <f t="array" ref="P20">IF(P$18&gt;Standings!$Q$27,"",INDEX('Point Data'!$K$2:$K$225,MATCH(1,(Ranks!$B20='Point Data'!$B$2:$B$225)*(Ranks!P$18='Point Data'!$D$2:$D$225),0)))</f>
        <v/>
      </c>
      <c r="Q20" s="471">
        <f t="shared" ref="Q20:Q34" ca="1" si="7">SUM(C20:P20)</f>
        <v>1317.0900000000001</v>
      </c>
      <c r="R20" s="447">
        <f ca="1">Q20/Standings!$Q$27</f>
        <v>101.31461538461539</v>
      </c>
      <c r="S20" s="447">
        <f t="shared" ref="S20:S34" ca="1" si="8">MIN(C20:P20)</f>
        <v>73.25</v>
      </c>
      <c r="T20" s="105">
        <f t="array" aca="1" ref="T20" ca="1">INDEX('Point Data'!$AR$2:$AR$225,MATCH(1,(Ranks!$B20='Point Data'!$B$2:$B$225)*(Standings!$Q$27='Point Data'!$D$2:$D$225),0))</f>
        <v>2</v>
      </c>
      <c r="U20" s="105">
        <f t="shared" ref="U20:U33" ca="1" si="9">RANK(Q20,$Q$19:$Q$34)</f>
        <v>10</v>
      </c>
      <c r="V20" s="537"/>
      <c r="AR20" s="23"/>
      <c r="AS20" s="23"/>
      <c r="AU20" s="2" t="s">
        <v>79</v>
      </c>
      <c r="AV20" s="2">
        <f ca="1">IF(VALUE(RIGHT(MAX($Q$2:$Q$17),5))&lt;50,ROUNDUP(MAX($Q$2:$Q$17)/100,0)*100,ROUNDUP((MAX($Q$2:$Q$17)+50)/50,0)*50)</f>
        <v>1650</v>
      </c>
      <c r="AW20" s="7"/>
      <c r="AX20" s="2">
        <f t="array" aca="1" ref="AX20" ca="1">INDEX('Point Data'!$AU$2:$AU$225,MATCH(1,(MAX('Point Data'!$AU$2:$AU$225)='Point Data'!$AU$2:$AU$225)*(Standings!$Q$27='Point Data'!$D$2:$D$225),0))</f>
        <v>10651.210000000001</v>
      </c>
    </row>
    <row r="21" spans="2:50">
      <c r="B21" s="206" t="str">
        <f>'Point Data'!$B$30</f>
        <v>Team 3</v>
      </c>
      <c r="C21" s="440">
        <f t="array" aca="1" ref="C21" ca="1">IF(C$18&gt;Standings!$Q$27,"",INDEX('Point Data'!$K$2:$K$225,MATCH(1,(Ranks!$B21='Point Data'!$B$2:$B$225)*(Ranks!C$18='Point Data'!$D$2:$D$225),0)))</f>
        <v>115.37</v>
      </c>
      <c r="D21" s="445">
        <f t="array" aca="1" ref="D21" ca="1">IF(D$18&gt;Standings!$Q$27,"",INDEX('Point Data'!$K$2:$K$225,MATCH(1,(Ranks!$B21='Point Data'!$B$2:$B$225)*(Ranks!D$18='Point Data'!$D$2:$D$225),0)))</f>
        <v>117.67</v>
      </c>
      <c r="E21" s="445">
        <f t="array" aca="1" ref="E21" ca="1">IF(E$18&gt;Standings!$Q$27,"",INDEX('Point Data'!$K$2:$K$225,MATCH(1,(Ranks!$B21='Point Data'!$B$2:$B$225)*(Ranks!E$18='Point Data'!$D$2:$D$225),0)))</f>
        <v>107.92</v>
      </c>
      <c r="F21" s="445">
        <f t="array" aca="1" ref="F21" ca="1">IF(F$18&gt;Standings!$Q$27,"",INDEX('Point Data'!$K$2:$K$225,MATCH(1,(Ranks!$B21='Point Data'!$B$2:$B$225)*(Ranks!F$18='Point Data'!$D$2:$D$225),0)))</f>
        <v>109.16</v>
      </c>
      <c r="G21" s="445">
        <f t="array" aca="1" ref="G21" ca="1">IF(G$18&gt;Standings!$Q$27,"",INDEX('Point Data'!$K$2:$K$225,MATCH(1,(Ranks!$B21='Point Data'!$B$2:$B$225)*(Ranks!G$18='Point Data'!$D$2:$D$225),0)))</f>
        <v>103.25</v>
      </c>
      <c r="H21" s="445">
        <f t="array" aca="1" ref="H21" ca="1">IF(H$18&gt;Standings!$Q$27,"",INDEX('Point Data'!$K$2:$K$225,MATCH(1,(Ranks!$B21='Point Data'!$B$2:$B$225)*(Ranks!H$18='Point Data'!$D$2:$D$225),0)))</f>
        <v>133.94999999999999</v>
      </c>
      <c r="I21" s="445">
        <f t="array" aca="1" ref="I21" ca="1">IF(I$18&gt;Standings!$Q$27,"",INDEX('Point Data'!$K$2:$K$225,MATCH(1,(Ranks!$B21='Point Data'!$B$2:$B$225)*(Ranks!I$18='Point Data'!$D$2:$D$225),0)))</f>
        <v>96.84</v>
      </c>
      <c r="J21" s="445">
        <f t="array" aca="1" ref="J21" ca="1">IF(J$18&gt;Standings!$Q$27,"",INDEX('Point Data'!$K$2:$K$225,MATCH(1,(Ranks!$B21='Point Data'!$B$2:$B$225)*(Ranks!J$18='Point Data'!$D$2:$D$225),0)))</f>
        <v>73.22</v>
      </c>
      <c r="K21" s="445">
        <f t="array" aca="1" ref="K21" ca="1">IF(K$18&gt;Standings!$Q$27,"",INDEX('Point Data'!$K$2:$K$225,MATCH(1,(Ranks!$B21='Point Data'!$B$2:$B$225)*(Ranks!K$18='Point Data'!$D$2:$D$225),0)))</f>
        <v>87.25</v>
      </c>
      <c r="L21" s="445">
        <f t="array" aca="1" ref="L21" ca="1">IF(L$18&gt;Standings!$Q$27,"",INDEX('Point Data'!$K$2:$K$225,MATCH(1,(Ranks!$B21='Point Data'!$B$2:$B$225)*(Ranks!L$18='Point Data'!$D$2:$D$225),0)))</f>
        <v>112.46</v>
      </c>
      <c r="M21" s="445">
        <f t="array" aca="1" ref="M21" ca="1">IF(M$18&gt;Standings!$Q$27,"",INDEX('Point Data'!$K$2:$K$225,MATCH(1,(Ranks!$B21='Point Data'!$B$2:$B$225)*(Ranks!M$18='Point Data'!$D$2:$D$225),0)))</f>
        <v>129.88</v>
      </c>
      <c r="N21" s="445">
        <f t="array" aca="1" ref="N21" ca="1">IF(N$18&gt;Standings!$Q$27,"",INDEX('Point Data'!$K$2:$K$225,MATCH(1,(Ranks!$B21='Point Data'!$B$2:$B$225)*(Ranks!N$18='Point Data'!$D$2:$D$225),0)))</f>
        <v>97.24</v>
      </c>
      <c r="O21" s="445">
        <f t="array" aca="1" ref="O21" ca="1">IF(O$18&gt;Standings!$Q$27,"",INDEX('Point Data'!$K$2:$K$225,MATCH(1,(Ranks!$B21='Point Data'!$B$2:$B$225)*(Ranks!O$18='Point Data'!$D$2:$D$225),0)))</f>
        <v>83.64</v>
      </c>
      <c r="P21" s="446" t="str">
        <f t="array" ref="P21">IF(P$18&gt;Standings!$Q$27,"",INDEX('Point Data'!$K$2:$K$225,MATCH(1,(Ranks!$B21='Point Data'!$B$2:$B$225)*(Ranks!P$18='Point Data'!$D$2:$D$225),0)))</f>
        <v/>
      </c>
      <c r="Q21" s="471">
        <f t="shared" ca="1" si="7"/>
        <v>1367.85</v>
      </c>
      <c r="R21" s="447">
        <f ca="1">Q21/Standings!$Q$27</f>
        <v>105.21923076923076</v>
      </c>
      <c r="S21" s="447">
        <f t="shared" ca="1" si="8"/>
        <v>73.22</v>
      </c>
      <c r="T21" s="105">
        <f t="array" aca="1" ref="T21" ca="1">INDEX('Point Data'!$AR$2:$AR$225,MATCH(1,(Ranks!$B21='Point Data'!$B$2:$B$225)*(Standings!$Q$27='Point Data'!$D$2:$D$225),0))</f>
        <v>15</v>
      </c>
      <c r="U21" s="105">
        <f t="shared" ca="1" si="9"/>
        <v>6</v>
      </c>
      <c r="V21" s="537"/>
      <c r="AU21" s="130" t="s">
        <v>128</v>
      </c>
      <c r="AV21" s="2">
        <f ca="1">ROUNDUP(AX20/500,0)*500</f>
        <v>11000</v>
      </c>
    </row>
    <row r="22" spans="2:50">
      <c r="B22" s="206" t="str">
        <f>'Point Data'!$B$44</f>
        <v>Team 4</v>
      </c>
      <c r="C22" s="440">
        <f t="array" aca="1" ref="C22" ca="1">IF(C$18&gt;Standings!$Q$27,"",INDEX('Point Data'!$K$2:$K$225,MATCH(1,(Ranks!$B22='Point Data'!$B$2:$B$225)*(Ranks!C$18='Point Data'!$D$2:$D$225),0)))</f>
        <v>84.93</v>
      </c>
      <c r="D22" s="445">
        <f t="array" aca="1" ref="D22" ca="1">IF(D$18&gt;Standings!$Q$27,"",INDEX('Point Data'!$K$2:$K$225,MATCH(1,(Ranks!$B22='Point Data'!$B$2:$B$225)*(Ranks!D$18='Point Data'!$D$2:$D$225),0)))</f>
        <v>98.65</v>
      </c>
      <c r="E22" s="445">
        <f t="array" aca="1" ref="E22" ca="1">IF(E$18&gt;Standings!$Q$27,"",INDEX('Point Data'!$K$2:$K$225,MATCH(1,(Ranks!$B22='Point Data'!$B$2:$B$225)*(Ranks!E$18='Point Data'!$D$2:$D$225),0)))</f>
        <v>84.94</v>
      </c>
      <c r="F22" s="445">
        <f t="array" aca="1" ref="F22" ca="1">IF(F$18&gt;Standings!$Q$27,"",INDEX('Point Data'!$K$2:$K$225,MATCH(1,(Ranks!$B22='Point Data'!$B$2:$B$225)*(Ranks!F$18='Point Data'!$D$2:$D$225),0)))</f>
        <v>121.54</v>
      </c>
      <c r="G22" s="445">
        <f t="array" aca="1" ref="G22" ca="1">IF(G$18&gt;Standings!$Q$27,"",INDEX('Point Data'!$K$2:$K$225,MATCH(1,(Ranks!$B22='Point Data'!$B$2:$B$225)*(Ranks!G$18='Point Data'!$D$2:$D$225),0)))</f>
        <v>66.3</v>
      </c>
      <c r="H22" s="445">
        <f t="array" aca="1" ref="H22" ca="1">IF(H$18&gt;Standings!$Q$27,"",INDEX('Point Data'!$K$2:$K$225,MATCH(1,(Ranks!$B22='Point Data'!$B$2:$B$225)*(Ranks!H$18='Point Data'!$D$2:$D$225),0)))</f>
        <v>67.37</v>
      </c>
      <c r="I22" s="445">
        <f t="array" aca="1" ref="I22" ca="1">IF(I$18&gt;Standings!$Q$27,"",INDEX('Point Data'!$K$2:$K$225,MATCH(1,(Ranks!$B22='Point Data'!$B$2:$B$225)*(Ranks!I$18='Point Data'!$D$2:$D$225),0)))</f>
        <v>90.17</v>
      </c>
      <c r="J22" s="445">
        <f t="array" aca="1" ref="J22" ca="1">IF(J$18&gt;Standings!$Q$27,"",INDEX('Point Data'!$K$2:$K$225,MATCH(1,(Ranks!$B22='Point Data'!$B$2:$B$225)*(Ranks!J$18='Point Data'!$D$2:$D$225),0)))</f>
        <v>96.07</v>
      </c>
      <c r="K22" s="445">
        <f t="array" aca="1" ref="K22" ca="1">IF(K$18&gt;Standings!$Q$27,"",INDEX('Point Data'!$K$2:$K$225,MATCH(1,(Ranks!$B22='Point Data'!$B$2:$B$225)*(Ranks!K$18='Point Data'!$D$2:$D$225),0)))</f>
        <v>95.29</v>
      </c>
      <c r="L22" s="445">
        <f t="array" aca="1" ref="L22" ca="1">IF(L$18&gt;Standings!$Q$27,"",INDEX('Point Data'!$K$2:$K$225,MATCH(1,(Ranks!$B22='Point Data'!$B$2:$B$225)*(Ranks!L$18='Point Data'!$D$2:$D$225),0)))</f>
        <v>104.01</v>
      </c>
      <c r="M22" s="445">
        <f t="array" aca="1" ref="M22" ca="1">IF(M$18&gt;Standings!$Q$27,"",INDEX('Point Data'!$K$2:$K$225,MATCH(1,(Ranks!$B22='Point Data'!$B$2:$B$225)*(Ranks!M$18='Point Data'!$D$2:$D$225),0)))</f>
        <v>91.31</v>
      </c>
      <c r="N22" s="445">
        <f t="array" aca="1" ref="N22" ca="1">IF(N$18&gt;Standings!$Q$27,"",INDEX('Point Data'!$K$2:$K$225,MATCH(1,(Ranks!$B22='Point Data'!$B$2:$B$225)*(Ranks!N$18='Point Data'!$D$2:$D$225),0)))</f>
        <v>64.040000000000006</v>
      </c>
      <c r="O22" s="445">
        <f t="array" aca="1" ref="O22" ca="1">IF(O$18&gt;Standings!$Q$27,"",INDEX('Point Data'!$K$2:$K$225,MATCH(1,(Ranks!$B22='Point Data'!$B$2:$B$225)*(Ranks!O$18='Point Data'!$D$2:$D$225),0)))</f>
        <v>102.1</v>
      </c>
      <c r="P22" s="446" t="str">
        <f t="array" ref="P22">IF(P$18&gt;Standings!$Q$27,"",INDEX('Point Data'!$K$2:$K$225,MATCH(1,(Ranks!$B22='Point Data'!$B$2:$B$225)*(Ranks!P$18='Point Data'!$D$2:$D$225),0)))</f>
        <v/>
      </c>
      <c r="Q22" s="471">
        <f t="shared" ca="1" si="7"/>
        <v>1166.7199999999998</v>
      </c>
      <c r="R22" s="447">
        <f ca="1">Q22/Standings!$Q$27</f>
        <v>89.74769230769229</v>
      </c>
      <c r="S22" s="447">
        <f t="shared" ca="1" si="8"/>
        <v>64.040000000000006</v>
      </c>
      <c r="T22" s="105">
        <f t="array" aca="1" ref="T22" ca="1">INDEX('Point Data'!$AR$2:$AR$225,MATCH(1,(Ranks!$B22='Point Data'!$B$2:$B$225)*(Standings!$Q$27='Point Data'!$D$2:$D$225),0))</f>
        <v>7</v>
      </c>
      <c r="U22" s="105">
        <f t="shared" ca="1" si="9"/>
        <v>16</v>
      </c>
      <c r="V22" s="537"/>
      <c r="W22" s="210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548"/>
      <c r="AL22" s="15"/>
      <c r="AM22" s="15"/>
    </row>
    <row r="23" spans="2:50">
      <c r="B23" s="206" t="str">
        <f>'Point Data'!$B$58</f>
        <v>Team 5</v>
      </c>
      <c r="C23" s="440">
        <f t="array" aca="1" ref="C23" ca="1">IF(C$18&gt;Standings!$Q$27,"",INDEX('Point Data'!$K$2:$K$225,MATCH(1,(Ranks!$B23='Point Data'!$B$2:$B$225)*(Ranks!C$18='Point Data'!$D$2:$D$225),0)))</f>
        <v>123.72</v>
      </c>
      <c r="D23" s="445">
        <f t="array" aca="1" ref="D23" ca="1">IF(D$18&gt;Standings!$Q$27,"",INDEX('Point Data'!$K$2:$K$225,MATCH(1,(Ranks!$B23='Point Data'!$B$2:$B$225)*(Ranks!D$18='Point Data'!$D$2:$D$225),0)))</f>
        <v>89.02</v>
      </c>
      <c r="E23" s="445">
        <f t="array" aca="1" ref="E23" ca="1">IF(E$18&gt;Standings!$Q$27,"",INDEX('Point Data'!$K$2:$K$225,MATCH(1,(Ranks!$B23='Point Data'!$B$2:$B$225)*(Ranks!E$18='Point Data'!$D$2:$D$225),0)))</f>
        <v>133.66</v>
      </c>
      <c r="F23" s="445">
        <f t="array" aca="1" ref="F23" ca="1">IF(F$18&gt;Standings!$Q$27,"",INDEX('Point Data'!$K$2:$K$225,MATCH(1,(Ranks!$B23='Point Data'!$B$2:$B$225)*(Ranks!F$18='Point Data'!$D$2:$D$225),0)))</f>
        <v>93.77</v>
      </c>
      <c r="G23" s="445">
        <f t="array" aca="1" ref="G23" ca="1">IF(G$18&gt;Standings!$Q$27,"",INDEX('Point Data'!$K$2:$K$225,MATCH(1,(Ranks!$B23='Point Data'!$B$2:$B$225)*(Ranks!G$18='Point Data'!$D$2:$D$225),0)))</f>
        <v>99.27</v>
      </c>
      <c r="H23" s="445">
        <f t="array" aca="1" ref="H23" ca="1">IF(H$18&gt;Standings!$Q$27,"",INDEX('Point Data'!$K$2:$K$225,MATCH(1,(Ranks!$B23='Point Data'!$B$2:$B$225)*(Ranks!H$18='Point Data'!$D$2:$D$225),0)))</f>
        <v>113.46</v>
      </c>
      <c r="I23" s="445">
        <f t="array" aca="1" ref="I23" ca="1">IF(I$18&gt;Standings!$Q$27,"",INDEX('Point Data'!$K$2:$K$225,MATCH(1,(Ranks!$B23='Point Data'!$B$2:$B$225)*(Ranks!I$18='Point Data'!$D$2:$D$225),0)))</f>
        <v>119.96</v>
      </c>
      <c r="J23" s="445">
        <f t="array" aca="1" ref="J23" ca="1">IF(J$18&gt;Standings!$Q$27,"",INDEX('Point Data'!$K$2:$K$225,MATCH(1,(Ranks!$B23='Point Data'!$B$2:$B$225)*(Ranks!J$18='Point Data'!$D$2:$D$225),0)))</f>
        <v>87.31</v>
      </c>
      <c r="K23" s="445">
        <f t="array" aca="1" ref="K23" ca="1">IF(K$18&gt;Standings!$Q$27,"",INDEX('Point Data'!$K$2:$K$225,MATCH(1,(Ranks!$B23='Point Data'!$B$2:$B$225)*(Ranks!K$18='Point Data'!$D$2:$D$225),0)))</f>
        <v>87.91</v>
      </c>
      <c r="L23" s="445">
        <f t="array" aca="1" ref="L23" ca="1">IF(L$18&gt;Standings!$Q$27,"",INDEX('Point Data'!$K$2:$K$225,MATCH(1,(Ranks!$B23='Point Data'!$B$2:$B$225)*(Ranks!L$18='Point Data'!$D$2:$D$225),0)))</f>
        <v>71.05</v>
      </c>
      <c r="M23" s="445">
        <f t="array" aca="1" ref="M23" ca="1">IF(M$18&gt;Standings!$Q$27,"",INDEX('Point Data'!$K$2:$K$225,MATCH(1,(Ranks!$B23='Point Data'!$B$2:$B$225)*(Ranks!M$18='Point Data'!$D$2:$D$225),0)))</f>
        <v>100.09</v>
      </c>
      <c r="N23" s="445">
        <f t="array" aca="1" ref="N23" ca="1">IF(N$18&gt;Standings!$Q$27,"",INDEX('Point Data'!$K$2:$K$225,MATCH(1,(Ranks!$B23='Point Data'!$B$2:$B$225)*(Ranks!N$18='Point Data'!$D$2:$D$225),0)))</f>
        <v>72.25</v>
      </c>
      <c r="O23" s="445">
        <f t="array" aca="1" ref="O23" ca="1">IF(O$18&gt;Standings!$Q$27,"",INDEX('Point Data'!$K$2:$K$225,MATCH(1,(Ranks!$B23='Point Data'!$B$2:$B$225)*(Ranks!O$18='Point Data'!$D$2:$D$225),0)))</f>
        <v>90.95</v>
      </c>
      <c r="P23" s="446" t="str">
        <f t="array" ref="P23">IF(P$18&gt;Standings!$Q$27,"",INDEX('Point Data'!$K$2:$K$225,MATCH(1,(Ranks!$B23='Point Data'!$B$2:$B$225)*(Ranks!P$18='Point Data'!$D$2:$D$225),0)))</f>
        <v/>
      </c>
      <c r="Q23" s="471">
        <f t="shared" ca="1" si="7"/>
        <v>1282.42</v>
      </c>
      <c r="R23" s="447">
        <f ca="1">Q23/Standings!$Q$27</f>
        <v>98.64769230769231</v>
      </c>
      <c r="S23" s="447">
        <f t="shared" ca="1" si="8"/>
        <v>71.05</v>
      </c>
      <c r="T23" s="105">
        <f t="array" aca="1" ref="T23" ca="1">INDEX('Point Data'!$AR$2:$AR$225,MATCH(1,(Ranks!$B23='Point Data'!$B$2:$B$225)*(Standings!$Q$27='Point Data'!$D$2:$D$225),0))</f>
        <v>10</v>
      </c>
      <c r="U23" s="105">
        <f t="shared" ca="1" si="9"/>
        <v>11</v>
      </c>
      <c r="V23" s="537"/>
      <c r="W23" s="210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548"/>
      <c r="AL23" s="15"/>
      <c r="AM23" s="15"/>
      <c r="AU23" s="130"/>
    </row>
    <row r="24" spans="2:50">
      <c r="B24" s="206" t="str">
        <f>'Point Data'!$B$72</f>
        <v>Team 6</v>
      </c>
      <c r="C24" s="440">
        <f t="array" aca="1" ref="C24" ca="1">IF(C$18&gt;Standings!$Q$27,"",INDEX('Point Data'!$K$2:$K$225,MATCH(1,(Ranks!$B24='Point Data'!$B$2:$B$225)*(Ranks!C$18='Point Data'!$D$2:$D$225),0)))</f>
        <v>106.84</v>
      </c>
      <c r="D24" s="445">
        <f t="array" aca="1" ref="D24" ca="1">IF(D$18&gt;Standings!$Q$27,"",INDEX('Point Data'!$K$2:$K$225,MATCH(1,(Ranks!$B24='Point Data'!$B$2:$B$225)*(Ranks!D$18='Point Data'!$D$2:$D$225),0)))</f>
        <v>116.04</v>
      </c>
      <c r="E24" s="445">
        <f t="array" aca="1" ref="E24" ca="1">IF(E$18&gt;Standings!$Q$27,"",INDEX('Point Data'!$K$2:$K$225,MATCH(1,(Ranks!$B24='Point Data'!$B$2:$B$225)*(Ranks!E$18='Point Data'!$D$2:$D$225),0)))</f>
        <v>96.08</v>
      </c>
      <c r="F24" s="445">
        <f t="array" aca="1" ref="F24" ca="1">IF(F$18&gt;Standings!$Q$27,"",INDEX('Point Data'!$K$2:$K$225,MATCH(1,(Ranks!$B24='Point Data'!$B$2:$B$225)*(Ranks!F$18='Point Data'!$D$2:$D$225),0)))</f>
        <v>114.82</v>
      </c>
      <c r="G24" s="445">
        <f t="array" aca="1" ref="G24" ca="1">IF(G$18&gt;Standings!$Q$27,"",INDEX('Point Data'!$K$2:$K$225,MATCH(1,(Ranks!$B24='Point Data'!$B$2:$B$225)*(Ranks!G$18='Point Data'!$D$2:$D$225),0)))</f>
        <v>84.54</v>
      </c>
      <c r="H24" s="445">
        <f t="array" aca="1" ref="H24" ca="1">IF(H$18&gt;Standings!$Q$27,"",INDEX('Point Data'!$K$2:$K$225,MATCH(1,(Ranks!$B24='Point Data'!$B$2:$B$225)*(Ranks!H$18='Point Data'!$D$2:$D$225),0)))</f>
        <v>118.5</v>
      </c>
      <c r="I24" s="445">
        <f t="array" aca="1" ref="I24" ca="1">IF(I$18&gt;Standings!$Q$27,"",INDEX('Point Data'!$K$2:$K$225,MATCH(1,(Ranks!$B24='Point Data'!$B$2:$B$225)*(Ranks!I$18='Point Data'!$D$2:$D$225),0)))</f>
        <v>95.12</v>
      </c>
      <c r="J24" s="445">
        <f t="array" aca="1" ref="J24" ca="1">IF(J$18&gt;Standings!$Q$27,"",INDEX('Point Data'!$K$2:$K$225,MATCH(1,(Ranks!$B24='Point Data'!$B$2:$B$225)*(Ranks!J$18='Point Data'!$D$2:$D$225),0)))</f>
        <v>92.41</v>
      </c>
      <c r="K24" s="445">
        <f t="array" aca="1" ref="K24" ca="1">IF(K$18&gt;Standings!$Q$27,"",INDEX('Point Data'!$K$2:$K$225,MATCH(1,(Ranks!$B24='Point Data'!$B$2:$B$225)*(Ranks!K$18='Point Data'!$D$2:$D$225),0)))</f>
        <v>117.32</v>
      </c>
      <c r="L24" s="445">
        <f t="array" aca="1" ref="L24" ca="1">IF(L$18&gt;Standings!$Q$27,"",INDEX('Point Data'!$K$2:$K$225,MATCH(1,(Ranks!$B24='Point Data'!$B$2:$B$225)*(Ranks!L$18='Point Data'!$D$2:$D$225),0)))</f>
        <v>103.51</v>
      </c>
      <c r="M24" s="445">
        <f t="array" aca="1" ref="M24" ca="1">IF(M$18&gt;Standings!$Q$27,"",INDEX('Point Data'!$K$2:$K$225,MATCH(1,(Ranks!$B24='Point Data'!$B$2:$B$225)*(Ranks!M$18='Point Data'!$D$2:$D$225),0)))</f>
        <v>79.53</v>
      </c>
      <c r="N24" s="445">
        <f t="array" aca="1" ref="N24" ca="1">IF(N$18&gt;Standings!$Q$27,"",INDEX('Point Data'!$K$2:$K$225,MATCH(1,(Ranks!$B24='Point Data'!$B$2:$B$225)*(Ranks!N$18='Point Data'!$D$2:$D$225),0)))</f>
        <v>98.78</v>
      </c>
      <c r="O24" s="445">
        <f t="array" aca="1" ref="O24" ca="1">IF(O$18&gt;Standings!$Q$27,"",INDEX('Point Data'!$K$2:$K$225,MATCH(1,(Ranks!$B24='Point Data'!$B$2:$B$225)*(Ranks!O$18='Point Data'!$D$2:$D$225),0)))</f>
        <v>114.13</v>
      </c>
      <c r="P24" s="446" t="str">
        <f t="array" ref="P24">IF(P$18&gt;Standings!$Q$27,"",INDEX('Point Data'!$K$2:$K$225,MATCH(1,(Ranks!$B24='Point Data'!$B$2:$B$225)*(Ranks!P$18='Point Data'!$D$2:$D$225),0)))</f>
        <v/>
      </c>
      <c r="Q24" s="471">
        <f t="shared" ca="1" si="7"/>
        <v>1337.62</v>
      </c>
      <c r="R24" s="447">
        <f ca="1">Q24/Standings!$Q$27</f>
        <v>102.89384615384614</v>
      </c>
      <c r="S24" s="447">
        <f t="shared" ca="1" si="8"/>
        <v>79.53</v>
      </c>
      <c r="T24" s="105">
        <f t="array" aca="1" ref="T24" ca="1">INDEX('Point Data'!$AR$2:$AR$225,MATCH(1,(Ranks!$B24='Point Data'!$B$2:$B$225)*(Standings!$Q$27='Point Data'!$D$2:$D$225),0))</f>
        <v>3</v>
      </c>
      <c r="U24" s="105">
        <f t="shared" ca="1" si="9"/>
        <v>8</v>
      </c>
      <c r="V24" s="537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547"/>
      <c r="AL24" s="192"/>
      <c r="AM24" s="192"/>
      <c r="AU24" s="130" t="s">
        <v>80</v>
      </c>
      <c r="AV24" s="2">
        <f ca="1">ROUNDUP(MAX(Standings!BB83:BB98)/10,0)*10</f>
        <v>150</v>
      </c>
    </row>
    <row r="25" spans="2:50">
      <c r="B25" s="206" t="str">
        <f>'Point Data'!$B$86</f>
        <v>Team 7</v>
      </c>
      <c r="C25" s="440">
        <f t="array" aca="1" ref="C25" ca="1">IF(C$18&gt;Standings!$Q$27,"",INDEX('Point Data'!$K$2:$K$225,MATCH(1,(Ranks!$B25='Point Data'!$B$2:$B$225)*(Ranks!C$18='Point Data'!$D$2:$D$225),0)))</f>
        <v>97.6</v>
      </c>
      <c r="D25" s="445">
        <f t="array" aca="1" ref="D25" ca="1">IF(D$18&gt;Standings!$Q$27,"",INDEX('Point Data'!$K$2:$K$225,MATCH(1,(Ranks!$B25='Point Data'!$B$2:$B$225)*(Ranks!D$18='Point Data'!$D$2:$D$225),0)))</f>
        <v>110.03</v>
      </c>
      <c r="E25" s="445">
        <f t="array" aca="1" ref="E25" ca="1">IF(E$18&gt;Standings!$Q$27,"",INDEX('Point Data'!$K$2:$K$225,MATCH(1,(Ranks!$B25='Point Data'!$B$2:$B$225)*(Ranks!E$18='Point Data'!$D$2:$D$225),0)))</f>
        <v>102.88</v>
      </c>
      <c r="F25" s="445">
        <f t="array" aca="1" ref="F25" ca="1">IF(F$18&gt;Standings!$Q$27,"",INDEX('Point Data'!$K$2:$K$225,MATCH(1,(Ranks!$B25='Point Data'!$B$2:$B$225)*(Ranks!F$18='Point Data'!$D$2:$D$225),0)))</f>
        <v>121.29</v>
      </c>
      <c r="G25" s="445">
        <f t="array" aca="1" ref="G25" ca="1">IF(G$18&gt;Standings!$Q$27,"",INDEX('Point Data'!$K$2:$K$225,MATCH(1,(Ranks!$B25='Point Data'!$B$2:$B$225)*(Ranks!G$18='Point Data'!$D$2:$D$225),0)))</f>
        <v>137.87</v>
      </c>
      <c r="H25" s="445">
        <f t="array" aca="1" ref="H25" ca="1">IF(H$18&gt;Standings!$Q$27,"",INDEX('Point Data'!$K$2:$K$225,MATCH(1,(Ranks!$B25='Point Data'!$B$2:$B$225)*(Ranks!H$18='Point Data'!$D$2:$D$225),0)))</f>
        <v>94.69</v>
      </c>
      <c r="I25" s="445">
        <f t="array" aca="1" ref="I25" ca="1">IF(I$18&gt;Standings!$Q$27,"",INDEX('Point Data'!$K$2:$K$225,MATCH(1,(Ranks!$B25='Point Data'!$B$2:$B$225)*(Ranks!I$18='Point Data'!$D$2:$D$225),0)))</f>
        <v>68.06</v>
      </c>
      <c r="J25" s="445">
        <f t="array" aca="1" ref="J25" ca="1">IF(J$18&gt;Standings!$Q$27,"",INDEX('Point Data'!$K$2:$K$225,MATCH(1,(Ranks!$B25='Point Data'!$B$2:$B$225)*(Ranks!J$18='Point Data'!$D$2:$D$225),0)))</f>
        <v>118.52</v>
      </c>
      <c r="K25" s="445">
        <f t="array" aca="1" ref="K25" ca="1">IF(K$18&gt;Standings!$Q$27,"",INDEX('Point Data'!$K$2:$K$225,MATCH(1,(Ranks!$B25='Point Data'!$B$2:$B$225)*(Ranks!K$18='Point Data'!$D$2:$D$225),0)))</f>
        <v>132.35</v>
      </c>
      <c r="L25" s="445">
        <f t="array" aca="1" ref="L25" ca="1">IF(L$18&gt;Standings!$Q$27,"",INDEX('Point Data'!$K$2:$K$225,MATCH(1,(Ranks!$B25='Point Data'!$B$2:$B$225)*(Ranks!L$18='Point Data'!$D$2:$D$225),0)))</f>
        <v>100.87</v>
      </c>
      <c r="M25" s="445">
        <f t="array" aca="1" ref="M25" ca="1">IF(M$18&gt;Standings!$Q$27,"",INDEX('Point Data'!$K$2:$K$225,MATCH(1,(Ranks!$B25='Point Data'!$B$2:$B$225)*(Ranks!M$18='Point Data'!$D$2:$D$225),0)))</f>
        <v>120.56</v>
      </c>
      <c r="N25" s="445">
        <f t="array" aca="1" ref="N25" ca="1">IF(N$18&gt;Standings!$Q$27,"",INDEX('Point Data'!$K$2:$K$225,MATCH(1,(Ranks!$B25='Point Data'!$B$2:$B$225)*(Ranks!N$18='Point Data'!$D$2:$D$225),0)))</f>
        <v>112.45</v>
      </c>
      <c r="O25" s="445">
        <f t="array" aca="1" ref="O25" ca="1">IF(O$18&gt;Standings!$Q$27,"",INDEX('Point Data'!$K$2:$K$225,MATCH(1,(Ranks!$B25='Point Data'!$B$2:$B$225)*(Ranks!O$18='Point Data'!$D$2:$D$225),0)))</f>
        <v>110.41</v>
      </c>
      <c r="P25" s="446" t="str">
        <f t="array" ref="P25">IF(P$18&gt;Standings!$Q$27,"",INDEX('Point Data'!$K$2:$K$225,MATCH(1,(Ranks!$B25='Point Data'!$B$2:$B$225)*(Ranks!P$18='Point Data'!$D$2:$D$225),0)))</f>
        <v/>
      </c>
      <c r="Q25" s="471">
        <f t="shared" ca="1" si="7"/>
        <v>1427.5800000000002</v>
      </c>
      <c r="R25" s="447">
        <f ca="1">Q25/Standings!$Q$27</f>
        <v>109.81384615384617</v>
      </c>
      <c r="S25" s="447">
        <f t="shared" ca="1" si="8"/>
        <v>68.06</v>
      </c>
      <c r="T25" s="105">
        <f t="array" aca="1" ref="T25" ca="1">INDEX('Point Data'!$AR$2:$AR$225,MATCH(1,(Ranks!$B25='Point Data'!$B$2:$B$225)*(Standings!$Q$27='Point Data'!$D$2:$D$225),0))</f>
        <v>4</v>
      </c>
      <c r="U25" s="105">
        <f t="shared" ca="1" si="9"/>
        <v>3</v>
      </c>
      <c r="V25" s="537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547"/>
      <c r="AL25" s="192"/>
      <c r="AM25" s="192"/>
    </row>
    <row r="26" spans="2:50">
      <c r="B26" s="206" t="str">
        <f>'Point Data'!$B$100</f>
        <v>Team 8</v>
      </c>
      <c r="C26" s="440">
        <f t="array" aca="1" ref="C26" ca="1">IF(C$18&gt;Standings!$Q$27,"",INDEX('Point Data'!$K$2:$K$225,MATCH(1,(Ranks!$B26='Point Data'!$B$2:$B$225)*(Ranks!C$18='Point Data'!$D$2:$D$225),0)))</f>
        <v>103.84</v>
      </c>
      <c r="D26" s="445">
        <f t="array" aca="1" ref="D26" ca="1">IF(D$18&gt;Standings!$Q$27,"",INDEX('Point Data'!$K$2:$K$225,MATCH(1,(Ranks!$B26='Point Data'!$B$2:$B$225)*(Ranks!D$18='Point Data'!$D$2:$D$225),0)))</f>
        <v>144.41999999999999</v>
      </c>
      <c r="E26" s="445">
        <f t="array" aca="1" ref="E26" ca="1">IF(E$18&gt;Standings!$Q$27,"",INDEX('Point Data'!$K$2:$K$225,MATCH(1,(Ranks!$B26='Point Data'!$B$2:$B$225)*(Ranks!E$18='Point Data'!$D$2:$D$225),0)))</f>
        <v>155.85</v>
      </c>
      <c r="F26" s="445">
        <f t="array" aca="1" ref="F26" ca="1">IF(F$18&gt;Standings!$Q$27,"",INDEX('Point Data'!$K$2:$K$225,MATCH(1,(Ranks!$B26='Point Data'!$B$2:$B$225)*(Ranks!F$18='Point Data'!$D$2:$D$225),0)))</f>
        <v>108.26</v>
      </c>
      <c r="G26" s="445">
        <f t="array" aca="1" ref="G26" ca="1">IF(G$18&gt;Standings!$Q$27,"",INDEX('Point Data'!$K$2:$K$225,MATCH(1,(Ranks!$B26='Point Data'!$B$2:$B$225)*(Ranks!G$18='Point Data'!$D$2:$D$225),0)))</f>
        <v>54.24</v>
      </c>
      <c r="H26" s="445">
        <f t="array" aca="1" ref="H26" ca="1">IF(H$18&gt;Standings!$Q$27,"",INDEX('Point Data'!$K$2:$K$225,MATCH(1,(Ranks!$B26='Point Data'!$B$2:$B$225)*(Ranks!H$18='Point Data'!$D$2:$D$225),0)))</f>
        <v>74.430000000000007</v>
      </c>
      <c r="I26" s="445">
        <f t="array" aca="1" ref="I26" ca="1">IF(I$18&gt;Standings!$Q$27,"",INDEX('Point Data'!$K$2:$K$225,MATCH(1,(Ranks!$B26='Point Data'!$B$2:$B$225)*(Ranks!I$18='Point Data'!$D$2:$D$225),0)))</f>
        <v>113.68</v>
      </c>
      <c r="J26" s="445">
        <f t="array" aca="1" ref="J26" ca="1">IF(J$18&gt;Standings!$Q$27,"",INDEX('Point Data'!$K$2:$K$225,MATCH(1,(Ranks!$B26='Point Data'!$B$2:$B$225)*(Ranks!J$18='Point Data'!$D$2:$D$225),0)))</f>
        <v>131.43</v>
      </c>
      <c r="K26" s="445">
        <f t="array" aca="1" ref="K26" ca="1">IF(K$18&gt;Standings!$Q$27,"",INDEX('Point Data'!$K$2:$K$225,MATCH(1,(Ranks!$B26='Point Data'!$B$2:$B$225)*(Ranks!K$18='Point Data'!$D$2:$D$225),0)))</f>
        <v>90.25</v>
      </c>
      <c r="L26" s="445">
        <f t="array" aca="1" ref="L26" ca="1">IF(L$18&gt;Standings!$Q$27,"",INDEX('Point Data'!$K$2:$K$225,MATCH(1,(Ranks!$B26='Point Data'!$B$2:$B$225)*(Ranks!L$18='Point Data'!$D$2:$D$225),0)))</f>
        <v>75.64</v>
      </c>
      <c r="M26" s="445">
        <f t="array" aca="1" ref="M26" ca="1">IF(M$18&gt;Standings!$Q$27,"",INDEX('Point Data'!$K$2:$K$225,MATCH(1,(Ranks!$B26='Point Data'!$B$2:$B$225)*(Ranks!M$18='Point Data'!$D$2:$D$225),0)))</f>
        <v>114.22</v>
      </c>
      <c r="N26" s="445">
        <f t="array" aca="1" ref="N26" ca="1">IF(N$18&gt;Standings!$Q$27,"",INDEX('Point Data'!$K$2:$K$225,MATCH(1,(Ranks!$B26='Point Data'!$B$2:$B$225)*(Ranks!N$18='Point Data'!$D$2:$D$225),0)))</f>
        <v>51.3</v>
      </c>
      <c r="O26" s="445">
        <f t="array" aca="1" ref="O26" ca="1">IF(O$18&gt;Standings!$Q$27,"",INDEX('Point Data'!$K$2:$K$225,MATCH(1,(Ranks!$B26='Point Data'!$B$2:$B$225)*(Ranks!O$18='Point Data'!$D$2:$D$225),0)))</f>
        <v>104.84</v>
      </c>
      <c r="P26" s="446" t="str">
        <f t="array" ref="P26">IF(P$18&gt;Standings!$Q$27,"",INDEX('Point Data'!$K$2:$K$225,MATCH(1,(Ranks!$B26='Point Data'!$B$2:$B$225)*(Ranks!P$18='Point Data'!$D$2:$D$225),0)))</f>
        <v/>
      </c>
      <c r="Q26" s="471">
        <f t="shared" ca="1" si="7"/>
        <v>1322.4</v>
      </c>
      <c r="R26" s="447">
        <f ca="1">Q26/Standings!$Q$27</f>
        <v>101.72307692307693</v>
      </c>
      <c r="S26" s="447">
        <f t="shared" ca="1" si="8"/>
        <v>51.3</v>
      </c>
      <c r="T26" s="105">
        <f t="array" aca="1" ref="T26" ca="1">INDEX('Point Data'!$AR$2:$AR$225,MATCH(1,(Ranks!$B26='Point Data'!$B$2:$B$225)*(Standings!$Q$27='Point Data'!$D$2:$D$225),0))</f>
        <v>6</v>
      </c>
      <c r="U26" s="105">
        <f t="shared" ca="1" si="9"/>
        <v>9</v>
      </c>
      <c r="V26" s="537"/>
      <c r="W26" s="192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15"/>
    </row>
    <row r="27" spans="2:50">
      <c r="B27" s="207" t="str">
        <f>'Point Data'!$B$114</f>
        <v>Team 9</v>
      </c>
      <c r="C27" s="440">
        <f t="array" aca="1" ref="C27" ca="1">IF(C$18&gt;Standings!$Q$27,"",INDEX('Point Data'!$K$2:$K$225,MATCH(1,(Ranks!$B27='Point Data'!$B$2:$B$225)*(Ranks!C$18='Point Data'!$D$2:$D$225),0)))</f>
        <v>114.82</v>
      </c>
      <c r="D27" s="445">
        <f t="array" aca="1" ref="D27" ca="1">IF(D$18&gt;Standings!$Q$27,"",INDEX('Point Data'!$K$2:$K$225,MATCH(1,(Ranks!$B27='Point Data'!$B$2:$B$225)*(Ranks!D$18='Point Data'!$D$2:$D$225),0)))</f>
        <v>111.67</v>
      </c>
      <c r="E27" s="445">
        <f t="array" aca="1" ref="E27" ca="1">IF(E$18&gt;Standings!$Q$27,"",INDEX('Point Data'!$K$2:$K$225,MATCH(1,(Ranks!$B27='Point Data'!$B$2:$B$225)*(Ranks!E$18='Point Data'!$D$2:$D$225),0)))</f>
        <v>101.93</v>
      </c>
      <c r="F27" s="445">
        <f t="array" aca="1" ref="F27" ca="1">IF(F$18&gt;Standings!$Q$27,"",INDEX('Point Data'!$K$2:$K$225,MATCH(1,(Ranks!$B27='Point Data'!$B$2:$B$225)*(Ranks!F$18='Point Data'!$D$2:$D$225),0)))</f>
        <v>106.32</v>
      </c>
      <c r="G27" s="445">
        <f t="array" aca="1" ref="G27" ca="1">IF(G$18&gt;Standings!$Q$27,"",INDEX('Point Data'!$K$2:$K$225,MATCH(1,(Ranks!$B27='Point Data'!$B$2:$B$225)*(Ranks!G$18='Point Data'!$D$2:$D$225),0)))</f>
        <v>113.92</v>
      </c>
      <c r="H27" s="445">
        <f t="array" aca="1" ref="H27" ca="1">IF(H$18&gt;Standings!$Q$27,"",INDEX('Point Data'!$K$2:$K$225,MATCH(1,(Ranks!$B27='Point Data'!$B$2:$B$225)*(Ranks!H$18='Point Data'!$D$2:$D$225),0)))</f>
        <v>113.54</v>
      </c>
      <c r="I27" s="445">
        <f t="array" aca="1" ref="I27" ca="1">IF(I$18&gt;Standings!$Q$27,"",INDEX('Point Data'!$K$2:$K$225,MATCH(1,(Ranks!$B27='Point Data'!$B$2:$B$225)*(Ranks!I$18='Point Data'!$D$2:$D$225),0)))</f>
        <v>154.35</v>
      </c>
      <c r="J27" s="445">
        <f t="array" aca="1" ref="J27" ca="1">IF(J$18&gt;Standings!$Q$27,"",INDEX('Point Data'!$K$2:$K$225,MATCH(1,(Ranks!$B27='Point Data'!$B$2:$B$225)*(Ranks!J$18='Point Data'!$D$2:$D$225),0)))</f>
        <v>129.93</v>
      </c>
      <c r="K27" s="445">
        <f t="array" aca="1" ref="K27" ca="1">IF(K$18&gt;Standings!$Q$27,"",INDEX('Point Data'!$K$2:$K$225,MATCH(1,(Ranks!$B27='Point Data'!$B$2:$B$225)*(Ranks!K$18='Point Data'!$D$2:$D$225),0)))</f>
        <v>90.79</v>
      </c>
      <c r="L27" s="445">
        <f t="array" aca="1" ref="L27" ca="1">IF(L$18&gt;Standings!$Q$27,"",INDEX('Point Data'!$K$2:$K$225,MATCH(1,(Ranks!$B27='Point Data'!$B$2:$B$225)*(Ranks!L$18='Point Data'!$D$2:$D$225),0)))</f>
        <v>73.91</v>
      </c>
      <c r="M27" s="445">
        <f t="array" aca="1" ref="M27" ca="1">IF(M$18&gt;Standings!$Q$27,"",INDEX('Point Data'!$K$2:$K$225,MATCH(1,(Ranks!$B27='Point Data'!$B$2:$B$225)*(Ranks!M$18='Point Data'!$D$2:$D$225),0)))</f>
        <v>112.3</v>
      </c>
      <c r="N27" s="445">
        <f t="array" aca="1" ref="N27" ca="1">IF(N$18&gt;Standings!$Q$27,"",INDEX('Point Data'!$K$2:$K$225,MATCH(1,(Ranks!$B27='Point Data'!$B$2:$B$225)*(Ranks!N$18='Point Data'!$D$2:$D$225),0)))</f>
        <v>113.41</v>
      </c>
      <c r="O27" s="445">
        <f t="array" aca="1" ref="O27" ca="1">IF(O$18&gt;Standings!$Q$27,"",INDEX('Point Data'!$K$2:$K$225,MATCH(1,(Ranks!$B27='Point Data'!$B$2:$B$225)*(Ranks!O$18='Point Data'!$D$2:$D$225),0)))</f>
        <v>90.75</v>
      </c>
      <c r="P27" s="446" t="str">
        <f t="array" ref="P27">IF(P$18&gt;Standings!$Q$27,"",INDEX('Point Data'!$K$2:$K$225,MATCH(1,(Ranks!$B27='Point Data'!$B$2:$B$225)*(Ranks!P$18='Point Data'!$D$2:$D$225),0)))</f>
        <v/>
      </c>
      <c r="Q27" s="471">
        <f t="shared" ca="1" si="7"/>
        <v>1427.64</v>
      </c>
      <c r="R27" s="447">
        <f ca="1">Q27/Standings!$Q$27</f>
        <v>109.81846153846155</v>
      </c>
      <c r="S27" s="447">
        <f t="shared" ca="1" si="8"/>
        <v>73.91</v>
      </c>
      <c r="T27" s="105">
        <f t="array" aca="1" ref="T27" ca="1">INDEX('Point Data'!$AR$2:$AR$225,MATCH(1,(Ranks!$B27='Point Data'!$B$2:$B$225)*(Standings!$Q$27='Point Data'!$D$2:$D$225),0))</f>
        <v>11</v>
      </c>
      <c r="U27" s="105">
        <f t="shared" ca="1" si="9"/>
        <v>2</v>
      </c>
      <c r="V27" s="537"/>
      <c r="W27" s="192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15"/>
    </row>
    <row r="28" spans="2:50">
      <c r="B28" s="207" t="str">
        <f>'Point Data'!$B$128</f>
        <v>Team 10</v>
      </c>
      <c r="C28" s="440">
        <f t="array" aca="1" ref="C28" ca="1">IF(C$18&gt;Standings!$Q$27,"",INDEX('Point Data'!$K$2:$K$225,MATCH(1,(Ranks!$B28='Point Data'!$B$2:$B$225)*(Ranks!C$18='Point Data'!$D$2:$D$225),0)))</f>
        <v>101.04</v>
      </c>
      <c r="D28" s="445">
        <f t="array" aca="1" ref="D28" ca="1">IF(D$18&gt;Standings!$Q$27,"",INDEX('Point Data'!$K$2:$K$225,MATCH(1,(Ranks!$B28='Point Data'!$B$2:$B$225)*(Ranks!D$18='Point Data'!$D$2:$D$225),0)))</f>
        <v>123.72</v>
      </c>
      <c r="E28" s="445">
        <f t="array" aca="1" ref="E28" ca="1">IF(E$18&gt;Standings!$Q$27,"",INDEX('Point Data'!$K$2:$K$225,MATCH(1,(Ranks!$B28='Point Data'!$B$2:$B$225)*(Ranks!E$18='Point Data'!$D$2:$D$225),0)))</f>
        <v>88.72</v>
      </c>
      <c r="F28" s="445">
        <f t="array" aca="1" ref="F28" ca="1">IF(F$18&gt;Standings!$Q$27,"",INDEX('Point Data'!$K$2:$K$225,MATCH(1,(Ranks!$B28='Point Data'!$B$2:$B$225)*(Ranks!F$18='Point Data'!$D$2:$D$225),0)))</f>
        <v>97.92</v>
      </c>
      <c r="G28" s="445">
        <f t="array" aca="1" ref="G28" ca="1">IF(G$18&gt;Standings!$Q$27,"",INDEX('Point Data'!$K$2:$K$225,MATCH(1,(Ranks!$B28='Point Data'!$B$2:$B$225)*(Ranks!G$18='Point Data'!$D$2:$D$225),0)))</f>
        <v>118.5</v>
      </c>
      <c r="H28" s="445">
        <f t="array" aca="1" ref="H28" ca="1">IF(H$18&gt;Standings!$Q$27,"",INDEX('Point Data'!$K$2:$K$225,MATCH(1,(Ranks!$B28='Point Data'!$B$2:$B$225)*(Ranks!H$18='Point Data'!$D$2:$D$225),0)))</f>
        <v>98.77</v>
      </c>
      <c r="I28" s="445">
        <f t="array" aca="1" ref="I28" ca="1">IF(I$18&gt;Standings!$Q$27,"",INDEX('Point Data'!$K$2:$K$225,MATCH(1,(Ranks!$B28='Point Data'!$B$2:$B$225)*(Ranks!I$18='Point Data'!$D$2:$D$225),0)))</f>
        <v>143.06</v>
      </c>
      <c r="J28" s="445">
        <f t="array" aca="1" ref="J28" ca="1">IF(J$18&gt;Standings!$Q$27,"",INDEX('Point Data'!$K$2:$K$225,MATCH(1,(Ranks!$B28='Point Data'!$B$2:$B$225)*(Ranks!J$18='Point Data'!$D$2:$D$225),0)))</f>
        <v>70.75</v>
      </c>
      <c r="K28" s="445">
        <f t="array" aca="1" ref="K28" ca="1">IF(K$18&gt;Standings!$Q$27,"",INDEX('Point Data'!$K$2:$K$225,MATCH(1,(Ranks!$B28='Point Data'!$B$2:$B$225)*(Ranks!K$18='Point Data'!$D$2:$D$225),0)))</f>
        <v>73.540000000000006</v>
      </c>
      <c r="L28" s="445">
        <f t="array" aca="1" ref="L28" ca="1">IF(L$18&gt;Standings!$Q$27,"",INDEX('Point Data'!$K$2:$K$225,MATCH(1,(Ranks!$B28='Point Data'!$B$2:$B$225)*(Ranks!L$18='Point Data'!$D$2:$D$225),0)))</f>
        <v>128.22</v>
      </c>
      <c r="M28" s="445">
        <f t="array" aca="1" ref="M28" ca="1">IF(M$18&gt;Standings!$Q$27,"",INDEX('Point Data'!$K$2:$K$225,MATCH(1,(Ranks!$B28='Point Data'!$B$2:$B$225)*(Ranks!M$18='Point Data'!$D$2:$D$225),0)))</f>
        <v>91.73</v>
      </c>
      <c r="N28" s="445">
        <f t="array" aca="1" ref="N28" ca="1">IF(N$18&gt;Standings!$Q$27,"",INDEX('Point Data'!$K$2:$K$225,MATCH(1,(Ranks!$B28='Point Data'!$B$2:$B$225)*(Ranks!N$18='Point Data'!$D$2:$D$225),0)))</f>
        <v>140.47999999999999</v>
      </c>
      <c r="O28" s="445">
        <f t="array" aca="1" ref="O28" ca="1">IF(O$18&gt;Standings!$Q$27,"",INDEX('Point Data'!$K$2:$K$225,MATCH(1,(Ranks!$B28='Point Data'!$B$2:$B$225)*(Ranks!O$18='Point Data'!$D$2:$D$225),0)))</f>
        <v>184.43</v>
      </c>
      <c r="P28" s="446" t="str">
        <f t="array" ref="P28">IF(P$18&gt;Standings!$Q$27,"",INDEX('Point Data'!$K$2:$K$225,MATCH(1,(Ranks!$B28='Point Data'!$B$2:$B$225)*(Ranks!P$18='Point Data'!$D$2:$D$225),0)))</f>
        <v/>
      </c>
      <c r="Q28" s="471">
        <f t="shared" ca="1" si="7"/>
        <v>1460.88</v>
      </c>
      <c r="R28" s="447">
        <f ca="1">Q28/Standings!$Q$27</f>
        <v>112.37538461538462</v>
      </c>
      <c r="S28" s="447">
        <f t="shared" ca="1" si="8"/>
        <v>70.75</v>
      </c>
      <c r="T28" s="105">
        <f t="array" aca="1" ref="T28" ca="1">INDEX('Point Data'!$AR$2:$AR$225,MATCH(1,(Ranks!$B28='Point Data'!$B$2:$B$225)*(Standings!$Q$27='Point Data'!$D$2:$D$225),0))</f>
        <v>1</v>
      </c>
      <c r="U28" s="105">
        <f t="shared" ca="1" si="9"/>
        <v>1</v>
      </c>
      <c r="V28" s="537"/>
      <c r="W28" s="192"/>
      <c r="X28" s="211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547"/>
      <c r="AL28" s="192"/>
      <c r="AM28" s="15"/>
    </row>
    <row r="29" spans="2:50">
      <c r="B29" s="207" t="str">
        <f>'Point Data'!$B$142</f>
        <v>Team 11</v>
      </c>
      <c r="C29" s="440">
        <f t="array" aca="1" ref="C29" ca="1">IF(C$18&gt;Standings!$Q$27,"",INDEX('Point Data'!$K$2:$K$225,MATCH(1,(Ranks!$B29='Point Data'!$B$2:$B$225)*(Ranks!C$18='Point Data'!$D$2:$D$225),0)))</f>
        <v>96.78</v>
      </c>
      <c r="D29" s="445">
        <f t="array" aca="1" ref="D29" ca="1">IF(D$18&gt;Standings!$Q$27,"",INDEX('Point Data'!$K$2:$K$225,MATCH(1,(Ranks!$B29='Point Data'!$B$2:$B$225)*(Ranks!D$18='Point Data'!$D$2:$D$225),0)))</f>
        <v>94.86</v>
      </c>
      <c r="E29" s="445">
        <f t="array" aca="1" ref="E29" ca="1">IF(E$18&gt;Standings!$Q$27,"",INDEX('Point Data'!$K$2:$K$225,MATCH(1,(Ranks!$B29='Point Data'!$B$2:$B$225)*(Ranks!E$18='Point Data'!$D$2:$D$225),0)))</f>
        <v>75.260000000000005</v>
      </c>
      <c r="F29" s="445">
        <f t="array" aca="1" ref="F29" ca="1">IF(F$18&gt;Standings!$Q$27,"",INDEX('Point Data'!$K$2:$K$225,MATCH(1,(Ranks!$B29='Point Data'!$B$2:$B$225)*(Ranks!F$18='Point Data'!$D$2:$D$225),0)))</f>
        <v>99.49</v>
      </c>
      <c r="G29" s="445">
        <f t="array" aca="1" ref="G29" ca="1">IF(G$18&gt;Standings!$Q$27,"",INDEX('Point Data'!$K$2:$K$225,MATCH(1,(Ranks!$B29='Point Data'!$B$2:$B$225)*(Ranks!G$18='Point Data'!$D$2:$D$225),0)))</f>
        <v>138.77000000000001</v>
      </c>
      <c r="H29" s="445">
        <f t="array" aca="1" ref="H29" ca="1">IF(H$18&gt;Standings!$Q$27,"",INDEX('Point Data'!$K$2:$K$225,MATCH(1,(Ranks!$B29='Point Data'!$B$2:$B$225)*(Ranks!H$18='Point Data'!$D$2:$D$225),0)))</f>
        <v>98.25</v>
      </c>
      <c r="I29" s="445">
        <f t="array" aca="1" ref="I29" ca="1">IF(I$18&gt;Standings!$Q$27,"",INDEX('Point Data'!$K$2:$K$225,MATCH(1,(Ranks!$B29='Point Data'!$B$2:$B$225)*(Ranks!I$18='Point Data'!$D$2:$D$225),0)))</f>
        <v>93.71</v>
      </c>
      <c r="J29" s="445">
        <f t="array" aca="1" ref="J29" ca="1">IF(J$18&gt;Standings!$Q$27,"",INDEX('Point Data'!$K$2:$K$225,MATCH(1,(Ranks!$B29='Point Data'!$B$2:$B$225)*(Ranks!J$18='Point Data'!$D$2:$D$225),0)))</f>
        <v>81.650000000000006</v>
      </c>
      <c r="K29" s="445">
        <f t="array" aca="1" ref="K29" ca="1">IF(K$18&gt;Standings!$Q$27,"",INDEX('Point Data'!$K$2:$K$225,MATCH(1,(Ranks!$B29='Point Data'!$B$2:$B$225)*(Ranks!K$18='Point Data'!$D$2:$D$225),0)))</f>
        <v>56.32</v>
      </c>
      <c r="L29" s="445">
        <f t="array" aca="1" ref="L29" ca="1">IF(L$18&gt;Standings!$Q$27,"",INDEX('Point Data'!$K$2:$K$225,MATCH(1,(Ranks!$B29='Point Data'!$B$2:$B$225)*(Ranks!L$18='Point Data'!$D$2:$D$225),0)))</f>
        <v>89.63</v>
      </c>
      <c r="M29" s="445">
        <f t="array" aca="1" ref="M29" ca="1">IF(M$18&gt;Standings!$Q$27,"",INDEX('Point Data'!$K$2:$K$225,MATCH(1,(Ranks!$B29='Point Data'!$B$2:$B$225)*(Ranks!M$18='Point Data'!$D$2:$D$225),0)))</f>
        <v>83.37</v>
      </c>
      <c r="N29" s="445">
        <f t="array" aca="1" ref="N29" ca="1">IF(N$18&gt;Standings!$Q$27,"",INDEX('Point Data'!$K$2:$K$225,MATCH(1,(Ranks!$B29='Point Data'!$B$2:$B$225)*(Ranks!N$18='Point Data'!$D$2:$D$225),0)))</f>
        <v>106.11</v>
      </c>
      <c r="O29" s="445">
        <f t="array" aca="1" ref="O29" ca="1">IF(O$18&gt;Standings!$Q$27,"",INDEX('Point Data'!$K$2:$K$225,MATCH(1,(Ranks!$B29='Point Data'!$B$2:$B$225)*(Ranks!O$18='Point Data'!$D$2:$D$225),0)))</f>
        <v>84.18</v>
      </c>
      <c r="P29" s="446" t="str">
        <f t="array" ref="P29">IF(P$18&gt;Standings!$Q$27,"",INDEX('Point Data'!$K$2:$K$225,MATCH(1,(Ranks!$B29='Point Data'!$B$2:$B$225)*(Ranks!P$18='Point Data'!$D$2:$D$225),0)))</f>
        <v/>
      </c>
      <c r="Q29" s="471">
        <f t="shared" ca="1" si="7"/>
        <v>1198.3800000000001</v>
      </c>
      <c r="R29" s="447">
        <f ca="1">Q29/Standings!$Q$27</f>
        <v>92.183076923076925</v>
      </c>
      <c r="S29" s="447">
        <f t="shared" ca="1" si="8"/>
        <v>56.32</v>
      </c>
      <c r="T29" s="105">
        <f t="array" aca="1" ref="T29" ca="1">INDEX('Point Data'!$AR$2:$AR$225,MATCH(1,(Ranks!$B29='Point Data'!$B$2:$B$225)*(Standings!$Q$27='Point Data'!$D$2:$D$225),0))</f>
        <v>14</v>
      </c>
      <c r="U29" s="105">
        <f t="shared" ca="1" si="9"/>
        <v>15</v>
      </c>
      <c r="V29" s="537"/>
      <c r="W29" s="192"/>
      <c r="X29" s="211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547"/>
      <c r="AL29" s="192"/>
      <c r="AM29" s="15"/>
      <c r="AT29" s="134"/>
      <c r="AU29" s="134"/>
      <c r="AV29" s="134"/>
    </row>
    <row r="30" spans="2:50">
      <c r="B30" s="207" t="str">
        <f>'Point Data'!$B$156</f>
        <v>Team 12</v>
      </c>
      <c r="C30" s="440">
        <f t="array" aca="1" ref="C30" ca="1">IF(C$18&gt;Standings!$Q$27,"",INDEX('Point Data'!$K$2:$K$225,MATCH(1,(Ranks!$B30='Point Data'!$B$2:$B$225)*(Ranks!C$18='Point Data'!$D$2:$D$225),0)))</f>
        <v>103.56</v>
      </c>
      <c r="D30" s="445">
        <f t="array" aca="1" ref="D30" ca="1">IF(D$18&gt;Standings!$Q$27,"",INDEX('Point Data'!$K$2:$K$225,MATCH(1,(Ranks!$B30='Point Data'!$B$2:$B$225)*(Ranks!D$18='Point Data'!$D$2:$D$225),0)))</f>
        <v>100.51</v>
      </c>
      <c r="E30" s="445">
        <f t="array" aca="1" ref="E30" ca="1">IF(E$18&gt;Standings!$Q$27,"",INDEX('Point Data'!$K$2:$K$225,MATCH(1,(Ranks!$B30='Point Data'!$B$2:$B$225)*(Ranks!E$18='Point Data'!$D$2:$D$225),0)))</f>
        <v>121.5</v>
      </c>
      <c r="F30" s="445">
        <f t="array" aca="1" ref="F30" ca="1">IF(F$18&gt;Standings!$Q$27,"",INDEX('Point Data'!$K$2:$K$225,MATCH(1,(Ranks!$B30='Point Data'!$B$2:$B$225)*(Ranks!F$18='Point Data'!$D$2:$D$225),0)))</f>
        <v>115.05</v>
      </c>
      <c r="G30" s="445">
        <f t="array" aca="1" ref="G30" ca="1">IF(G$18&gt;Standings!$Q$27,"",INDEX('Point Data'!$K$2:$K$225,MATCH(1,(Ranks!$B30='Point Data'!$B$2:$B$225)*(Ranks!G$18='Point Data'!$D$2:$D$225),0)))</f>
        <v>92.34</v>
      </c>
      <c r="H30" s="445">
        <f t="array" aca="1" ref="H30" ca="1">IF(H$18&gt;Standings!$Q$27,"",INDEX('Point Data'!$K$2:$K$225,MATCH(1,(Ranks!$B30='Point Data'!$B$2:$B$225)*(Ranks!H$18='Point Data'!$D$2:$D$225),0)))</f>
        <v>68.94</v>
      </c>
      <c r="I30" s="445">
        <f t="array" aca="1" ref="I30" ca="1">IF(I$18&gt;Standings!$Q$27,"",INDEX('Point Data'!$K$2:$K$225,MATCH(1,(Ranks!$B30='Point Data'!$B$2:$B$225)*(Ranks!I$18='Point Data'!$D$2:$D$225),0)))</f>
        <v>90.52</v>
      </c>
      <c r="J30" s="445">
        <f t="array" aca="1" ref="J30" ca="1">IF(J$18&gt;Standings!$Q$27,"",INDEX('Point Data'!$K$2:$K$225,MATCH(1,(Ranks!$B30='Point Data'!$B$2:$B$225)*(Ranks!J$18='Point Data'!$D$2:$D$225),0)))</f>
        <v>82.72</v>
      </c>
      <c r="K30" s="445">
        <f t="array" aca="1" ref="K30" ca="1">IF(K$18&gt;Standings!$Q$27,"",INDEX('Point Data'!$K$2:$K$225,MATCH(1,(Ranks!$B30='Point Data'!$B$2:$B$225)*(Ranks!K$18='Point Data'!$D$2:$D$225),0)))</f>
        <v>87.41</v>
      </c>
      <c r="L30" s="445">
        <f t="array" aca="1" ref="L30" ca="1">IF(L$18&gt;Standings!$Q$27,"",INDEX('Point Data'!$K$2:$K$225,MATCH(1,(Ranks!$B30='Point Data'!$B$2:$B$225)*(Ranks!L$18='Point Data'!$D$2:$D$225),0)))</f>
        <v>83.44</v>
      </c>
      <c r="M30" s="445">
        <f t="array" aca="1" ref="M30" ca="1">IF(M$18&gt;Standings!$Q$27,"",INDEX('Point Data'!$K$2:$K$225,MATCH(1,(Ranks!$B30='Point Data'!$B$2:$B$225)*(Ranks!M$18='Point Data'!$D$2:$D$225),0)))</f>
        <v>85.8</v>
      </c>
      <c r="N30" s="445">
        <f t="array" aca="1" ref="N30" ca="1">IF(N$18&gt;Standings!$Q$27,"",INDEX('Point Data'!$K$2:$K$225,MATCH(1,(Ranks!$B30='Point Data'!$B$2:$B$225)*(Ranks!N$18='Point Data'!$D$2:$D$225),0)))</f>
        <v>98.98</v>
      </c>
      <c r="O30" s="445">
        <f t="array" aca="1" ref="O30" ca="1">IF(O$18&gt;Standings!$Q$27,"",INDEX('Point Data'!$K$2:$K$225,MATCH(1,(Ranks!$B30='Point Data'!$B$2:$B$225)*(Ranks!O$18='Point Data'!$D$2:$D$225),0)))</f>
        <v>90.68</v>
      </c>
      <c r="P30" s="446" t="str">
        <f t="array" ref="P30">IF(P$18&gt;Standings!$Q$27,"",INDEX('Point Data'!$K$2:$K$225,MATCH(1,(Ranks!$B30='Point Data'!$B$2:$B$225)*(Ranks!P$18='Point Data'!$D$2:$D$225),0)))</f>
        <v/>
      </c>
      <c r="Q30" s="471">
        <f t="shared" ca="1" si="7"/>
        <v>1221.45</v>
      </c>
      <c r="R30" s="447">
        <f ca="1">Q30/Standings!$Q$27</f>
        <v>93.957692307692312</v>
      </c>
      <c r="S30" s="447">
        <f t="shared" ca="1" si="8"/>
        <v>68.94</v>
      </c>
      <c r="T30" s="105">
        <f t="array" aca="1" ref="T30" ca="1">INDEX('Point Data'!$AR$2:$AR$225,MATCH(1,(Ranks!$B30='Point Data'!$B$2:$B$225)*(Standings!$Q$27='Point Data'!$D$2:$D$225),0))</f>
        <v>12</v>
      </c>
      <c r="U30" s="105">
        <f t="shared" ca="1" si="9"/>
        <v>14</v>
      </c>
      <c r="V30" s="537"/>
      <c r="AT30" s="134"/>
      <c r="AU30" s="134"/>
      <c r="AV30" s="134"/>
    </row>
    <row r="31" spans="2:50">
      <c r="B31" s="207" t="str">
        <f>'Point Data'!$B$170</f>
        <v>Team 13</v>
      </c>
      <c r="C31" s="440">
        <f t="array" aca="1" ref="C31" ca="1">IF(C$18&gt;Standings!$Q$27,"",INDEX('Point Data'!$K$2:$K$225,MATCH(1,(Ranks!$B31='Point Data'!$B$2:$B$225)*(Ranks!C$18='Point Data'!$D$2:$D$225),0)))</f>
        <v>114.11</v>
      </c>
      <c r="D31" s="445">
        <f t="array" aca="1" ref="D31" ca="1">IF(D$18&gt;Standings!$Q$27,"",INDEX('Point Data'!$K$2:$K$225,MATCH(1,(Ranks!$B31='Point Data'!$B$2:$B$225)*(Ranks!D$18='Point Data'!$D$2:$D$225),0)))</f>
        <v>148.19</v>
      </c>
      <c r="E31" s="445">
        <f t="array" aca="1" ref="E31" ca="1">IF(E$18&gt;Standings!$Q$27,"",INDEX('Point Data'!$K$2:$K$225,MATCH(1,(Ranks!$B31='Point Data'!$B$2:$B$225)*(Ranks!E$18='Point Data'!$D$2:$D$225),0)))</f>
        <v>122.66</v>
      </c>
      <c r="F31" s="445">
        <f t="array" aca="1" ref="F31" ca="1">IF(F$18&gt;Standings!$Q$27,"",INDEX('Point Data'!$K$2:$K$225,MATCH(1,(Ranks!$B31='Point Data'!$B$2:$B$225)*(Ranks!F$18='Point Data'!$D$2:$D$225),0)))</f>
        <v>84.76</v>
      </c>
      <c r="G31" s="445">
        <f t="array" aca="1" ref="G31" ca="1">IF(G$18&gt;Standings!$Q$27,"",INDEX('Point Data'!$K$2:$K$225,MATCH(1,(Ranks!$B31='Point Data'!$B$2:$B$225)*(Ranks!G$18='Point Data'!$D$2:$D$225),0)))</f>
        <v>81.97</v>
      </c>
      <c r="H31" s="445">
        <f t="array" aca="1" ref="H31" ca="1">IF(H$18&gt;Standings!$Q$27,"",INDEX('Point Data'!$K$2:$K$225,MATCH(1,(Ranks!$B31='Point Data'!$B$2:$B$225)*(Ranks!H$18='Point Data'!$D$2:$D$225),0)))</f>
        <v>91.59</v>
      </c>
      <c r="I31" s="445">
        <f t="array" aca="1" ref="I31" ca="1">IF(I$18&gt;Standings!$Q$27,"",INDEX('Point Data'!$K$2:$K$225,MATCH(1,(Ranks!$B31='Point Data'!$B$2:$B$225)*(Ranks!I$18='Point Data'!$D$2:$D$225),0)))</f>
        <v>66.319999999999993</v>
      </c>
      <c r="J31" s="445">
        <f t="array" aca="1" ref="J31" ca="1">IF(J$18&gt;Standings!$Q$27,"",INDEX('Point Data'!$K$2:$K$225,MATCH(1,(Ranks!$B31='Point Data'!$B$2:$B$225)*(Ranks!J$18='Point Data'!$D$2:$D$225),0)))</f>
        <v>80.22</v>
      </c>
      <c r="K31" s="445">
        <f t="array" aca="1" ref="K31" ca="1">IF(K$18&gt;Standings!$Q$27,"",INDEX('Point Data'!$K$2:$K$225,MATCH(1,(Ranks!$B31='Point Data'!$B$2:$B$225)*(Ranks!K$18='Point Data'!$D$2:$D$225),0)))</f>
        <v>117.03</v>
      </c>
      <c r="L31" s="445">
        <f t="array" aca="1" ref="L31" ca="1">IF(L$18&gt;Standings!$Q$27,"",INDEX('Point Data'!$K$2:$K$225,MATCH(1,(Ranks!$B31='Point Data'!$B$2:$B$225)*(Ranks!L$18='Point Data'!$D$2:$D$225),0)))</f>
        <v>72.900000000000006</v>
      </c>
      <c r="M31" s="445">
        <f t="array" aca="1" ref="M31" ca="1">IF(M$18&gt;Standings!$Q$27,"",INDEX('Point Data'!$K$2:$K$225,MATCH(1,(Ranks!$B31='Point Data'!$B$2:$B$225)*(Ranks!M$18='Point Data'!$D$2:$D$225),0)))</f>
        <v>69.319999999999993</v>
      </c>
      <c r="N31" s="445">
        <f t="array" aca="1" ref="N31" ca="1">IF(N$18&gt;Standings!$Q$27,"",INDEX('Point Data'!$K$2:$K$225,MATCH(1,(Ranks!$B31='Point Data'!$B$2:$B$225)*(Ranks!N$18='Point Data'!$D$2:$D$225),0)))</f>
        <v>88.25</v>
      </c>
      <c r="O31" s="445">
        <f t="array" aca="1" ref="O31" ca="1">IF(O$18&gt;Standings!$Q$27,"",INDEX('Point Data'!$K$2:$K$225,MATCH(1,(Ranks!$B31='Point Data'!$B$2:$B$225)*(Ranks!O$18='Point Data'!$D$2:$D$225),0)))</f>
        <v>95.1</v>
      </c>
      <c r="P31" s="446" t="str">
        <f t="array" ref="P31">IF(P$18&gt;Standings!$Q$27,"",INDEX('Point Data'!$K$2:$K$225,MATCH(1,(Ranks!$B31='Point Data'!$B$2:$B$225)*(Ranks!P$18='Point Data'!$D$2:$D$225),0)))</f>
        <v/>
      </c>
      <c r="Q31" s="471">
        <f t="shared" ca="1" si="7"/>
        <v>1232.42</v>
      </c>
      <c r="R31" s="447">
        <f ca="1">Q31/Standings!$Q$27</f>
        <v>94.80153846153847</v>
      </c>
      <c r="S31" s="447">
        <f t="shared" ca="1" si="8"/>
        <v>66.319999999999993</v>
      </c>
      <c r="T31" s="105">
        <f t="array" aca="1" ref="T31" ca="1">INDEX('Point Data'!$AR$2:$AR$225,MATCH(1,(Ranks!$B31='Point Data'!$B$2:$B$225)*(Standings!$Q$27='Point Data'!$D$2:$D$225),0))</f>
        <v>9</v>
      </c>
      <c r="U31" s="105">
        <f t="shared" ca="1" si="9"/>
        <v>13</v>
      </c>
      <c r="V31" s="537"/>
      <c r="AT31" s="134"/>
      <c r="AU31" s="134"/>
      <c r="AV31" s="134"/>
    </row>
    <row r="32" spans="2:50">
      <c r="B32" s="207" t="str">
        <f>'Point Data'!$B$184</f>
        <v>Team 14</v>
      </c>
      <c r="C32" s="440">
        <f t="array" aca="1" ref="C32" ca="1">IF(C$18&gt;Standings!$Q$27,"",INDEX('Point Data'!$K$2:$K$225,MATCH(1,(Ranks!$B32='Point Data'!$B$2:$B$225)*(Ranks!C$18='Point Data'!$D$2:$D$225),0)))</f>
        <v>90.29</v>
      </c>
      <c r="D32" s="445">
        <f t="array" aca="1" ref="D32" ca="1">IF(D$18&gt;Standings!$Q$27,"",INDEX('Point Data'!$K$2:$K$225,MATCH(1,(Ranks!$B32='Point Data'!$B$2:$B$225)*(Ranks!D$18='Point Data'!$D$2:$D$225),0)))</f>
        <v>108.89</v>
      </c>
      <c r="E32" s="445">
        <f t="array" aca="1" ref="E32" ca="1">IF(E$18&gt;Standings!$Q$27,"",INDEX('Point Data'!$K$2:$K$225,MATCH(1,(Ranks!$B32='Point Data'!$B$2:$B$225)*(Ranks!E$18='Point Data'!$D$2:$D$225),0)))</f>
        <v>86.82</v>
      </c>
      <c r="F32" s="445">
        <f t="array" aca="1" ref="F32" ca="1">IF(F$18&gt;Standings!$Q$27,"",INDEX('Point Data'!$K$2:$K$225,MATCH(1,(Ranks!$B32='Point Data'!$B$2:$B$225)*(Ranks!F$18='Point Data'!$D$2:$D$225),0)))</f>
        <v>108.47</v>
      </c>
      <c r="G32" s="445">
        <f t="array" aca="1" ref="G32" ca="1">IF(G$18&gt;Standings!$Q$27,"",INDEX('Point Data'!$K$2:$K$225,MATCH(1,(Ranks!$B32='Point Data'!$B$2:$B$225)*(Ranks!G$18='Point Data'!$D$2:$D$225),0)))</f>
        <v>105.79</v>
      </c>
      <c r="H32" s="445">
        <f t="array" aca="1" ref="H32" ca="1">IF(H$18&gt;Standings!$Q$27,"",INDEX('Point Data'!$K$2:$K$225,MATCH(1,(Ranks!$B32='Point Data'!$B$2:$B$225)*(Ranks!H$18='Point Data'!$D$2:$D$225),0)))</f>
        <v>84.33</v>
      </c>
      <c r="I32" s="445">
        <f t="array" aca="1" ref="I32" ca="1">IF(I$18&gt;Standings!$Q$27,"",INDEX('Point Data'!$K$2:$K$225,MATCH(1,(Ranks!$B32='Point Data'!$B$2:$B$225)*(Ranks!I$18='Point Data'!$D$2:$D$225),0)))</f>
        <v>123.84</v>
      </c>
      <c r="J32" s="445">
        <f t="array" aca="1" ref="J32" ca="1">IF(J$18&gt;Standings!$Q$27,"",INDEX('Point Data'!$K$2:$K$225,MATCH(1,(Ranks!$B32='Point Data'!$B$2:$B$225)*(Ranks!J$18='Point Data'!$D$2:$D$225),0)))</f>
        <v>88.93</v>
      </c>
      <c r="K32" s="445">
        <f t="array" aca="1" ref="K32" ca="1">IF(K$18&gt;Standings!$Q$27,"",INDEX('Point Data'!$K$2:$K$225,MATCH(1,(Ranks!$B32='Point Data'!$B$2:$B$225)*(Ranks!K$18='Point Data'!$D$2:$D$225),0)))</f>
        <v>82.36</v>
      </c>
      <c r="L32" s="445">
        <f t="array" aca="1" ref="L32" ca="1">IF(L$18&gt;Standings!$Q$27,"",INDEX('Point Data'!$K$2:$K$225,MATCH(1,(Ranks!$B32='Point Data'!$B$2:$B$225)*(Ranks!L$18='Point Data'!$D$2:$D$225),0)))</f>
        <v>59.04</v>
      </c>
      <c r="M32" s="445">
        <f t="array" aca="1" ref="M32" ca="1">IF(M$18&gt;Standings!$Q$27,"",INDEX('Point Data'!$K$2:$K$225,MATCH(1,(Ranks!$B32='Point Data'!$B$2:$B$225)*(Ranks!M$18='Point Data'!$D$2:$D$225),0)))</f>
        <v>121.21</v>
      </c>
      <c r="N32" s="445">
        <f t="array" aca="1" ref="N32" ca="1">IF(N$18&gt;Standings!$Q$27,"",INDEX('Point Data'!$K$2:$K$225,MATCH(1,(Ranks!$B32='Point Data'!$B$2:$B$225)*(Ranks!N$18='Point Data'!$D$2:$D$225),0)))</f>
        <v>116.15</v>
      </c>
      <c r="O32" s="445">
        <f t="array" aca="1" ref="O32" ca="1">IF(O$18&gt;Standings!$Q$27,"",INDEX('Point Data'!$K$2:$K$225,MATCH(1,(Ranks!$B32='Point Data'!$B$2:$B$225)*(Ranks!O$18='Point Data'!$D$2:$D$225),0)))</f>
        <v>101.68</v>
      </c>
      <c r="P32" s="446" t="str">
        <f t="array" ref="P32">IF(P$18&gt;Standings!$Q$27,"",INDEX('Point Data'!$K$2:$K$225,MATCH(1,(Ranks!$B32='Point Data'!$B$2:$B$225)*(Ranks!P$18='Point Data'!$D$2:$D$225),0)))</f>
        <v/>
      </c>
      <c r="Q32" s="471">
        <f t="shared" ca="1" si="7"/>
        <v>1277.8000000000002</v>
      </c>
      <c r="R32" s="447">
        <f ca="1">Q32/Standings!$Q$27</f>
        <v>98.292307692307702</v>
      </c>
      <c r="S32" s="447">
        <f t="shared" ca="1" si="8"/>
        <v>59.04</v>
      </c>
      <c r="T32" s="105">
        <f t="array" aca="1" ref="T32" ca="1">INDEX('Point Data'!$AR$2:$AR$225,MATCH(1,(Ranks!$B32='Point Data'!$B$2:$B$225)*(Standings!$Q$27='Point Data'!$D$2:$D$225),0))</f>
        <v>8</v>
      </c>
      <c r="U32" s="105">
        <f t="shared" ca="1" si="9"/>
        <v>12</v>
      </c>
      <c r="V32" s="537"/>
      <c r="AT32" s="134"/>
      <c r="AU32" s="134"/>
      <c r="AV32" s="134"/>
    </row>
    <row r="33" spans="2:48">
      <c r="B33" s="207" t="str">
        <f>'Point Data'!$B$198</f>
        <v>Team 15</v>
      </c>
      <c r="C33" s="440">
        <f t="array" aca="1" ref="C33" ca="1">IF(C$18&gt;Standings!$Q$27,"",INDEX('Point Data'!$K$2:$K$225,MATCH(1,(Ranks!$B33='Point Data'!$B$2:$B$225)*(Ranks!C$18='Point Data'!$D$2:$D$225),0)))</f>
        <v>150.91999999999999</v>
      </c>
      <c r="D33" s="445">
        <f t="array" aca="1" ref="D33" ca="1">IF(D$18&gt;Standings!$Q$27,"",INDEX('Point Data'!$K$2:$K$225,MATCH(1,(Ranks!$B33='Point Data'!$B$2:$B$225)*(Ranks!D$18='Point Data'!$D$2:$D$225),0)))</f>
        <v>79.11</v>
      </c>
      <c r="E33" s="445">
        <f t="array" aca="1" ref="E33" ca="1">IF(E$18&gt;Standings!$Q$27,"",INDEX('Point Data'!$K$2:$K$225,MATCH(1,(Ranks!$B33='Point Data'!$B$2:$B$225)*(Ranks!E$18='Point Data'!$D$2:$D$225),0)))</f>
        <v>113.11</v>
      </c>
      <c r="F33" s="445">
        <f t="array" aca="1" ref="F33" ca="1">IF(F$18&gt;Standings!$Q$27,"",INDEX('Point Data'!$K$2:$K$225,MATCH(1,(Ranks!$B33='Point Data'!$B$2:$B$225)*(Ranks!F$18='Point Data'!$D$2:$D$225),0)))</f>
        <v>92.02</v>
      </c>
      <c r="G33" s="445">
        <f t="array" aca="1" ref="G33" ca="1">IF(G$18&gt;Standings!$Q$27,"",INDEX('Point Data'!$K$2:$K$225,MATCH(1,(Ranks!$B33='Point Data'!$B$2:$B$225)*(Ranks!G$18='Point Data'!$D$2:$D$225),0)))</f>
        <v>133.30000000000001</v>
      </c>
      <c r="H33" s="445">
        <f t="array" aca="1" ref="H33" ca="1">IF(H$18&gt;Standings!$Q$27,"",INDEX('Point Data'!$K$2:$K$225,MATCH(1,(Ranks!$B33='Point Data'!$B$2:$B$225)*(Ranks!H$18='Point Data'!$D$2:$D$225),0)))</f>
        <v>97.96</v>
      </c>
      <c r="I33" s="445">
        <f t="array" aca="1" ref="I33" ca="1">IF(I$18&gt;Standings!$Q$27,"",INDEX('Point Data'!$K$2:$K$225,MATCH(1,(Ranks!$B33='Point Data'!$B$2:$B$225)*(Ranks!I$18='Point Data'!$D$2:$D$225),0)))</f>
        <v>96.92</v>
      </c>
      <c r="J33" s="445">
        <f t="array" aca="1" ref="J33" ca="1">IF(J$18&gt;Standings!$Q$27,"",INDEX('Point Data'!$K$2:$K$225,MATCH(1,(Ranks!$B33='Point Data'!$B$2:$B$225)*(Ranks!J$18='Point Data'!$D$2:$D$225),0)))</f>
        <v>90.03</v>
      </c>
      <c r="K33" s="445">
        <f t="array" aca="1" ref="K33" ca="1">IF(K$18&gt;Standings!$Q$27,"",INDEX('Point Data'!$K$2:$K$225,MATCH(1,(Ranks!$B33='Point Data'!$B$2:$B$225)*(Ranks!K$18='Point Data'!$D$2:$D$225),0)))</f>
        <v>135.29</v>
      </c>
      <c r="L33" s="445">
        <f t="array" aca="1" ref="L33" ca="1">IF(L$18&gt;Standings!$Q$27,"",INDEX('Point Data'!$K$2:$K$225,MATCH(1,(Ranks!$B33='Point Data'!$B$2:$B$225)*(Ranks!L$18='Point Data'!$D$2:$D$225),0)))</f>
        <v>128.55000000000001</v>
      </c>
      <c r="M33" s="445">
        <f t="array" aca="1" ref="M33" ca="1">IF(M$18&gt;Standings!$Q$27,"",INDEX('Point Data'!$K$2:$K$225,MATCH(1,(Ranks!$B33='Point Data'!$B$2:$B$225)*(Ranks!M$18='Point Data'!$D$2:$D$225),0)))</f>
        <v>104.72</v>
      </c>
      <c r="N33" s="445">
        <f t="array" aca="1" ref="N33" ca="1">IF(N$18&gt;Standings!$Q$27,"",INDEX('Point Data'!$K$2:$K$225,MATCH(1,(Ranks!$B33='Point Data'!$B$2:$B$225)*(Ranks!N$18='Point Data'!$D$2:$D$225),0)))</f>
        <v>117.48</v>
      </c>
      <c r="O33" s="445">
        <f t="array" aca="1" ref="O33" ca="1">IF(O$18&gt;Standings!$Q$27,"",INDEX('Point Data'!$K$2:$K$225,MATCH(1,(Ranks!$B33='Point Data'!$B$2:$B$225)*(Ranks!O$18='Point Data'!$D$2:$D$225),0)))</f>
        <v>84.35</v>
      </c>
      <c r="P33" s="446" t="str">
        <f t="array" ref="P33">IF(P$18&gt;Standings!$Q$27,"",INDEX('Point Data'!$K$2:$K$225,MATCH(1,(Ranks!$B33='Point Data'!$B$2:$B$225)*(Ranks!P$18='Point Data'!$D$2:$D$225),0)))</f>
        <v/>
      </c>
      <c r="Q33" s="471">
        <f t="shared" ca="1" si="7"/>
        <v>1423.76</v>
      </c>
      <c r="R33" s="447">
        <f ca="1">Q33/Standings!$Q$27</f>
        <v>109.52</v>
      </c>
      <c r="S33" s="447">
        <f t="shared" ca="1" si="8"/>
        <v>79.11</v>
      </c>
      <c r="T33" s="105">
        <f t="array" aca="1" ref="T33" ca="1">INDEX('Point Data'!$AR$2:$AR$225,MATCH(1,(Ranks!$B33='Point Data'!$B$2:$B$225)*(Standings!$Q$27='Point Data'!$D$2:$D$225),0))</f>
        <v>13</v>
      </c>
      <c r="U33" s="105">
        <f t="shared" ca="1" si="9"/>
        <v>4</v>
      </c>
      <c r="V33" s="537"/>
      <c r="AT33" s="134"/>
      <c r="AU33" s="134"/>
      <c r="AV33" s="134"/>
    </row>
    <row r="34" spans="2:48" ht="16" thickBot="1">
      <c r="B34" s="208" t="str">
        <f>'Point Data'!$B$212</f>
        <v>Team 16</v>
      </c>
      <c r="C34" s="449">
        <f t="array" aca="1" ref="C34" ca="1">IF(C$18&gt;Standings!$Q$27,"",INDEX('Point Data'!$K$2:$K$225,MATCH(1,(Ranks!$B34='Point Data'!$B$2:$B$225)*(Ranks!C$18='Point Data'!$D$2:$D$225),0)))</f>
        <v>88.33</v>
      </c>
      <c r="D34" s="450">
        <f t="array" aca="1" ref="D34" ca="1">IF(D$18&gt;Standings!$Q$27,"",INDEX('Point Data'!$K$2:$K$225,MATCH(1,(Ranks!$B34='Point Data'!$B$2:$B$225)*(Ranks!D$18='Point Data'!$D$2:$D$225),0)))</f>
        <v>131.12</v>
      </c>
      <c r="E34" s="450">
        <f t="array" aca="1" ref="E34" ca="1">IF(E$18&gt;Standings!$Q$27,"",INDEX('Point Data'!$K$2:$K$225,MATCH(1,(Ranks!$B34='Point Data'!$B$2:$B$225)*(Ranks!E$18='Point Data'!$D$2:$D$225),0)))</f>
        <v>139.19</v>
      </c>
      <c r="F34" s="450">
        <f t="array" aca="1" ref="F34" ca="1">IF(F$18&gt;Standings!$Q$27,"",INDEX('Point Data'!$K$2:$K$225,MATCH(1,(Ranks!$B34='Point Data'!$B$2:$B$225)*(Ranks!F$18='Point Data'!$D$2:$D$225),0)))</f>
        <v>53.05</v>
      </c>
      <c r="G34" s="450">
        <f t="array" aca="1" ref="G34" ca="1">IF(G$18&gt;Standings!$Q$27,"",INDEX('Point Data'!$K$2:$K$225,MATCH(1,(Ranks!$B34='Point Data'!$B$2:$B$225)*(Ranks!G$18='Point Data'!$D$2:$D$225),0)))</f>
        <v>105.13</v>
      </c>
      <c r="H34" s="450">
        <f t="array" aca="1" ref="H34" ca="1">IF(H$18&gt;Standings!$Q$27,"",INDEX('Point Data'!$K$2:$K$225,MATCH(1,(Ranks!$B34='Point Data'!$B$2:$B$225)*(Ranks!H$18='Point Data'!$D$2:$D$225),0)))</f>
        <v>113.1</v>
      </c>
      <c r="I34" s="450">
        <f t="array" aca="1" ref="I34" ca="1">IF(I$18&gt;Standings!$Q$27,"",INDEX('Point Data'!$K$2:$K$225,MATCH(1,(Ranks!$B34='Point Data'!$B$2:$B$225)*(Ranks!I$18='Point Data'!$D$2:$D$225),0)))</f>
        <v>104.38</v>
      </c>
      <c r="J34" s="450">
        <f t="array" aca="1" ref="J34" ca="1">IF(J$18&gt;Standings!$Q$27,"",INDEX('Point Data'!$K$2:$K$225,MATCH(1,(Ranks!$B34='Point Data'!$B$2:$B$225)*(Ranks!J$18='Point Data'!$D$2:$D$225),0)))</f>
        <v>67.86</v>
      </c>
      <c r="K34" s="450">
        <f t="array" aca="1" ref="K34" ca="1">IF(K$18&gt;Standings!$Q$27,"",INDEX('Point Data'!$K$2:$K$225,MATCH(1,(Ranks!$B34='Point Data'!$B$2:$B$225)*(Ranks!K$18='Point Data'!$D$2:$D$225),0)))</f>
        <v>157.65</v>
      </c>
      <c r="L34" s="450">
        <f t="array" aca="1" ref="L34" ca="1">IF(L$18&gt;Standings!$Q$27,"",INDEX('Point Data'!$K$2:$K$225,MATCH(1,(Ranks!$B34='Point Data'!$B$2:$B$225)*(Ranks!L$18='Point Data'!$D$2:$D$225),0)))</f>
        <v>77.27</v>
      </c>
      <c r="M34" s="450">
        <f t="array" aca="1" ref="M34" ca="1">IF(M$18&gt;Standings!$Q$27,"",INDEX('Point Data'!$K$2:$K$225,MATCH(1,(Ranks!$B34='Point Data'!$B$2:$B$225)*(Ranks!M$18='Point Data'!$D$2:$D$225),0)))</f>
        <v>92.94</v>
      </c>
      <c r="N34" s="450">
        <f t="array" aca="1" ref="N34" ca="1">IF(N$18&gt;Standings!$Q$27,"",INDEX('Point Data'!$K$2:$K$225,MATCH(1,(Ranks!$B34='Point Data'!$B$2:$B$225)*(Ranks!N$18='Point Data'!$D$2:$D$225),0)))</f>
        <v>137.66</v>
      </c>
      <c r="O34" s="450">
        <f t="array" aca="1" ref="O34" ca="1">IF(O$18&gt;Standings!$Q$27,"",INDEX('Point Data'!$K$2:$K$225,MATCH(1,(Ranks!$B34='Point Data'!$B$2:$B$225)*(Ranks!O$18='Point Data'!$D$2:$D$225),0)))</f>
        <v>105.17</v>
      </c>
      <c r="P34" s="451" t="str">
        <f t="array" ref="P34">IF(P$18&gt;Standings!$Q$27,"",INDEX('Point Data'!$K$2:$K$225,MATCH(1,(Ranks!$B34='Point Data'!$B$2:$B$225)*(Ranks!P$18='Point Data'!$D$2:$D$225),0)))</f>
        <v/>
      </c>
      <c r="Q34" s="472">
        <f t="shared" ca="1" si="7"/>
        <v>1372.8500000000001</v>
      </c>
      <c r="R34" s="452">
        <f ca="1">Q34/Standings!$Q$27</f>
        <v>105.60384615384616</v>
      </c>
      <c r="S34" s="452">
        <f t="shared" ca="1" si="8"/>
        <v>53.05</v>
      </c>
      <c r="T34" s="106">
        <f t="array" aca="1" ref="T34" ca="1">INDEX('Point Data'!$AR$2:$AR$225,MATCH(1,(Ranks!$B34='Point Data'!$B$2:$B$225)*(Standings!$Q$27='Point Data'!$D$2:$D$225),0))</f>
        <v>5</v>
      </c>
      <c r="U34" s="106">
        <f ca="1">RANK(Q34,$Q$19:$Q$34)</f>
        <v>5</v>
      </c>
      <c r="V34" s="537"/>
      <c r="AT34" s="134"/>
      <c r="AU34" s="134"/>
      <c r="AV34" s="134"/>
    </row>
    <row r="35" spans="2:48" ht="16" thickBot="1">
      <c r="B35" s="35" t="s">
        <v>130</v>
      </c>
      <c r="C35" s="76">
        <v>1</v>
      </c>
      <c r="D35" s="76">
        <v>2</v>
      </c>
      <c r="E35" s="76">
        <v>3</v>
      </c>
      <c r="F35" s="76">
        <v>4</v>
      </c>
      <c r="G35" s="76">
        <v>5</v>
      </c>
      <c r="H35" s="76">
        <v>6</v>
      </c>
      <c r="I35" s="76">
        <v>7</v>
      </c>
      <c r="J35" s="76">
        <v>8</v>
      </c>
      <c r="K35" s="76">
        <v>9</v>
      </c>
      <c r="L35" s="76">
        <v>10</v>
      </c>
      <c r="M35" s="76">
        <v>11</v>
      </c>
      <c r="N35" s="76">
        <v>12</v>
      </c>
      <c r="O35" s="76">
        <v>13</v>
      </c>
      <c r="P35" s="552">
        <v>14</v>
      </c>
      <c r="Q35" s="341" t="s">
        <v>82</v>
      </c>
      <c r="R35" s="341" t="s">
        <v>72</v>
      </c>
      <c r="S35" s="341" t="s">
        <v>83</v>
      </c>
      <c r="T35" s="83" t="s">
        <v>89</v>
      </c>
      <c r="U35" s="84" t="s">
        <v>131</v>
      </c>
      <c r="W35" s="7"/>
    </row>
    <row r="36" spans="2:48">
      <c r="B36" s="205" t="str">
        <f>'Point Data'!$B$2</f>
        <v>Team 1</v>
      </c>
      <c r="C36" s="164">
        <f t="array" aca="1" ref="C36" ca="1">INDEX('Point Data'!$G$2:$G$225,MATCH(1,(C$35='Point Data'!$D$2:$D$225)*(Ranks!$B36='Point Data'!$B$2:$B$225),0))</f>
        <v>6</v>
      </c>
      <c r="D36" s="165">
        <f t="array" aca="1" ref="D36" ca="1">INDEX('Point Data'!$G$2:$G$225,MATCH(1,(D$35='Point Data'!$D$2:$D$225)*(Ranks!$B36='Point Data'!$B$2:$B$225),0))</f>
        <v>13</v>
      </c>
      <c r="E36" s="165">
        <f t="array" aca="1" ref="E36" ca="1">INDEX('Point Data'!$G$2:$G$225,MATCH(1,(E$35='Point Data'!$D$2:$D$225)*(Ranks!$B36='Point Data'!$B$2:$B$225),0))</f>
        <v>12</v>
      </c>
      <c r="F36" s="165">
        <f t="array" aca="1" ref="F36" ca="1">INDEX('Point Data'!$G$2:$G$225,MATCH(1,(F$35='Point Data'!$D$2:$D$225)*(Ranks!$B36='Point Data'!$B$2:$B$225),0))</f>
        <v>13</v>
      </c>
      <c r="G36" s="165">
        <f t="array" aca="1" ref="G36" ca="1">INDEX('Point Data'!$G$2:$G$225,MATCH(1,(G$35='Point Data'!$D$2:$D$225)*(Ranks!$B36='Point Data'!$B$2:$B$225),0))</f>
        <v>15</v>
      </c>
      <c r="H36" s="165">
        <f t="array" aca="1" ref="H36" ca="1">INDEX('Point Data'!$G$2:$G$225,MATCH(1,(H$35='Point Data'!$D$2:$D$225)*(Ranks!$B36='Point Data'!$B$2:$B$225),0))</f>
        <v>16</v>
      </c>
      <c r="I36" s="165">
        <f t="array" aca="1" ref="I36" ca="1">INDEX('Point Data'!$G$2:$G$225,MATCH(1,(I$35='Point Data'!$D$2:$D$225)*(Ranks!$B36='Point Data'!$B$2:$B$225),0))</f>
        <v>16</v>
      </c>
      <c r="J36" s="165">
        <f t="array" aca="1" ref="J36" ca="1">INDEX('Point Data'!$G$2:$G$225,MATCH(1,(J$35='Point Data'!$D$2:$D$225)*(Ranks!$B36='Point Data'!$B$2:$B$225),0))</f>
        <v>16</v>
      </c>
      <c r="K36" s="165">
        <f t="array" aca="1" ref="K36" ca="1">INDEX('Point Data'!$G$2:$G$225,MATCH(1,(K$35='Point Data'!$D$2:$D$225)*(Ranks!$B36='Point Data'!$B$2:$B$225),0))</f>
        <v>16</v>
      </c>
      <c r="L36" s="165">
        <f t="array" aca="1" ref="L36" ca="1">INDEX('Point Data'!$G$2:$G$225,MATCH(1,(L$35='Point Data'!$D$2:$D$225)*(Ranks!$B36='Point Data'!$B$2:$B$225),0))</f>
        <v>16</v>
      </c>
      <c r="M36" s="165">
        <f t="array" aca="1" ref="M36" ca="1">INDEX('Point Data'!$G$2:$G$225,MATCH(1,(M$35='Point Data'!$D$2:$D$225)*(Ranks!$B36='Point Data'!$B$2:$B$225),0))</f>
        <v>16</v>
      </c>
      <c r="N36" s="165">
        <f t="array" aca="1" ref="N36" ca="1">INDEX('Point Data'!$G$2:$G$225,MATCH(1,(N$35='Point Data'!$D$2:$D$225)*(Ranks!$B36='Point Data'!$B$2:$B$225),0))</f>
        <v>16</v>
      </c>
      <c r="O36" s="165">
        <f t="array" aca="1" ref="O36" ca="1">INDEX('Point Data'!$G$2:$G$225,MATCH(1,(O$35='Point Data'!$D$2:$D$225)*(Ranks!$B36='Point Data'!$B$2:$B$225),0))</f>
        <v>16</v>
      </c>
      <c r="P36" s="567" t="str">
        <f t="array" ref="P36">INDEX('Point Data'!$G$2:$G$225,MATCH(1,(P$35='Point Data'!$D$2:$D$225)*(Ranks!$B36='Point Data'!$B$2:$B$225),0))</f>
        <v/>
      </c>
      <c r="Q36" s="102">
        <f ca="1">MIN($C36:$P36)</f>
        <v>6</v>
      </c>
      <c r="R36" s="96">
        <f ca="1">AVERAGE($C36:$P36)</f>
        <v>14.384615384615385</v>
      </c>
      <c r="S36" s="102">
        <f ca="1">MAX($C36:$P36)</f>
        <v>16</v>
      </c>
      <c r="T36" s="102">
        <f ca="1">(COUNTIF($C36:$P36,"&lt;="&amp;7)/Standings!$Q$27)*100</f>
        <v>7.6923076923076925</v>
      </c>
      <c r="U36" s="102">
        <f ca="1">(COUNTIF($C87:$P87,"&lt;"&amp;3)/Standings!$Q$27)*100</f>
        <v>0</v>
      </c>
    </row>
    <row r="37" spans="2:48">
      <c r="B37" s="206" t="str">
        <f>'Point Data'!$B$16</f>
        <v>Team 2</v>
      </c>
      <c r="C37" s="166">
        <f t="array" aca="1" ref="C37" ca="1">INDEX('Point Data'!$G$2:$G$225,MATCH(1,(C$35='Point Data'!$D$2:$D$225)*(Ranks!$B37='Point Data'!$B$2:$B$225),0))</f>
        <v>8</v>
      </c>
      <c r="D37" s="75">
        <f t="array" aca="1" ref="D37" ca="1">INDEX('Point Data'!$G$2:$G$225,MATCH(1,(D$35='Point Data'!$D$2:$D$225)*(Ranks!$B37='Point Data'!$B$2:$B$225),0))</f>
        <v>4</v>
      </c>
      <c r="E37" s="75">
        <f t="array" aca="1" ref="E37" ca="1">INDEX('Point Data'!$G$2:$G$225,MATCH(1,(E$35='Point Data'!$D$2:$D$225)*(Ranks!$B37='Point Data'!$B$2:$B$225),0))</f>
        <v>7</v>
      </c>
      <c r="F37" s="75">
        <f t="array" aca="1" ref="F37" ca="1">INDEX('Point Data'!$G$2:$G$225,MATCH(1,(F$35='Point Data'!$D$2:$D$225)*(Ranks!$B37='Point Data'!$B$2:$B$225),0))</f>
        <v>7</v>
      </c>
      <c r="G37" s="75">
        <f t="array" aca="1" ref="G37" ca="1">INDEX('Point Data'!$G$2:$G$225,MATCH(1,(G$35='Point Data'!$D$2:$D$225)*(Ranks!$B37='Point Data'!$B$2:$B$225),0))</f>
        <v>3</v>
      </c>
      <c r="H37" s="75">
        <f t="array" aca="1" ref="H37" ca="1">INDEX('Point Data'!$G$2:$G$225,MATCH(1,(H$35='Point Data'!$D$2:$D$225)*(Ranks!$B37='Point Data'!$B$2:$B$225),0))</f>
        <v>1</v>
      </c>
      <c r="I37" s="75">
        <f t="array" aca="1" ref="I37" ca="1">INDEX('Point Data'!$G$2:$G$225,MATCH(1,(I$35='Point Data'!$D$2:$D$225)*(Ranks!$B37='Point Data'!$B$2:$B$225),0))</f>
        <v>1</v>
      </c>
      <c r="J37" s="75">
        <f t="array" aca="1" ref="J37" ca="1">INDEX('Point Data'!$G$2:$G$225,MATCH(1,(J$35='Point Data'!$D$2:$D$225)*(Ranks!$B37='Point Data'!$B$2:$B$225),0))</f>
        <v>3</v>
      </c>
      <c r="K37" s="75">
        <f t="array" aca="1" ref="K37" ca="1">INDEX('Point Data'!$G$2:$G$225,MATCH(1,(K$35='Point Data'!$D$2:$D$225)*(Ranks!$B37='Point Data'!$B$2:$B$225),0))</f>
        <v>3</v>
      </c>
      <c r="L37" s="75">
        <f t="array" aca="1" ref="L37" ca="1">INDEX('Point Data'!$G$2:$G$225,MATCH(1,(L$35='Point Data'!$D$2:$D$225)*(Ranks!$B37='Point Data'!$B$2:$B$225),0))</f>
        <v>3</v>
      </c>
      <c r="M37" s="75">
        <f t="array" aca="1" ref="M37" ca="1">INDEX('Point Data'!$G$2:$G$225,MATCH(1,(M$35='Point Data'!$D$2:$D$225)*(Ranks!$B37='Point Data'!$B$2:$B$225),0))</f>
        <v>7</v>
      </c>
      <c r="N37" s="75">
        <f t="array" aca="1" ref="N37" ca="1">INDEX('Point Data'!$G$2:$G$225,MATCH(1,(N$35='Point Data'!$D$2:$D$225)*(Ranks!$B37='Point Data'!$B$2:$B$225),0))</f>
        <v>7</v>
      </c>
      <c r="O37" s="75">
        <f t="array" aca="1" ref="O37" ca="1">INDEX('Point Data'!$G$2:$G$225,MATCH(1,(O$35='Point Data'!$D$2:$D$225)*(Ranks!$B37='Point Data'!$B$2:$B$225),0))</f>
        <v>7</v>
      </c>
      <c r="P37" s="568" t="str">
        <f t="array" ref="P37">INDEX('Point Data'!$G$2:$G$225,MATCH(1,(P$35='Point Data'!$D$2:$D$225)*(Ranks!$B37='Point Data'!$B$2:$B$225),0))</f>
        <v/>
      </c>
      <c r="Q37" s="103">
        <f t="shared" ref="Q37:Q51" ca="1" si="10">MIN($C37:$P37)</f>
        <v>1</v>
      </c>
      <c r="R37" s="97">
        <f t="shared" ref="R37:R51" ca="1" si="11">AVERAGE($C37:$P37)</f>
        <v>4.6923076923076925</v>
      </c>
      <c r="S37" s="103">
        <f t="shared" ref="S37:S51" ca="1" si="12">MAX($C37:$P37)</f>
        <v>8</v>
      </c>
      <c r="T37" s="103">
        <f ca="1">(COUNTIF($C37:$P37,"&lt;="&amp;7)/Standings!$Q$27)*100</f>
        <v>92.307692307692307</v>
      </c>
      <c r="U37" s="103">
        <f ca="1">(COUNTIF($C88:$P88,"&lt;"&amp;3)/Standings!$Q$27)*100</f>
        <v>53.846153846153847</v>
      </c>
    </row>
    <row r="38" spans="2:48">
      <c r="B38" s="206" t="str">
        <f>'Point Data'!$B$30</f>
        <v>Team 3</v>
      </c>
      <c r="C38" s="166">
        <f t="array" aca="1" ref="C38" ca="1">INDEX('Point Data'!$G$2:$G$225,MATCH(1,(C$35='Point Data'!$D$2:$D$225)*(Ranks!$B38='Point Data'!$B$2:$B$225),0))</f>
        <v>11</v>
      </c>
      <c r="D38" s="75">
        <f t="array" aca="1" ref="D38" ca="1">INDEX('Point Data'!$G$2:$G$225,MATCH(1,(D$35='Point Data'!$D$2:$D$225)*(Ranks!$B38='Point Data'!$B$2:$B$225),0))</f>
        <v>12</v>
      </c>
      <c r="E38" s="75">
        <f t="array" aca="1" ref="E38" ca="1">INDEX('Point Data'!$G$2:$G$225,MATCH(1,(E$35='Point Data'!$D$2:$D$225)*(Ranks!$B38='Point Data'!$B$2:$B$225),0))</f>
        <v>15</v>
      </c>
      <c r="F38" s="75">
        <f t="array" aca="1" ref="F38" ca="1">INDEX('Point Data'!$G$2:$G$225,MATCH(1,(F$35='Point Data'!$D$2:$D$225)*(Ranks!$B38='Point Data'!$B$2:$B$225),0))</f>
        <v>16</v>
      </c>
      <c r="G38" s="75">
        <f t="array" aca="1" ref="G38" ca="1">INDEX('Point Data'!$G$2:$G$225,MATCH(1,(G$35='Point Data'!$D$2:$D$225)*(Ranks!$B38='Point Data'!$B$2:$B$225),0))</f>
        <v>13</v>
      </c>
      <c r="H38" s="75">
        <f t="array" aca="1" ref="H38" ca="1">INDEX('Point Data'!$G$2:$G$225,MATCH(1,(H$35='Point Data'!$D$2:$D$225)*(Ranks!$B38='Point Data'!$B$2:$B$225),0))</f>
        <v>15</v>
      </c>
      <c r="I38" s="75">
        <f t="array" aca="1" ref="I38" ca="1">INDEX('Point Data'!$G$2:$G$225,MATCH(1,(I$35='Point Data'!$D$2:$D$225)*(Ranks!$B38='Point Data'!$B$2:$B$225),0))</f>
        <v>14</v>
      </c>
      <c r="J38" s="75">
        <f t="array" aca="1" ref="J38" ca="1">INDEX('Point Data'!$G$2:$G$225,MATCH(1,(J$35='Point Data'!$D$2:$D$225)*(Ranks!$B38='Point Data'!$B$2:$B$225),0))</f>
        <v>13</v>
      </c>
      <c r="K38" s="75">
        <f t="array" aca="1" ref="K38" ca="1">INDEX('Point Data'!$G$2:$G$225,MATCH(1,(K$35='Point Data'!$D$2:$D$225)*(Ranks!$B38='Point Data'!$B$2:$B$225),0))</f>
        <v>11</v>
      </c>
      <c r="L38" s="75">
        <f t="array" aca="1" ref="L38" ca="1">INDEX('Point Data'!$G$2:$G$225,MATCH(1,(L$35='Point Data'!$D$2:$D$225)*(Ranks!$B38='Point Data'!$B$2:$B$225),0))</f>
        <v>12</v>
      </c>
      <c r="M38" s="75">
        <f t="array" aca="1" ref="M38" ca="1">INDEX('Point Data'!$G$2:$G$225,MATCH(1,(M$35='Point Data'!$D$2:$D$225)*(Ranks!$B38='Point Data'!$B$2:$B$225),0))</f>
        <v>13</v>
      </c>
      <c r="N38" s="75">
        <f t="array" aca="1" ref="N38" ca="1">INDEX('Point Data'!$G$2:$G$225,MATCH(1,(N$35='Point Data'!$D$2:$D$225)*(Ranks!$B38='Point Data'!$B$2:$B$225),0))</f>
        <v>14</v>
      </c>
      <c r="O38" s="75">
        <f t="array" aca="1" ref="O38" ca="1">INDEX('Point Data'!$G$2:$G$225,MATCH(1,(O$35='Point Data'!$D$2:$D$225)*(Ranks!$B38='Point Data'!$B$2:$B$225),0))</f>
        <v>11</v>
      </c>
      <c r="P38" s="568" t="str">
        <f t="array" ref="P38">INDEX('Point Data'!$G$2:$G$225,MATCH(1,(P$35='Point Data'!$D$2:$D$225)*(Ranks!$B38='Point Data'!$B$2:$B$225),0))</f>
        <v/>
      </c>
      <c r="Q38" s="103">
        <f t="shared" ca="1" si="10"/>
        <v>11</v>
      </c>
      <c r="R38" s="97">
        <f t="shared" ca="1" si="11"/>
        <v>13.076923076923077</v>
      </c>
      <c r="S38" s="103">
        <f t="shared" ca="1" si="12"/>
        <v>16</v>
      </c>
      <c r="T38" s="103">
        <f ca="1">(COUNTIF($C38:$P38,"&lt;="&amp;7)/Standings!$Q$27)*100</f>
        <v>0</v>
      </c>
      <c r="U38" s="103">
        <f ca="1">(COUNTIF($C89:$P89,"&lt;"&amp;3)/Standings!$Q$27)*100</f>
        <v>0</v>
      </c>
    </row>
    <row r="39" spans="2:48">
      <c r="B39" s="206" t="str">
        <f>'Point Data'!$B$44</f>
        <v>Team 4</v>
      </c>
      <c r="C39" s="166">
        <f t="array" aca="1" ref="C39" ca="1">INDEX('Point Data'!$G$2:$G$225,MATCH(1,(C$35='Point Data'!$D$2:$D$225)*(Ranks!$B39='Point Data'!$B$2:$B$225),0))</f>
        <v>10</v>
      </c>
      <c r="D39" s="75">
        <f t="array" aca="1" ref="D39" ca="1">INDEX('Point Data'!$G$2:$G$225,MATCH(1,(D$35='Point Data'!$D$2:$D$225)*(Ranks!$B39='Point Data'!$B$2:$B$225),0))</f>
        <v>11</v>
      </c>
      <c r="E39" s="75">
        <f t="array" aca="1" ref="E39" ca="1">INDEX('Point Data'!$G$2:$G$225,MATCH(1,(E$35='Point Data'!$D$2:$D$225)*(Ranks!$B39='Point Data'!$B$2:$B$225),0))</f>
        <v>9</v>
      </c>
      <c r="F39" s="75">
        <f t="array" aca="1" ref="F39" ca="1">INDEX('Point Data'!$G$2:$G$225,MATCH(1,(F$35='Point Data'!$D$2:$D$225)*(Ranks!$B39='Point Data'!$B$2:$B$225),0))</f>
        <v>11</v>
      </c>
      <c r="G39" s="75">
        <f t="array" aca="1" ref="G39" ca="1">INDEX('Point Data'!$G$2:$G$225,MATCH(1,(G$35='Point Data'!$D$2:$D$225)*(Ranks!$B39='Point Data'!$B$2:$B$225),0))</f>
        <v>10</v>
      </c>
      <c r="H39" s="75">
        <f t="array" aca="1" ref="H39" ca="1">INDEX('Point Data'!$G$2:$G$225,MATCH(1,(H$35='Point Data'!$D$2:$D$225)*(Ranks!$B39='Point Data'!$B$2:$B$225),0))</f>
        <v>8</v>
      </c>
      <c r="I39" s="75">
        <f t="array" aca="1" ref="I39" ca="1">INDEX('Point Data'!$G$2:$G$225,MATCH(1,(I$35='Point Data'!$D$2:$D$225)*(Ranks!$B39='Point Data'!$B$2:$B$225),0))</f>
        <v>7</v>
      </c>
      <c r="J39" s="75">
        <f t="array" aca="1" ref="J39" ca="1">INDEX('Point Data'!$G$2:$G$225,MATCH(1,(J$35='Point Data'!$D$2:$D$225)*(Ranks!$B39='Point Data'!$B$2:$B$225),0))</f>
        <v>7</v>
      </c>
      <c r="K39" s="75">
        <f t="array" aca="1" ref="K39" ca="1">INDEX('Point Data'!$G$2:$G$225,MATCH(1,(K$35='Point Data'!$D$2:$D$225)*(Ranks!$B39='Point Data'!$B$2:$B$225),0))</f>
        <v>10</v>
      </c>
      <c r="L39" s="75">
        <f t="array" aca="1" ref="L39" ca="1">INDEX('Point Data'!$G$2:$G$225,MATCH(1,(L$35='Point Data'!$D$2:$D$225)*(Ranks!$B39='Point Data'!$B$2:$B$225),0))</f>
        <v>10</v>
      </c>
      <c r="M39" s="75">
        <f t="array" aca="1" ref="M39" ca="1">INDEX('Point Data'!$G$2:$G$225,MATCH(1,(M$35='Point Data'!$D$2:$D$225)*(Ranks!$B39='Point Data'!$B$2:$B$225),0))</f>
        <v>9</v>
      </c>
      <c r="N39" s="75">
        <f t="array" aca="1" ref="N39" ca="1">INDEX('Point Data'!$G$2:$G$225,MATCH(1,(N$35='Point Data'!$D$2:$D$225)*(Ranks!$B39='Point Data'!$B$2:$B$225),0))</f>
        <v>9</v>
      </c>
      <c r="O39" s="75">
        <f t="array" aca="1" ref="O39" ca="1">INDEX('Point Data'!$G$2:$G$225,MATCH(1,(O$35='Point Data'!$D$2:$D$225)*(Ranks!$B39='Point Data'!$B$2:$B$225),0))</f>
        <v>8</v>
      </c>
      <c r="P39" s="568" t="str">
        <f t="array" ref="P39">INDEX('Point Data'!$G$2:$G$225,MATCH(1,(P$35='Point Data'!$D$2:$D$225)*(Ranks!$B39='Point Data'!$B$2:$B$225),0))</f>
        <v/>
      </c>
      <c r="Q39" s="103">
        <f t="shared" ca="1" si="10"/>
        <v>7</v>
      </c>
      <c r="R39" s="97">
        <f t="shared" ca="1" si="11"/>
        <v>9.1538461538461533</v>
      </c>
      <c r="S39" s="103">
        <f t="shared" ca="1" si="12"/>
        <v>11</v>
      </c>
      <c r="T39" s="103">
        <f ca="1">(COUNTIF($C39:$P39,"&lt;="&amp;7)/Standings!$Q$27)*100</f>
        <v>15.384615384615385</v>
      </c>
      <c r="U39" s="103">
        <f ca="1">(COUNTIF($C90:$P90,"&lt;"&amp;3)/Standings!$Q$27)*100</f>
        <v>0</v>
      </c>
    </row>
    <row r="40" spans="2:48">
      <c r="B40" s="206" t="str">
        <f>'Point Data'!$B$58</f>
        <v>Team 5</v>
      </c>
      <c r="C40" s="166">
        <f t="array" aca="1" ref="C40" ca="1">INDEX('Point Data'!$G$2:$G$225,MATCH(1,(C$35='Point Data'!$D$2:$D$225)*(Ranks!$B40='Point Data'!$B$2:$B$225),0))</f>
        <v>13</v>
      </c>
      <c r="D40" s="75">
        <f t="array" aca="1" ref="D40" ca="1">INDEX('Point Data'!$G$2:$G$225,MATCH(1,(D$35='Point Data'!$D$2:$D$225)*(Ranks!$B40='Point Data'!$B$2:$B$225),0))</f>
        <v>10</v>
      </c>
      <c r="E40" s="75">
        <f t="array" aca="1" ref="E40" ca="1">INDEX('Point Data'!$G$2:$G$225,MATCH(1,(E$35='Point Data'!$D$2:$D$225)*(Ranks!$B40='Point Data'!$B$2:$B$225),0))</f>
        <v>4</v>
      </c>
      <c r="F40" s="75">
        <f t="array" aca="1" ref="F40" ca="1">INDEX('Point Data'!$G$2:$G$225,MATCH(1,(F$35='Point Data'!$D$2:$D$225)*(Ranks!$B40='Point Data'!$B$2:$B$225),0))</f>
        <v>2</v>
      </c>
      <c r="G40" s="75">
        <f t="array" aca="1" ref="G40" ca="1">INDEX('Point Data'!$G$2:$G$225,MATCH(1,(G$35='Point Data'!$D$2:$D$225)*(Ranks!$B40='Point Data'!$B$2:$B$225),0))</f>
        <v>2</v>
      </c>
      <c r="H40" s="75">
        <f t="array" aca="1" ref="H40" ca="1">INDEX('Point Data'!$G$2:$G$225,MATCH(1,(H$35='Point Data'!$D$2:$D$225)*(Ranks!$B40='Point Data'!$B$2:$B$225),0))</f>
        <v>7</v>
      </c>
      <c r="I40" s="75">
        <f t="array" aca="1" ref="I40" ca="1">INDEX('Point Data'!$G$2:$G$225,MATCH(1,(I$35='Point Data'!$D$2:$D$225)*(Ranks!$B40='Point Data'!$B$2:$B$225),0))</f>
        <v>3</v>
      </c>
      <c r="J40" s="75">
        <f t="array" aca="1" ref="J40" ca="1">INDEX('Point Data'!$G$2:$G$225,MATCH(1,(J$35='Point Data'!$D$2:$D$225)*(Ranks!$B40='Point Data'!$B$2:$B$225),0))</f>
        <v>1</v>
      </c>
      <c r="K40" s="75">
        <f t="array" aca="1" ref="K40" ca="1">INDEX('Point Data'!$G$2:$G$225,MATCH(1,(K$35='Point Data'!$D$2:$D$225)*(Ranks!$B40='Point Data'!$B$2:$B$225),0))</f>
        <v>1</v>
      </c>
      <c r="L40" s="75">
        <f t="array" aca="1" ref="L40" ca="1">INDEX('Point Data'!$G$2:$G$225,MATCH(1,(L$35='Point Data'!$D$2:$D$225)*(Ranks!$B40='Point Data'!$B$2:$B$225),0))</f>
        <v>1</v>
      </c>
      <c r="M40" s="75">
        <f t="array" aca="1" ref="M40" ca="1">INDEX('Point Data'!$G$2:$G$225,MATCH(1,(M$35='Point Data'!$D$2:$D$225)*(Ranks!$B40='Point Data'!$B$2:$B$225),0))</f>
        <v>1</v>
      </c>
      <c r="N40" s="75">
        <f t="array" aca="1" ref="N40" ca="1">INDEX('Point Data'!$G$2:$G$225,MATCH(1,(N$35='Point Data'!$D$2:$D$225)*(Ranks!$B40='Point Data'!$B$2:$B$225),0))</f>
        <v>1</v>
      </c>
      <c r="O40" s="75">
        <f t="array" aca="1" ref="O40" ca="1">INDEX('Point Data'!$G$2:$G$225,MATCH(1,(O$35='Point Data'!$D$2:$D$225)*(Ranks!$B40='Point Data'!$B$2:$B$225),0))</f>
        <v>1</v>
      </c>
      <c r="P40" s="568" t="str">
        <f t="array" ref="P40">INDEX('Point Data'!$G$2:$G$225,MATCH(1,(P$35='Point Data'!$D$2:$D$225)*(Ranks!$B40='Point Data'!$B$2:$B$225),0))</f>
        <v/>
      </c>
      <c r="Q40" s="103">
        <f t="shared" ca="1" si="10"/>
        <v>1</v>
      </c>
      <c r="R40" s="97">
        <f t="shared" ca="1" si="11"/>
        <v>3.6153846153846154</v>
      </c>
      <c r="S40" s="103">
        <f t="shared" ca="1" si="12"/>
        <v>13</v>
      </c>
      <c r="T40" s="103">
        <f ca="1">(COUNTIF($C40:$P40,"&lt;="&amp;7)/Standings!$Q$27)*100</f>
        <v>84.615384615384613</v>
      </c>
      <c r="U40" s="103">
        <f ca="1">(COUNTIF($C91:$P91,"&lt;"&amp;3)/Standings!$Q$27)*100</f>
        <v>76.923076923076934</v>
      </c>
    </row>
    <row r="41" spans="2:48">
      <c r="B41" s="206" t="str">
        <f>'Point Data'!$B$72</f>
        <v>Team 6</v>
      </c>
      <c r="C41" s="166">
        <f t="array" aca="1" ref="C41" ca="1">INDEX('Point Data'!$G$2:$G$225,MATCH(1,(C$35='Point Data'!$D$2:$D$225)*(Ranks!$B41='Point Data'!$B$2:$B$225),0))</f>
        <v>4</v>
      </c>
      <c r="D41" s="75">
        <f t="array" aca="1" ref="D41" ca="1">INDEX('Point Data'!$G$2:$G$225,MATCH(1,(D$35='Point Data'!$D$2:$D$225)*(Ranks!$B41='Point Data'!$B$2:$B$225),0))</f>
        <v>8</v>
      </c>
      <c r="E41" s="75">
        <f t="array" aca="1" ref="E41" ca="1">INDEX('Point Data'!$G$2:$G$225,MATCH(1,(E$35='Point Data'!$D$2:$D$225)*(Ranks!$B41='Point Data'!$B$2:$B$225),0))</f>
        <v>8</v>
      </c>
      <c r="F41" s="75">
        <f t="array" aca="1" ref="F41" ca="1">INDEX('Point Data'!$G$2:$G$225,MATCH(1,(F$35='Point Data'!$D$2:$D$225)*(Ranks!$B41='Point Data'!$B$2:$B$225),0))</f>
        <v>10</v>
      </c>
      <c r="G41" s="75">
        <f t="array" aca="1" ref="G41" ca="1">INDEX('Point Data'!$G$2:$G$225,MATCH(1,(G$35='Point Data'!$D$2:$D$225)*(Ranks!$B41='Point Data'!$B$2:$B$225),0))</f>
        <v>9</v>
      </c>
      <c r="H41" s="75">
        <f t="array" aca="1" ref="H41" ca="1">INDEX('Point Data'!$G$2:$G$225,MATCH(1,(H$35='Point Data'!$D$2:$D$225)*(Ranks!$B41='Point Data'!$B$2:$B$225),0))</f>
        <v>11</v>
      </c>
      <c r="I41" s="75">
        <f t="array" aca="1" ref="I41" ca="1">INDEX('Point Data'!$G$2:$G$225,MATCH(1,(I$35='Point Data'!$D$2:$D$225)*(Ranks!$B41='Point Data'!$B$2:$B$225),0))</f>
        <v>9</v>
      </c>
      <c r="J41" s="75">
        <f t="array" aca="1" ref="J41" ca="1">INDEX('Point Data'!$G$2:$G$225,MATCH(1,(J$35='Point Data'!$D$2:$D$225)*(Ranks!$B41='Point Data'!$B$2:$B$225),0))</f>
        <v>8</v>
      </c>
      <c r="K41" s="75">
        <f t="array" aca="1" ref="K41" ca="1">INDEX('Point Data'!$G$2:$G$225,MATCH(1,(K$35='Point Data'!$D$2:$D$225)*(Ranks!$B41='Point Data'!$B$2:$B$225),0))</f>
        <v>9</v>
      </c>
      <c r="L41" s="75">
        <f t="array" aca="1" ref="L41" ca="1">INDEX('Point Data'!$G$2:$G$225,MATCH(1,(L$35='Point Data'!$D$2:$D$225)*(Ranks!$B41='Point Data'!$B$2:$B$225),0))</f>
        <v>8</v>
      </c>
      <c r="M41" s="75">
        <f t="array" aca="1" ref="M41" ca="1">INDEX('Point Data'!$G$2:$G$225,MATCH(1,(M$35='Point Data'!$D$2:$D$225)*(Ranks!$B41='Point Data'!$B$2:$B$225),0))</f>
        <v>8</v>
      </c>
      <c r="N41" s="75">
        <f t="array" aca="1" ref="N41" ca="1">INDEX('Point Data'!$G$2:$G$225,MATCH(1,(N$35='Point Data'!$D$2:$D$225)*(Ranks!$B41='Point Data'!$B$2:$B$225),0))</f>
        <v>3</v>
      </c>
      <c r="O41" s="75">
        <f t="array" aca="1" ref="O41" ca="1">INDEX('Point Data'!$G$2:$G$225,MATCH(1,(O$35='Point Data'!$D$2:$D$225)*(Ranks!$B41='Point Data'!$B$2:$B$225),0))</f>
        <v>3</v>
      </c>
      <c r="P41" s="568" t="str">
        <f t="array" ref="P41">INDEX('Point Data'!$G$2:$G$225,MATCH(1,(P$35='Point Data'!$D$2:$D$225)*(Ranks!$B41='Point Data'!$B$2:$B$225),0))</f>
        <v/>
      </c>
      <c r="Q41" s="103">
        <f t="shared" ca="1" si="10"/>
        <v>3</v>
      </c>
      <c r="R41" s="97">
        <f t="shared" ca="1" si="11"/>
        <v>7.5384615384615383</v>
      </c>
      <c r="S41" s="103">
        <f t="shared" ca="1" si="12"/>
        <v>11</v>
      </c>
      <c r="T41" s="103">
        <f ca="1">(COUNTIF($C41:$P41,"&lt;="&amp;7)/Standings!$Q$27)*100</f>
        <v>23.076923076923077</v>
      </c>
      <c r="U41" s="103">
        <f ca="1">(COUNTIF($C92:$P92,"&lt;"&amp;3)/Standings!$Q$27)*100</f>
        <v>23.076923076923077</v>
      </c>
    </row>
    <row r="42" spans="2:48">
      <c r="B42" s="206" t="str">
        <f>'Point Data'!$B$86</f>
        <v>Team 7</v>
      </c>
      <c r="C42" s="166">
        <f t="array" aca="1" ref="C42" ca="1">INDEX('Point Data'!$G$2:$G$225,MATCH(1,(C$35='Point Data'!$D$2:$D$225)*(Ranks!$B42='Point Data'!$B$2:$B$225),0))</f>
        <v>9</v>
      </c>
      <c r="D42" s="75">
        <f t="array" aca="1" ref="D42" ca="1">INDEX('Point Data'!$G$2:$G$225,MATCH(1,(D$35='Point Data'!$D$2:$D$225)*(Ranks!$B42='Point Data'!$B$2:$B$225),0))</f>
        <v>2</v>
      </c>
      <c r="E42" s="75">
        <f t="array" aca="1" ref="E42" ca="1">INDEX('Point Data'!$G$2:$G$225,MATCH(1,(E$35='Point Data'!$D$2:$D$225)*(Ranks!$B42='Point Data'!$B$2:$B$225),0))</f>
        <v>2</v>
      </c>
      <c r="F42" s="75">
        <f t="array" aca="1" ref="F42" ca="1">INDEX('Point Data'!$G$2:$G$225,MATCH(1,(F$35='Point Data'!$D$2:$D$225)*(Ranks!$B42='Point Data'!$B$2:$B$225),0))</f>
        <v>4</v>
      </c>
      <c r="G42" s="75">
        <f t="array" aca="1" ref="G42" ca="1">INDEX('Point Data'!$G$2:$G$225,MATCH(1,(G$35='Point Data'!$D$2:$D$225)*(Ranks!$B42='Point Data'!$B$2:$B$225),0))</f>
        <v>5</v>
      </c>
      <c r="H42" s="75">
        <f t="array" aca="1" ref="H42" ca="1">INDEX('Point Data'!$G$2:$G$225,MATCH(1,(H$35='Point Data'!$D$2:$D$225)*(Ranks!$B42='Point Data'!$B$2:$B$225),0))</f>
        <v>3</v>
      </c>
      <c r="I42" s="75">
        <f t="array" aca="1" ref="I42" ca="1">INDEX('Point Data'!$G$2:$G$225,MATCH(1,(I$35='Point Data'!$D$2:$D$225)*(Ranks!$B42='Point Data'!$B$2:$B$225),0))</f>
        <v>5</v>
      </c>
      <c r="J42" s="75">
        <f t="array" aca="1" ref="J42" ca="1">INDEX('Point Data'!$G$2:$G$225,MATCH(1,(J$35='Point Data'!$D$2:$D$225)*(Ranks!$B42='Point Data'!$B$2:$B$225),0))</f>
        <v>5</v>
      </c>
      <c r="K42" s="75">
        <f t="array" aca="1" ref="K42" ca="1">INDEX('Point Data'!$G$2:$G$225,MATCH(1,(K$35='Point Data'!$D$2:$D$225)*(Ranks!$B42='Point Data'!$B$2:$B$225),0))</f>
        <v>5</v>
      </c>
      <c r="L42" s="75">
        <f t="array" aca="1" ref="L42" ca="1">INDEX('Point Data'!$G$2:$G$225,MATCH(1,(L$35='Point Data'!$D$2:$D$225)*(Ranks!$B42='Point Data'!$B$2:$B$225),0))</f>
        <v>5</v>
      </c>
      <c r="M42" s="75">
        <f t="array" aca="1" ref="M42" ca="1">INDEX('Point Data'!$G$2:$G$225,MATCH(1,(M$35='Point Data'!$D$2:$D$225)*(Ranks!$B42='Point Data'!$B$2:$B$225),0))</f>
        <v>3</v>
      </c>
      <c r="N42" s="75">
        <f t="array" aca="1" ref="N42" ca="1">INDEX('Point Data'!$G$2:$G$225,MATCH(1,(N$35='Point Data'!$D$2:$D$225)*(Ranks!$B42='Point Data'!$B$2:$B$225),0))</f>
        <v>5</v>
      </c>
      <c r="O42" s="75">
        <f t="array" aca="1" ref="O42" ca="1">INDEX('Point Data'!$G$2:$G$225,MATCH(1,(O$35='Point Data'!$D$2:$D$225)*(Ranks!$B42='Point Data'!$B$2:$B$225),0))</f>
        <v>9</v>
      </c>
      <c r="P42" s="568" t="str">
        <f t="array" ref="P42">INDEX('Point Data'!$G$2:$G$225,MATCH(1,(P$35='Point Data'!$D$2:$D$225)*(Ranks!$B42='Point Data'!$B$2:$B$225),0))</f>
        <v/>
      </c>
      <c r="Q42" s="103">
        <f t="shared" ca="1" si="10"/>
        <v>2</v>
      </c>
      <c r="R42" s="97">
        <f t="shared" ca="1" si="11"/>
        <v>4.7692307692307692</v>
      </c>
      <c r="S42" s="103">
        <f t="shared" ca="1" si="12"/>
        <v>9</v>
      </c>
      <c r="T42" s="103">
        <f ca="1">(COUNTIF($C42:$P42,"&lt;="&amp;7)/Standings!$Q$27)*100</f>
        <v>84.615384615384613</v>
      </c>
      <c r="U42" s="103">
        <f ca="1">(COUNTIF($C93:$P93,"&lt;"&amp;3)/Standings!$Q$27)*100</f>
        <v>38.461538461538467</v>
      </c>
    </row>
    <row r="43" spans="2:48">
      <c r="B43" s="206" t="str">
        <f>'Point Data'!$B$100</f>
        <v>Team 8</v>
      </c>
      <c r="C43" s="166">
        <f t="array" aca="1" ref="C43" ca="1">INDEX('Point Data'!$G$2:$G$225,MATCH(1,(C$35='Point Data'!$D$2:$D$225)*(Ranks!$B43='Point Data'!$B$2:$B$225),0))</f>
        <v>2</v>
      </c>
      <c r="D43" s="75">
        <f t="array" aca="1" ref="D43" ca="1">INDEX('Point Data'!$G$2:$G$225,MATCH(1,(D$35='Point Data'!$D$2:$D$225)*(Ranks!$B43='Point Data'!$B$2:$B$225),0))</f>
        <v>6</v>
      </c>
      <c r="E43" s="75">
        <f t="array" aca="1" ref="E43" ca="1">INDEX('Point Data'!$G$2:$G$225,MATCH(1,(E$35='Point Data'!$D$2:$D$225)*(Ranks!$B43='Point Data'!$B$2:$B$225),0))</f>
        <v>6</v>
      </c>
      <c r="F43" s="75">
        <f t="array" aca="1" ref="F43" ca="1">INDEX('Point Data'!$G$2:$G$225,MATCH(1,(F$35='Point Data'!$D$2:$D$225)*(Ranks!$B43='Point Data'!$B$2:$B$225),0))</f>
        <v>6</v>
      </c>
      <c r="G43" s="75">
        <f t="array" aca="1" ref="G43" ca="1">INDEX('Point Data'!$G$2:$G$225,MATCH(1,(G$35='Point Data'!$D$2:$D$225)*(Ranks!$B43='Point Data'!$B$2:$B$225),0))</f>
        <v>7</v>
      </c>
      <c r="H43" s="75">
        <f t="array" aca="1" ref="H43" ca="1">INDEX('Point Data'!$G$2:$G$225,MATCH(1,(H$35='Point Data'!$D$2:$D$225)*(Ranks!$B43='Point Data'!$B$2:$B$225),0))</f>
        <v>5</v>
      </c>
      <c r="I43" s="75">
        <f t="array" aca="1" ref="I43" ca="1">INDEX('Point Data'!$G$2:$G$225,MATCH(1,(I$35='Point Data'!$D$2:$D$225)*(Ranks!$B43='Point Data'!$B$2:$B$225),0))</f>
        <v>8</v>
      </c>
      <c r="J43" s="75">
        <f t="array" aca="1" ref="J43" ca="1">INDEX('Point Data'!$G$2:$G$225,MATCH(1,(J$35='Point Data'!$D$2:$D$225)*(Ranks!$B43='Point Data'!$B$2:$B$225),0))</f>
        <v>10</v>
      </c>
      <c r="K43" s="75">
        <f t="array" aca="1" ref="K43" ca="1">INDEX('Point Data'!$G$2:$G$225,MATCH(1,(K$35='Point Data'!$D$2:$D$225)*(Ranks!$B43='Point Data'!$B$2:$B$225),0))</f>
        <v>7</v>
      </c>
      <c r="L43" s="75">
        <f t="array" aca="1" ref="L43" ca="1">INDEX('Point Data'!$G$2:$G$225,MATCH(1,(L$35='Point Data'!$D$2:$D$225)*(Ranks!$B43='Point Data'!$B$2:$B$225),0))</f>
        <v>7</v>
      </c>
      <c r="M43" s="75">
        <f t="array" aca="1" ref="M43" ca="1">INDEX('Point Data'!$G$2:$G$225,MATCH(1,(M$35='Point Data'!$D$2:$D$225)*(Ranks!$B43='Point Data'!$B$2:$B$225),0))</f>
        <v>5</v>
      </c>
      <c r="N43" s="75">
        <f t="array" aca="1" ref="N43" ca="1">INDEX('Point Data'!$G$2:$G$225,MATCH(1,(N$35='Point Data'!$D$2:$D$225)*(Ranks!$B43='Point Data'!$B$2:$B$225),0))</f>
        <v>8</v>
      </c>
      <c r="O43" s="75">
        <f t="array" aca="1" ref="O43" ca="1">INDEX('Point Data'!$G$2:$G$225,MATCH(1,(O$35='Point Data'!$D$2:$D$225)*(Ranks!$B43='Point Data'!$B$2:$B$225),0))</f>
        <v>6</v>
      </c>
      <c r="P43" s="568" t="str">
        <f t="array" ref="P43">INDEX('Point Data'!$G$2:$G$225,MATCH(1,(P$35='Point Data'!$D$2:$D$225)*(Ranks!$B43='Point Data'!$B$2:$B$225),0))</f>
        <v/>
      </c>
      <c r="Q43" s="103">
        <f t="shared" ca="1" si="10"/>
        <v>2</v>
      </c>
      <c r="R43" s="97">
        <f t="shared" ca="1" si="11"/>
        <v>6.384615384615385</v>
      </c>
      <c r="S43" s="103">
        <f t="shared" ca="1" si="12"/>
        <v>10</v>
      </c>
      <c r="T43" s="103">
        <f ca="1">(COUNTIF($C43:$P43,"&lt;="&amp;7)/Standings!$Q$27)*100</f>
        <v>76.923076923076934</v>
      </c>
      <c r="U43" s="103">
        <f ca="1">(COUNTIF($C94:$P94,"&lt;"&amp;3)/Standings!$Q$27)*100</f>
        <v>7.6923076923076925</v>
      </c>
    </row>
    <row r="44" spans="2:48">
      <c r="B44" s="207" t="str">
        <f>'Point Data'!$B$114</f>
        <v>Team 9</v>
      </c>
      <c r="C44" s="166">
        <f t="array" aca="1" ref="C44" ca="1">INDEX('Point Data'!$G$2:$G$225,MATCH(1,(C$35='Point Data'!$D$2:$D$225)*(Ranks!$B44='Point Data'!$B$2:$B$225),0))</f>
        <v>1</v>
      </c>
      <c r="D44" s="75">
        <f t="array" aca="1" ref="D44" ca="1">INDEX('Point Data'!$G$2:$G$225,MATCH(1,(D$35='Point Data'!$D$2:$D$225)*(Ranks!$B44='Point Data'!$B$2:$B$225),0))</f>
        <v>1</v>
      </c>
      <c r="E44" s="75">
        <f t="array" aca="1" ref="E44" ca="1">INDEX('Point Data'!$G$2:$G$225,MATCH(1,(E$35='Point Data'!$D$2:$D$225)*(Ranks!$B44='Point Data'!$B$2:$B$225),0))</f>
        <v>5</v>
      </c>
      <c r="F44" s="75">
        <f t="array" aca="1" ref="F44" ca="1">INDEX('Point Data'!$G$2:$G$225,MATCH(1,(F$35='Point Data'!$D$2:$D$225)*(Ranks!$B44='Point Data'!$B$2:$B$225),0))</f>
        <v>1</v>
      </c>
      <c r="G44" s="75">
        <f t="array" aca="1" ref="G44" ca="1">INDEX('Point Data'!$G$2:$G$225,MATCH(1,(G$35='Point Data'!$D$2:$D$225)*(Ranks!$B44='Point Data'!$B$2:$B$225),0))</f>
        <v>1</v>
      </c>
      <c r="H44" s="75">
        <f t="array" aca="1" ref="H44" ca="1">INDEX('Point Data'!$G$2:$G$225,MATCH(1,(H$35='Point Data'!$D$2:$D$225)*(Ranks!$B44='Point Data'!$B$2:$B$225),0))</f>
        <v>2</v>
      </c>
      <c r="I44" s="75">
        <f t="array" aca="1" ref="I44" ca="1">INDEX('Point Data'!$G$2:$G$225,MATCH(1,(I$35='Point Data'!$D$2:$D$225)*(Ranks!$B44='Point Data'!$B$2:$B$225),0))</f>
        <v>4</v>
      </c>
      <c r="J44" s="75">
        <f t="array" aca="1" ref="J44" ca="1">INDEX('Point Data'!$G$2:$G$225,MATCH(1,(J$35='Point Data'!$D$2:$D$225)*(Ranks!$B44='Point Data'!$B$2:$B$225),0))</f>
        <v>4</v>
      </c>
      <c r="K44" s="75">
        <f t="array" aca="1" ref="K44" ca="1">INDEX('Point Data'!$G$2:$G$225,MATCH(1,(K$35='Point Data'!$D$2:$D$225)*(Ranks!$B44='Point Data'!$B$2:$B$225),0))</f>
        <v>4</v>
      </c>
      <c r="L44" s="75">
        <f t="array" aca="1" ref="L44" ca="1">INDEX('Point Data'!$G$2:$G$225,MATCH(1,(L$35='Point Data'!$D$2:$D$225)*(Ranks!$B44='Point Data'!$B$2:$B$225),0))</f>
        <v>2</v>
      </c>
      <c r="M44" s="75">
        <f t="array" aca="1" ref="M44" ca="1">INDEX('Point Data'!$G$2:$G$225,MATCH(1,(M$35='Point Data'!$D$2:$D$225)*(Ranks!$B44='Point Data'!$B$2:$B$225),0))</f>
        <v>2</v>
      </c>
      <c r="N44" s="75">
        <f t="array" aca="1" ref="N44" ca="1">INDEX('Point Data'!$G$2:$G$225,MATCH(1,(N$35='Point Data'!$D$2:$D$225)*(Ranks!$B44='Point Data'!$B$2:$B$225),0))</f>
        <v>2</v>
      </c>
      <c r="O44" s="75">
        <f t="array" aca="1" ref="O44" ca="1">INDEX('Point Data'!$G$2:$G$225,MATCH(1,(O$35='Point Data'!$D$2:$D$225)*(Ranks!$B44='Point Data'!$B$2:$B$225),0))</f>
        <v>2</v>
      </c>
      <c r="P44" s="568" t="str">
        <f t="array" ref="P44">INDEX('Point Data'!$G$2:$G$225,MATCH(1,(P$35='Point Data'!$D$2:$D$225)*(Ranks!$B44='Point Data'!$B$2:$B$225),0))</f>
        <v/>
      </c>
      <c r="Q44" s="103">
        <f t="shared" ca="1" si="10"/>
        <v>1</v>
      </c>
      <c r="R44" s="97">
        <f t="shared" ca="1" si="11"/>
        <v>2.3846153846153846</v>
      </c>
      <c r="S44" s="103">
        <f t="shared" ca="1" si="12"/>
        <v>5</v>
      </c>
      <c r="T44" s="103">
        <f ca="1">(COUNTIF($C44:$P44,"&lt;="&amp;7)/Standings!$Q$27)*100</f>
        <v>100</v>
      </c>
      <c r="U44" s="103">
        <f ca="1">(COUNTIF($C95:$P95,"&lt;"&amp;3)/Standings!$Q$27)*100</f>
        <v>92.307692307692307</v>
      </c>
    </row>
    <row r="45" spans="2:48">
      <c r="B45" s="207" t="str">
        <f>'Point Data'!$B$128</f>
        <v>Team 10</v>
      </c>
      <c r="C45" s="166">
        <f t="array" aca="1" ref="C45" ca="1">INDEX('Point Data'!$G$2:$G$225,MATCH(1,(C$35='Point Data'!$D$2:$D$225)*(Ranks!$B45='Point Data'!$B$2:$B$225),0))</f>
        <v>14</v>
      </c>
      <c r="D45" s="75">
        <f t="array" aca="1" ref="D45" ca="1">INDEX('Point Data'!$G$2:$G$225,MATCH(1,(D$35='Point Data'!$D$2:$D$225)*(Ranks!$B45='Point Data'!$B$2:$B$225),0))</f>
        <v>14</v>
      </c>
      <c r="E45" s="75">
        <f t="array" aca="1" ref="E45" ca="1">INDEX('Point Data'!$G$2:$G$225,MATCH(1,(E$35='Point Data'!$D$2:$D$225)*(Ranks!$B45='Point Data'!$B$2:$B$225),0))</f>
        <v>11</v>
      </c>
      <c r="F45" s="75">
        <f t="array" aca="1" ref="F45" ca="1">INDEX('Point Data'!$G$2:$G$225,MATCH(1,(F$35='Point Data'!$D$2:$D$225)*(Ranks!$B45='Point Data'!$B$2:$B$225),0))</f>
        <v>9</v>
      </c>
      <c r="G45" s="75">
        <f t="array" aca="1" ref="G45" ca="1">INDEX('Point Data'!$G$2:$G$225,MATCH(1,(G$35='Point Data'!$D$2:$D$225)*(Ranks!$B45='Point Data'!$B$2:$B$225),0))</f>
        <v>11</v>
      </c>
      <c r="H45" s="75">
        <f t="array" aca="1" ref="H45" ca="1">INDEX('Point Data'!$G$2:$G$225,MATCH(1,(H$35='Point Data'!$D$2:$D$225)*(Ranks!$B45='Point Data'!$B$2:$B$225),0))</f>
        <v>9</v>
      </c>
      <c r="I45" s="75">
        <f t="array" aca="1" ref="I45" ca="1">INDEX('Point Data'!$G$2:$G$225,MATCH(1,(I$35='Point Data'!$D$2:$D$225)*(Ranks!$B45='Point Data'!$B$2:$B$225),0))</f>
        <v>11</v>
      </c>
      <c r="J45" s="75">
        <f t="array" aca="1" ref="J45" ca="1">INDEX('Point Data'!$G$2:$G$225,MATCH(1,(J$35='Point Data'!$D$2:$D$225)*(Ranks!$B45='Point Data'!$B$2:$B$225),0))</f>
        <v>11</v>
      </c>
      <c r="K45" s="75">
        <f t="array" aca="1" ref="K45" ca="1">INDEX('Point Data'!$G$2:$G$225,MATCH(1,(K$35='Point Data'!$D$2:$D$225)*(Ranks!$B45='Point Data'!$B$2:$B$225),0))</f>
        <v>8</v>
      </c>
      <c r="L45" s="75">
        <f t="array" aca="1" ref="L45" ca="1">INDEX('Point Data'!$G$2:$G$225,MATCH(1,(L$35='Point Data'!$D$2:$D$225)*(Ranks!$B45='Point Data'!$B$2:$B$225),0))</f>
        <v>11</v>
      </c>
      <c r="M45" s="75">
        <f t="array" aca="1" ref="M45" ca="1">INDEX('Point Data'!$G$2:$G$225,MATCH(1,(M$35='Point Data'!$D$2:$D$225)*(Ranks!$B45='Point Data'!$B$2:$B$225),0))</f>
        <v>11</v>
      </c>
      <c r="N45" s="75">
        <f t="array" aca="1" ref="N45" ca="1">INDEX('Point Data'!$G$2:$G$225,MATCH(1,(N$35='Point Data'!$D$2:$D$225)*(Ranks!$B45='Point Data'!$B$2:$B$225),0))</f>
        <v>10</v>
      </c>
      <c r="O45" s="75">
        <f t="array" aca="1" ref="O45" ca="1">INDEX('Point Data'!$G$2:$G$225,MATCH(1,(O$35='Point Data'!$D$2:$D$225)*(Ranks!$B45='Point Data'!$B$2:$B$225),0))</f>
        <v>12</v>
      </c>
      <c r="P45" s="568" t="str">
        <f t="array" ref="P45">INDEX('Point Data'!$G$2:$G$225,MATCH(1,(P$35='Point Data'!$D$2:$D$225)*(Ranks!$B45='Point Data'!$B$2:$B$225),0))</f>
        <v/>
      </c>
      <c r="Q45" s="103">
        <f t="shared" ca="1" si="10"/>
        <v>8</v>
      </c>
      <c r="R45" s="97">
        <f t="shared" ca="1" si="11"/>
        <v>10.923076923076923</v>
      </c>
      <c r="S45" s="103">
        <f t="shared" ca="1" si="12"/>
        <v>14</v>
      </c>
      <c r="T45" s="103">
        <f ca="1">(COUNTIF($C45:$P45,"&lt;="&amp;7)/Standings!$Q$27)*100</f>
        <v>0</v>
      </c>
      <c r="U45" s="103">
        <f ca="1">(COUNTIF($C96:$P96,"&lt;"&amp;3)/Standings!$Q$27)*100</f>
        <v>0</v>
      </c>
    </row>
    <row r="46" spans="2:48">
      <c r="B46" s="207" t="str">
        <f>'Point Data'!$B$142</f>
        <v>Team 11</v>
      </c>
      <c r="C46" s="166">
        <f t="array" aca="1" ref="C46" ca="1">INDEX('Point Data'!$G$2:$G$225,MATCH(1,(C$35='Point Data'!$D$2:$D$225)*(Ranks!$B46='Point Data'!$B$2:$B$225),0))</f>
        <v>3</v>
      </c>
      <c r="D46" s="75">
        <f t="array" aca="1" ref="D46" ca="1">INDEX('Point Data'!$G$2:$G$225,MATCH(1,(D$35='Point Data'!$D$2:$D$225)*(Ranks!$B46='Point Data'!$B$2:$B$225),0))</f>
        <v>7</v>
      </c>
      <c r="E46" s="75">
        <f t="array" aca="1" ref="E46" ca="1">INDEX('Point Data'!$G$2:$G$225,MATCH(1,(E$35='Point Data'!$D$2:$D$225)*(Ranks!$B46='Point Data'!$B$2:$B$225),0))</f>
        <v>3</v>
      </c>
      <c r="F46" s="75">
        <f t="array" aca="1" ref="F46" ca="1">INDEX('Point Data'!$G$2:$G$225,MATCH(1,(F$35='Point Data'!$D$2:$D$225)*(Ranks!$B46='Point Data'!$B$2:$B$225),0))</f>
        <v>8</v>
      </c>
      <c r="G46" s="75">
        <f t="array" aca="1" ref="G46" ca="1">INDEX('Point Data'!$G$2:$G$225,MATCH(1,(G$35='Point Data'!$D$2:$D$225)*(Ranks!$B46='Point Data'!$B$2:$B$225),0))</f>
        <v>8</v>
      </c>
      <c r="H46" s="75">
        <f t="array" aca="1" ref="H46" ca="1">INDEX('Point Data'!$G$2:$G$225,MATCH(1,(H$35='Point Data'!$D$2:$D$225)*(Ranks!$B46='Point Data'!$B$2:$B$225),0))</f>
        <v>4</v>
      </c>
      <c r="I46" s="75">
        <f t="array" aca="1" ref="I46" ca="1">INDEX('Point Data'!$G$2:$G$225,MATCH(1,(I$35='Point Data'!$D$2:$D$225)*(Ranks!$B46='Point Data'!$B$2:$B$225),0))</f>
        <v>2</v>
      </c>
      <c r="J46" s="75">
        <f t="array" aca="1" ref="J46" ca="1">INDEX('Point Data'!$G$2:$G$225,MATCH(1,(J$35='Point Data'!$D$2:$D$225)*(Ranks!$B46='Point Data'!$B$2:$B$225),0))</f>
        <v>2</v>
      </c>
      <c r="K46" s="75">
        <f t="array" aca="1" ref="K46" ca="1">INDEX('Point Data'!$G$2:$G$225,MATCH(1,(K$35='Point Data'!$D$2:$D$225)*(Ranks!$B46='Point Data'!$B$2:$B$225),0))</f>
        <v>2</v>
      </c>
      <c r="L46" s="75">
        <f t="array" aca="1" ref="L46" ca="1">INDEX('Point Data'!$G$2:$G$225,MATCH(1,(L$35='Point Data'!$D$2:$D$225)*(Ranks!$B46='Point Data'!$B$2:$B$225),0))</f>
        <v>9</v>
      </c>
      <c r="M46" s="75">
        <f t="array" aca="1" ref="M46" ca="1">INDEX('Point Data'!$G$2:$G$225,MATCH(1,(M$35='Point Data'!$D$2:$D$225)*(Ranks!$B46='Point Data'!$B$2:$B$225),0))</f>
        <v>10</v>
      </c>
      <c r="N46" s="75">
        <f t="array" aca="1" ref="N46" ca="1">INDEX('Point Data'!$G$2:$G$225,MATCH(1,(N$35='Point Data'!$D$2:$D$225)*(Ranks!$B46='Point Data'!$B$2:$B$225),0))</f>
        <v>4</v>
      </c>
      <c r="O46" s="75">
        <f t="array" aca="1" ref="O46" ca="1">INDEX('Point Data'!$G$2:$G$225,MATCH(1,(O$35='Point Data'!$D$2:$D$225)*(Ranks!$B46='Point Data'!$B$2:$B$225),0))</f>
        <v>4</v>
      </c>
      <c r="P46" s="568" t="str">
        <f t="array" ref="P46">INDEX('Point Data'!$G$2:$G$225,MATCH(1,(P$35='Point Data'!$D$2:$D$225)*(Ranks!$B46='Point Data'!$B$2:$B$225),0))</f>
        <v/>
      </c>
      <c r="Q46" s="103">
        <f t="shared" ca="1" si="10"/>
        <v>2</v>
      </c>
      <c r="R46" s="97">
        <f t="shared" ca="1" si="11"/>
        <v>5.0769230769230766</v>
      </c>
      <c r="S46" s="103">
        <f t="shared" ca="1" si="12"/>
        <v>10</v>
      </c>
      <c r="T46" s="103">
        <f ca="1">(COUNTIF($C46:$P46,"&lt;="&amp;7)/Standings!$Q$27)*100</f>
        <v>69.230769230769226</v>
      </c>
      <c r="U46" s="103">
        <f ca="1">(COUNTIF($C97:$P97,"&lt;"&amp;3)/Standings!$Q$27)*100</f>
        <v>61.53846153846154</v>
      </c>
      <c r="AU46" s="130"/>
    </row>
    <row r="47" spans="2:48">
      <c r="B47" s="207" t="str">
        <f>'Point Data'!$B$156</f>
        <v>Team 12</v>
      </c>
      <c r="C47" s="166">
        <f t="array" aca="1" ref="C47" ca="1">INDEX('Point Data'!$G$2:$G$225,MATCH(1,(C$35='Point Data'!$D$2:$D$225)*(Ranks!$B47='Point Data'!$B$2:$B$225),0))</f>
        <v>12</v>
      </c>
      <c r="D47" s="75">
        <f t="array" aca="1" ref="D47" ca="1">INDEX('Point Data'!$G$2:$G$225,MATCH(1,(D$35='Point Data'!$D$2:$D$225)*(Ranks!$B47='Point Data'!$B$2:$B$225),0))</f>
        <v>9</v>
      </c>
      <c r="E47" s="75">
        <f t="array" aca="1" ref="E47" ca="1">INDEX('Point Data'!$G$2:$G$225,MATCH(1,(E$35='Point Data'!$D$2:$D$225)*(Ranks!$B47='Point Data'!$B$2:$B$225),0))</f>
        <v>13</v>
      </c>
      <c r="F47" s="75">
        <f t="array" aca="1" ref="F47" ca="1">INDEX('Point Data'!$G$2:$G$225,MATCH(1,(F$35='Point Data'!$D$2:$D$225)*(Ranks!$B47='Point Data'!$B$2:$B$225),0))</f>
        <v>12</v>
      </c>
      <c r="G47" s="75">
        <f t="array" aca="1" ref="G47" ca="1">INDEX('Point Data'!$G$2:$G$225,MATCH(1,(G$35='Point Data'!$D$2:$D$225)*(Ranks!$B47='Point Data'!$B$2:$B$225),0))</f>
        <v>14</v>
      </c>
      <c r="H47" s="75">
        <f t="array" aca="1" ref="H47" ca="1">INDEX('Point Data'!$G$2:$G$225,MATCH(1,(H$35='Point Data'!$D$2:$D$225)*(Ranks!$B47='Point Data'!$B$2:$B$225),0))</f>
        <v>13</v>
      </c>
      <c r="I47" s="75">
        <f t="array" aca="1" ref="I47" ca="1">INDEX('Point Data'!$G$2:$G$225,MATCH(1,(I$35='Point Data'!$D$2:$D$225)*(Ranks!$B47='Point Data'!$B$2:$B$225),0))</f>
        <v>15</v>
      </c>
      <c r="J47" s="75">
        <f t="array" aca="1" ref="J47" ca="1">INDEX('Point Data'!$G$2:$G$225,MATCH(1,(J$35='Point Data'!$D$2:$D$225)*(Ranks!$B47='Point Data'!$B$2:$B$225),0))</f>
        <v>12</v>
      </c>
      <c r="K47" s="75">
        <f t="array" aca="1" ref="K47" ca="1">INDEX('Point Data'!$G$2:$G$225,MATCH(1,(K$35='Point Data'!$D$2:$D$225)*(Ranks!$B47='Point Data'!$B$2:$B$225),0))</f>
        <v>13</v>
      </c>
      <c r="L47" s="75">
        <f t="array" aca="1" ref="L47" ca="1">INDEX('Point Data'!$G$2:$G$225,MATCH(1,(L$35='Point Data'!$D$2:$D$225)*(Ranks!$B47='Point Data'!$B$2:$B$225),0))</f>
        <v>14</v>
      </c>
      <c r="M47" s="75">
        <f t="array" aca="1" ref="M47" ca="1">INDEX('Point Data'!$G$2:$G$225,MATCH(1,(M$35='Point Data'!$D$2:$D$225)*(Ranks!$B47='Point Data'!$B$2:$B$225),0))</f>
        <v>15</v>
      </c>
      <c r="N47" s="75">
        <f t="array" aca="1" ref="N47" ca="1">INDEX('Point Data'!$G$2:$G$225,MATCH(1,(N$35='Point Data'!$D$2:$D$225)*(Ranks!$B47='Point Data'!$B$2:$B$225),0))</f>
        <v>15</v>
      </c>
      <c r="O47" s="75">
        <f t="array" aca="1" ref="O47" ca="1">INDEX('Point Data'!$G$2:$G$225,MATCH(1,(O$35='Point Data'!$D$2:$D$225)*(Ranks!$B47='Point Data'!$B$2:$B$225),0))</f>
        <v>15</v>
      </c>
      <c r="P47" s="568" t="str">
        <f t="array" ref="P47">INDEX('Point Data'!$G$2:$G$225,MATCH(1,(P$35='Point Data'!$D$2:$D$225)*(Ranks!$B47='Point Data'!$B$2:$B$225),0))</f>
        <v/>
      </c>
      <c r="Q47" s="103">
        <f t="shared" ca="1" si="10"/>
        <v>9</v>
      </c>
      <c r="R47" s="97">
        <f t="shared" ca="1" si="11"/>
        <v>13.23076923076923</v>
      </c>
      <c r="S47" s="103">
        <f t="shared" ca="1" si="12"/>
        <v>15</v>
      </c>
      <c r="T47" s="103">
        <f ca="1">(COUNTIF($C47:$P47,"&lt;="&amp;7)/Standings!$Q$27)*100</f>
        <v>0</v>
      </c>
      <c r="U47" s="103">
        <f ca="1">(COUNTIF($C98:$P98,"&lt;"&amp;3)/Standings!$Q$27)*100</f>
        <v>0</v>
      </c>
    </row>
    <row r="48" spans="2:48">
      <c r="B48" s="207" t="str">
        <f>'Point Data'!$B$170</f>
        <v>Team 13</v>
      </c>
      <c r="C48" s="166">
        <f t="array" aca="1" ref="C48" ca="1">INDEX('Point Data'!$G$2:$G$225,MATCH(1,(C$35='Point Data'!$D$2:$D$225)*(Ranks!$B48='Point Data'!$B$2:$B$225),0))</f>
        <v>15</v>
      </c>
      <c r="D48" s="75">
        <f t="array" aca="1" ref="D48" ca="1">INDEX('Point Data'!$G$2:$G$225,MATCH(1,(D$35='Point Data'!$D$2:$D$225)*(Ranks!$B48='Point Data'!$B$2:$B$225),0))</f>
        <v>16</v>
      </c>
      <c r="E48" s="75">
        <f t="array" aca="1" ref="E48" ca="1">INDEX('Point Data'!$G$2:$G$225,MATCH(1,(E$35='Point Data'!$D$2:$D$225)*(Ranks!$B48='Point Data'!$B$2:$B$225),0))</f>
        <v>16</v>
      </c>
      <c r="F48" s="75">
        <f t="array" aca="1" ref="F48" ca="1">INDEX('Point Data'!$G$2:$G$225,MATCH(1,(F$35='Point Data'!$D$2:$D$225)*(Ranks!$B48='Point Data'!$B$2:$B$225),0))</f>
        <v>15</v>
      </c>
      <c r="G48" s="75">
        <f t="array" aca="1" ref="G48" ca="1">INDEX('Point Data'!$G$2:$G$225,MATCH(1,(G$35='Point Data'!$D$2:$D$225)*(Ranks!$B48='Point Data'!$B$2:$B$225),0))</f>
        <v>16</v>
      </c>
      <c r="H48" s="75">
        <f t="array" aca="1" ref="H48" ca="1">INDEX('Point Data'!$G$2:$G$225,MATCH(1,(H$35='Point Data'!$D$2:$D$225)*(Ranks!$B48='Point Data'!$B$2:$B$225),0))</f>
        <v>14</v>
      </c>
      <c r="I48" s="75">
        <f t="array" aca="1" ref="I48" ca="1">INDEX('Point Data'!$G$2:$G$225,MATCH(1,(I$35='Point Data'!$D$2:$D$225)*(Ranks!$B48='Point Data'!$B$2:$B$225),0))</f>
        <v>12</v>
      </c>
      <c r="J48" s="75">
        <f t="array" aca="1" ref="J48" ca="1">INDEX('Point Data'!$G$2:$G$225,MATCH(1,(J$35='Point Data'!$D$2:$D$225)*(Ranks!$B48='Point Data'!$B$2:$B$225),0))</f>
        <v>14</v>
      </c>
      <c r="K48" s="75">
        <f t="array" aca="1" ref="K48" ca="1">INDEX('Point Data'!$G$2:$G$225,MATCH(1,(K$35='Point Data'!$D$2:$D$225)*(Ranks!$B48='Point Data'!$B$2:$B$225),0))</f>
        <v>14</v>
      </c>
      <c r="L48" s="75">
        <f t="array" aca="1" ref="L48" ca="1">INDEX('Point Data'!$G$2:$G$225,MATCH(1,(L$35='Point Data'!$D$2:$D$225)*(Ranks!$B48='Point Data'!$B$2:$B$225),0))</f>
        <v>13</v>
      </c>
      <c r="M48" s="75">
        <f t="array" aca="1" ref="M48" ca="1">INDEX('Point Data'!$G$2:$G$225,MATCH(1,(M$35='Point Data'!$D$2:$D$225)*(Ranks!$B48='Point Data'!$B$2:$B$225),0))</f>
        <v>12</v>
      </c>
      <c r="N48" s="75">
        <f t="array" aca="1" ref="N48" ca="1">INDEX('Point Data'!$G$2:$G$225,MATCH(1,(N$35='Point Data'!$D$2:$D$225)*(Ranks!$B48='Point Data'!$B$2:$B$225),0))</f>
        <v>11</v>
      </c>
      <c r="O48" s="75">
        <f t="array" aca="1" ref="O48" ca="1">INDEX('Point Data'!$G$2:$G$225,MATCH(1,(O$35='Point Data'!$D$2:$D$225)*(Ranks!$B48='Point Data'!$B$2:$B$225),0))</f>
        <v>13</v>
      </c>
      <c r="P48" s="568" t="str">
        <f t="array" ref="P48">INDEX('Point Data'!$G$2:$G$225,MATCH(1,(P$35='Point Data'!$D$2:$D$225)*(Ranks!$B48='Point Data'!$B$2:$B$225),0))</f>
        <v/>
      </c>
      <c r="Q48" s="103">
        <f t="shared" ca="1" si="10"/>
        <v>11</v>
      </c>
      <c r="R48" s="97">
        <f t="shared" ca="1" si="11"/>
        <v>13.923076923076923</v>
      </c>
      <c r="S48" s="103">
        <f t="shared" ca="1" si="12"/>
        <v>16</v>
      </c>
      <c r="T48" s="103">
        <f ca="1">(COUNTIF($C48:$P48,"&lt;="&amp;7)/Standings!$Q$27)*100</f>
        <v>0</v>
      </c>
      <c r="U48" s="103">
        <f ca="1">(COUNTIF($C99:$P99,"&lt;"&amp;3)/Standings!$Q$27)*100</f>
        <v>0</v>
      </c>
    </row>
    <row r="49" spans="2:37">
      <c r="B49" s="207" t="str">
        <f>'Point Data'!$B$184</f>
        <v>Team 14</v>
      </c>
      <c r="C49" s="166">
        <f t="array" aca="1" ref="C49" ca="1">INDEX('Point Data'!$G$2:$G$225,MATCH(1,(C$35='Point Data'!$D$2:$D$225)*(Ranks!$B49='Point Data'!$B$2:$B$225),0))</f>
        <v>7</v>
      </c>
      <c r="D49" s="75">
        <f t="array" aca="1" ref="D49" ca="1">INDEX('Point Data'!$G$2:$G$225,MATCH(1,(D$35='Point Data'!$D$2:$D$225)*(Ranks!$B49='Point Data'!$B$2:$B$225),0))</f>
        <v>3</v>
      </c>
      <c r="E49" s="75">
        <f t="array" aca="1" ref="E49" ca="1">INDEX('Point Data'!$G$2:$G$225,MATCH(1,(E$35='Point Data'!$D$2:$D$225)*(Ranks!$B49='Point Data'!$B$2:$B$225),0))</f>
        <v>1</v>
      </c>
      <c r="F49" s="75">
        <f t="array" aca="1" ref="F49" ca="1">INDEX('Point Data'!$G$2:$G$225,MATCH(1,(F$35='Point Data'!$D$2:$D$225)*(Ranks!$B49='Point Data'!$B$2:$B$225),0))</f>
        <v>3</v>
      </c>
      <c r="G49" s="75">
        <f t="array" aca="1" ref="G49" ca="1">INDEX('Point Data'!$G$2:$G$225,MATCH(1,(G$35='Point Data'!$D$2:$D$225)*(Ranks!$B49='Point Data'!$B$2:$B$225),0))</f>
        <v>4</v>
      </c>
      <c r="H49" s="75">
        <f t="array" aca="1" ref="H49" ca="1">INDEX('Point Data'!$G$2:$G$225,MATCH(1,(H$35='Point Data'!$D$2:$D$225)*(Ranks!$B49='Point Data'!$B$2:$B$225),0))</f>
        <v>10</v>
      </c>
      <c r="I49" s="75">
        <f t="array" aca="1" ref="I49" ca="1">INDEX('Point Data'!$G$2:$G$225,MATCH(1,(I$35='Point Data'!$D$2:$D$225)*(Ranks!$B49='Point Data'!$B$2:$B$225),0))</f>
        <v>10</v>
      </c>
      <c r="J49" s="75">
        <f t="array" aca="1" ref="J49" ca="1">INDEX('Point Data'!$G$2:$G$225,MATCH(1,(J$35='Point Data'!$D$2:$D$225)*(Ranks!$B49='Point Data'!$B$2:$B$225),0))</f>
        <v>9</v>
      </c>
      <c r="K49" s="75">
        <f t="array" aca="1" ref="K49" ca="1">INDEX('Point Data'!$G$2:$G$225,MATCH(1,(K$35='Point Data'!$D$2:$D$225)*(Ranks!$B49='Point Data'!$B$2:$B$225),0))</f>
        <v>6</v>
      </c>
      <c r="L49" s="75">
        <f t="array" aca="1" ref="L49" ca="1">INDEX('Point Data'!$G$2:$G$225,MATCH(1,(L$35='Point Data'!$D$2:$D$225)*(Ranks!$B49='Point Data'!$B$2:$B$225),0))</f>
        <v>4</v>
      </c>
      <c r="M49" s="75">
        <f t="array" aca="1" ref="M49" ca="1">INDEX('Point Data'!$G$2:$G$225,MATCH(1,(M$35='Point Data'!$D$2:$D$225)*(Ranks!$B49='Point Data'!$B$2:$B$225),0))</f>
        <v>4</v>
      </c>
      <c r="N49" s="75">
        <f t="array" aca="1" ref="N49" ca="1">INDEX('Point Data'!$G$2:$G$225,MATCH(1,(N$35='Point Data'!$D$2:$D$225)*(Ranks!$B49='Point Data'!$B$2:$B$225),0))</f>
        <v>6</v>
      </c>
      <c r="O49" s="75">
        <f t="array" aca="1" ref="O49" ca="1">INDEX('Point Data'!$G$2:$G$225,MATCH(1,(O$35='Point Data'!$D$2:$D$225)*(Ranks!$B49='Point Data'!$B$2:$B$225),0))</f>
        <v>5</v>
      </c>
      <c r="P49" s="568" t="str">
        <f t="array" ref="P49">INDEX('Point Data'!$G$2:$G$225,MATCH(1,(P$35='Point Data'!$D$2:$D$225)*(Ranks!$B49='Point Data'!$B$2:$B$225),0))</f>
        <v/>
      </c>
      <c r="Q49" s="103">
        <f t="shared" ca="1" si="10"/>
        <v>1</v>
      </c>
      <c r="R49" s="97">
        <f t="shared" ca="1" si="11"/>
        <v>5.5384615384615383</v>
      </c>
      <c r="S49" s="103">
        <f t="shared" ca="1" si="12"/>
        <v>10</v>
      </c>
      <c r="T49" s="103">
        <f ca="1">(COUNTIF($C49:$P49,"&lt;="&amp;7)/Standings!$Q$27)*100</f>
        <v>76.923076923076934</v>
      </c>
      <c r="U49" s="103">
        <f ca="1">(COUNTIF($C100:$P100,"&lt;"&amp;3)/Standings!$Q$27)*100</f>
        <v>46.153846153846153</v>
      </c>
    </row>
    <row r="50" spans="2:37">
      <c r="B50" s="207" t="str">
        <f>'Point Data'!$B$198</f>
        <v>Team 15</v>
      </c>
      <c r="C50" s="166">
        <f t="array" aca="1" ref="C50" ca="1">INDEX('Point Data'!$G$2:$G$225,MATCH(1,(C$35='Point Data'!$D$2:$D$225)*(Ranks!$B50='Point Data'!$B$2:$B$225),0))</f>
        <v>5</v>
      </c>
      <c r="D50" s="75">
        <f t="array" aca="1" ref="D50" ca="1">INDEX('Point Data'!$G$2:$G$225,MATCH(1,(D$35='Point Data'!$D$2:$D$225)*(Ranks!$B50='Point Data'!$B$2:$B$225),0))</f>
        <v>5</v>
      </c>
      <c r="E50" s="75">
        <f t="array" aca="1" ref="E50" ca="1">INDEX('Point Data'!$G$2:$G$225,MATCH(1,(E$35='Point Data'!$D$2:$D$225)*(Ranks!$B50='Point Data'!$B$2:$B$225),0))</f>
        <v>10</v>
      </c>
      <c r="F50" s="75">
        <f t="array" aca="1" ref="F50" ca="1">INDEX('Point Data'!$G$2:$G$225,MATCH(1,(F$35='Point Data'!$D$2:$D$225)*(Ranks!$B50='Point Data'!$B$2:$B$225),0))</f>
        <v>5</v>
      </c>
      <c r="G50" s="75">
        <f t="array" aca="1" ref="G50" ca="1">INDEX('Point Data'!$G$2:$G$225,MATCH(1,(G$35='Point Data'!$D$2:$D$225)*(Ranks!$B50='Point Data'!$B$2:$B$225),0))</f>
        <v>6</v>
      </c>
      <c r="H50" s="75">
        <f t="array" aca="1" ref="H50" ca="1">INDEX('Point Data'!$G$2:$G$225,MATCH(1,(H$35='Point Data'!$D$2:$D$225)*(Ranks!$B50='Point Data'!$B$2:$B$225),0))</f>
        <v>6</v>
      </c>
      <c r="I50" s="75">
        <f t="array" aca="1" ref="I50" ca="1">INDEX('Point Data'!$G$2:$G$225,MATCH(1,(I$35='Point Data'!$D$2:$D$225)*(Ranks!$B50='Point Data'!$B$2:$B$225),0))</f>
        <v>6</v>
      </c>
      <c r="J50" s="75">
        <f t="array" aca="1" ref="J50" ca="1">INDEX('Point Data'!$G$2:$G$225,MATCH(1,(J$35='Point Data'!$D$2:$D$225)*(Ranks!$B50='Point Data'!$B$2:$B$225),0))</f>
        <v>6</v>
      </c>
      <c r="K50" s="75">
        <f t="array" aca="1" ref="K50" ca="1">INDEX('Point Data'!$G$2:$G$225,MATCH(1,(K$35='Point Data'!$D$2:$D$225)*(Ranks!$B50='Point Data'!$B$2:$B$225),0))</f>
        <v>12</v>
      </c>
      <c r="L50" s="75">
        <f t="array" aca="1" ref="L50" ca="1">INDEX('Point Data'!$G$2:$G$225,MATCH(1,(L$35='Point Data'!$D$2:$D$225)*(Ranks!$B50='Point Data'!$B$2:$B$225),0))</f>
        <v>6</v>
      </c>
      <c r="M50" s="75">
        <f t="array" aca="1" ref="M50" ca="1">INDEX('Point Data'!$G$2:$G$225,MATCH(1,(M$35='Point Data'!$D$2:$D$225)*(Ranks!$B50='Point Data'!$B$2:$B$225),0))</f>
        <v>6</v>
      </c>
      <c r="N50" s="75">
        <f t="array" aca="1" ref="N50" ca="1">INDEX('Point Data'!$G$2:$G$225,MATCH(1,(N$35='Point Data'!$D$2:$D$225)*(Ranks!$B50='Point Data'!$B$2:$B$225),0))</f>
        <v>12</v>
      </c>
      <c r="O50" s="75">
        <f t="array" aca="1" ref="O50" ca="1">INDEX('Point Data'!$G$2:$G$225,MATCH(1,(O$35='Point Data'!$D$2:$D$225)*(Ranks!$B50='Point Data'!$B$2:$B$225),0))</f>
        <v>10</v>
      </c>
      <c r="P50" s="568" t="str">
        <f t="array" ref="P50">INDEX('Point Data'!$G$2:$G$225,MATCH(1,(P$35='Point Data'!$D$2:$D$225)*(Ranks!$B50='Point Data'!$B$2:$B$225),0))</f>
        <v/>
      </c>
      <c r="Q50" s="103">
        <f t="shared" ca="1" si="10"/>
        <v>5</v>
      </c>
      <c r="R50" s="97">
        <f t="shared" ca="1" si="11"/>
        <v>7.3076923076923075</v>
      </c>
      <c r="S50" s="103">
        <f t="shared" ca="1" si="12"/>
        <v>12</v>
      </c>
      <c r="T50" s="103">
        <f ca="1">(COUNTIF($C50:$P50,"&lt;="&amp;7)/Standings!$Q$27)*100</f>
        <v>69.230769230769226</v>
      </c>
      <c r="U50" s="103">
        <f ca="1">(COUNTIF($C101:$P101,"&lt;"&amp;3)/Standings!$Q$27)*100</f>
        <v>0</v>
      </c>
    </row>
    <row r="51" spans="2:37" ht="16" thickBot="1">
      <c r="B51" s="208" t="str">
        <f>'Point Data'!$B$212</f>
        <v>Team 16</v>
      </c>
      <c r="C51" s="167">
        <f t="array" aca="1" ref="C51" ca="1">INDEX('Point Data'!$G$2:$G$225,MATCH(1,(C$35='Point Data'!$D$2:$D$225)*(Ranks!$B51='Point Data'!$B$2:$B$225),0))</f>
        <v>16</v>
      </c>
      <c r="D51" s="168">
        <f t="array" aca="1" ref="D51" ca="1">INDEX('Point Data'!$G$2:$G$225,MATCH(1,(D$35='Point Data'!$D$2:$D$225)*(Ranks!$B51='Point Data'!$B$2:$B$225),0))</f>
        <v>15</v>
      </c>
      <c r="E51" s="168">
        <f t="array" aca="1" ref="E51" ca="1">INDEX('Point Data'!$G$2:$G$225,MATCH(1,(E$35='Point Data'!$D$2:$D$225)*(Ranks!$B51='Point Data'!$B$2:$B$225),0))</f>
        <v>14</v>
      </c>
      <c r="F51" s="168">
        <f t="array" aca="1" ref="F51" ca="1">INDEX('Point Data'!$G$2:$G$225,MATCH(1,(F$35='Point Data'!$D$2:$D$225)*(Ranks!$B51='Point Data'!$B$2:$B$225),0))</f>
        <v>14</v>
      </c>
      <c r="G51" s="168">
        <f t="array" aca="1" ref="G51" ca="1">INDEX('Point Data'!$G$2:$G$225,MATCH(1,(G$35='Point Data'!$D$2:$D$225)*(Ranks!$B51='Point Data'!$B$2:$B$225),0))</f>
        <v>12</v>
      </c>
      <c r="H51" s="168">
        <f t="array" aca="1" ref="H51" ca="1">INDEX('Point Data'!$G$2:$G$225,MATCH(1,(H$35='Point Data'!$D$2:$D$225)*(Ranks!$B51='Point Data'!$B$2:$B$225),0))</f>
        <v>12</v>
      </c>
      <c r="I51" s="168">
        <f t="array" aca="1" ref="I51" ca="1">INDEX('Point Data'!$G$2:$G$225,MATCH(1,(I$35='Point Data'!$D$2:$D$225)*(Ranks!$B51='Point Data'!$B$2:$B$225),0))</f>
        <v>13</v>
      </c>
      <c r="J51" s="168">
        <f t="array" aca="1" ref="J51" ca="1">INDEX('Point Data'!$G$2:$G$225,MATCH(1,(J$35='Point Data'!$D$2:$D$225)*(Ranks!$B51='Point Data'!$B$2:$B$225),0))</f>
        <v>15</v>
      </c>
      <c r="K51" s="168">
        <f t="array" aca="1" ref="K51" ca="1">INDEX('Point Data'!$G$2:$G$225,MATCH(1,(K$35='Point Data'!$D$2:$D$225)*(Ranks!$B51='Point Data'!$B$2:$B$225),0))</f>
        <v>15</v>
      </c>
      <c r="L51" s="168">
        <f t="array" aca="1" ref="L51" ca="1">INDEX('Point Data'!$G$2:$G$225,MATCH(1,(L$35='Point Data'!$D$2:$D$225)*(Ranks!$B51='Point Data'!$B$2:$B$225),0))</f>
        <v>15</v>
      </c>
      <c r="M51" s="168">
        <f t="array" aca="1" ref="M51" ca="1">INDEX('Point Data'!$G$2:$G$225,MATCH(1,(M$35='Point Data'!$D$2:$D$225)*(Ranks!$B51='Point Data'!$B$2:$B$225),0))</f>
        <v>14</v>
      </c>
      <c r="N51" s="168">
        <f t="array" aca="1" ref="N51" ca="1">INDEX('Point Data'!$G$2:$G$225,MATCH(1,(N$35='Point Data'!$D$2:$D$225)*(Ranks!$B51='Point Data'!$B$2:$B$225),0))</f>
        <v>13</v>
      </c>
      <c r="O51" s="168">
        <f t="array" aca="1" ref="O51" ca="1">INDEX('Point Data'!$G$2:$G$225,MATCH(1,(O$35='Point Data'!$D$2:$D$225)*(Ranks!$B51='Point Data'!$B$2:$B$225),0))</f>
        <v>14</v>
      </c>
      <c r="P51" s="569" t="str">
        <f t="array" ref="P51">INDEX('Point Data'!$G$2:$G$225,MATCH(1,(P$35='Point Data'!$D$2:$D$225)*(Ranks!$B51='Point Data'!$B$2:$B$225),0))</f>
        <v/>
      </c>
      <c r="Q51" s="107">
        <f t="shared" ca="1" si="10"/>
        <v>12</v>
      </c>
      <c r="R51" s="98">
        <f t="shared" ca="1" si="11"/>
        <v>14</v>
      </c>
      <c r="S51" s="107">
        <f t="shared" ca="1" si="12"/>
        <v>16</v>
      </c>
      <c r="T51" s="107">
        <f ca="1">(COUNTIF($C51:$P51,"&lt;="&amp;7)/Standings!$Q$27)*100</f>
        <v>0</v>
      </c>
      <c r="U51" s="107">
        <f ca="1">(COUNTIF($C102:$P102,"&lt;"&amp;3)/Standings!$Q$27)*100</f>
        <v>0</v>
      </c>
    </row>
    <row r="52" spans="2:37">
      <c r="V52" s="394"/>
    </row>
    <row r="53" spans="2:37">
      <c r="V53" s="395"/>
    </row>
    <row r="54" spans="2:37" s="501" customFormat="1">
      <c r="P54" s="549"/>
      <c r="V54" s="395"/>
      <c r="AK54" s="549"/>
    </row>
    <row r="55" spans="2:37" s="501" customFormat="1">
      <c r="P55" s="549"/>
      <c r="V55" s="395"/>
      <c r="AK55" s="549"/>
    </row>
    <row r="56" spans="2:37" s="501" customFormat="1">
      <c r="P56" s="549"/>
      <c r="V56" s="395"/>
      <c r="AK56" s="549"/>
    </row>
    <row r="57" spans="2:37" s="501" customFormat="1">
      <c r="P57" s="549"/>
      <c r="V57" s="395"/>
      <c r="AK57" s="549"/>
    </row>
    <row r="58" spans="2:37" s="501" customFormat="1">
      <c r="P58" s="549"/>
      <c r="V58" s="395"/>
      <c r="AK58" s="549"/>
    </row>
    <row r="59" spans="2:37" s="501" customFormat="1">
      <c r="P59" s="549"/>
      <c r="V59" s="395"/>
      <c r="AK59" s="549"/>
    </row>
    <row r="60" spans="2:37" s="501" customFormat="1">
      <c r="P60" s="549"/>
      <c r="V60" s="395"/>
      <c r="AK60" s="549"/>
    </row>
    <row r="61" spans="2:37" s="501" customFormat="1">
      <c r="P61" s="549"/>
      <c r="V61" s="395"/>
      <c r="AK61" s="549"/>
    </row>
    <row r="62" spans="2:37" s="501" customFormat="1">
      <c r="P62" s="549"/>
      <c r="V62" s="395"/>
      <c r="AK62" s="549"/>
    </row>
    <row r="63" spans="2:37" s="501" customFormat="1">
      <c r="P63" s="549"/>
      <c r="V63" s="395"/>
      <c r="AK63" s="549"/>
    </row>
    <row r="64" spans="2:37" s="501" customFormat="1">
      <c r="P64" s="549"/>
      <c r="V64" s="395"/>
      <c r="AK64" s="549"/>
    </row>
    <row r="65" spans="16:37" s="501" customFormat="1">
      <c r="P65" s="549"/>
      <c r="V65" s="395"/>
      <c r="AK65" s="549"/>
    </row>
    <row r="66" spans="16:37" s="501" customFormat="1">
      <c r="P66" s="549"/>
      <c r="V66" s="395"/>
      <c r="AK66" s="549"/>
    </row>
    <row r="67" spans="16:37" s="501" customFormat="1">
      <c r="P67" s="549"/>
      <c r="V67" s="395"/>
      <c r="AK67" s="549"/>
    </row>
    <row r="68" spans="16:37" s="501" customFormat="1">
      <c r="P68" s="549"/>
      <c r="V68" s="395"/>
      <c r="AK68" s="549"/>
    </row>
    <row r="69" spans="16:37">
      <c r="V69" s="395"/>
    </row>
    <row r="70" spans="16:37">
      <c r="V70" s="395"/>
    </row>
    <row r="71" spans="16:37">
      <c r="V71" s="395"/>
    </row>
    <row r="72" spans="16:37">
      <c r="V72" s="395"/>
    </row>
    <row r="73" spans="16:37">
      <c r="V73" s="395"/>
    </row>
    <row r="74" spans="16:37">
      <c r="V74" s="395"/>
    </row>
    <row r="75" spans="16:37" ht="14" customHeight="1">
      <c r="V75" s="395"/>
    </row>
    <row r="76" spans="16:37">
      <c r="V76" s="395"/>
    </row>
    <row r="77" spans="16:37">
      <c r="V77" s="395"/>
    </row>
    <row r="78" spans="16:37">
      <c r="V78" s="395"/>
    </row>
    <row r="79" spans="16:37">
      <c r="V79" s="395"/>
    </row>
    <row r="80" spans="16:37">
      <c r="V80" s="395"/>
    </row>
    <row r="81" spans="2:22">
      <c r="V81" s="395"/>
    </row>
    <row r="82" spans="2:22">
      <c r="V82" s="395"/>
    </row>
    <row r="83" spans="2:22">
      <c r="V83" s="395"/>
    </row>
    <row r="85" spans="2:22" ht="16" thickBot="1"/>
    <row r="86" spans="2:22" ht="16" thickBot="1">
      <c r="B86" s="35" t="s">
        <v>53</v>
      </c>
      <c r="C86" s="36">
        <v>1</v>
      </c>
      <c r="D86" s="36">
        <v>2</v>
      </c>
      <c r="E86" s="36">
        <v>3</v>
      </c>
      <c r="F86" s="36">
        <v>4</v>
      </c>
      <c r="G86" s="36">
        <v>5</v>
      </c>
      <c r="H86" s="36">
        <v>6</v>
      </c>
      <c r="I86" s="37">
        <v>7</v>
      </c>
      <c r="J86" s="37">
        <v>8</v>
      </c>
      <c r="K86" s="37">
        <v>9</v>
      </c>
      <c r="L86" s="37">
        <v>10</v>
      </c>
      <c r="M86" s="37">
        <v>11</v>
      </c>
      <c r="N86" s="37">
        <v>12</v>
      </c>
      <c r="O86" s="37">
        <v>13</v>
      </c>
      <c r="P86" s="38">
        <v>14</v>
      </c>
      <c r="Q86" s="38" t="s">
        <v>18</v>
      </c>
      <c r="R86" s="39" t="s">
        <v>84</v>
      </c>
    </row>
    <row r="87" spans="2:22">
      <c r="B87" s="205" t="str">
        <f>'Point Data'!$B$2</f>
        <v>Team 1</v>
      </c>
      <c r="C87" s="72">
        <f t="array" aca="1" ref="C87" ca="1">IFERROR(INDEX('Point Data'!$AJ$2:$AJ$225,MATCH(1,(Ranks!$B87='Point Data'!$B$2:$B$225)*(Ranks!C$86='Point Data'!$D$2:$D$225),0)),"")</f>
        <v>3</v>
      </c>
      <c r="D87" s="72">
        <f t="array" aca="1" ref="D87" ca="1">IFERROR(INDEX('Point Data'!$AJ$2:$AJ$225,MATCH(1,(Ranks!$B87='Point Data'!$B$2:$B$225)*(Ranks!D$86='Point Data'!$D$2:$D$225),0)),"")</f>
        <v>8</v>
      </c>
      <c r="E87" s="72">
        <f t="array" aca="1" ref="E87" ca="1">IFERROR(INDEX('Point Data'!$AJ$2:$AJ$225,MATCH(1,(Ranks!$B87='Point Data'!$B$2:$B$225)*(Ranks!E$86='Point Data'!$D$2:$D$225),0)),"")</f>
        <v>7</v>
      </c>
      <c r="F87" s="72">
        <f t="array" aca="1" ref="F87" ca="1">IFERROR(INDEX('Point Data'!$AJ$2:$AJ$225,MATCH(1,(Ranks!$B87='Point Data'!$B$2:$B$225)*(Ranks!F$86='Point Data'!$D$2:$D$225),0)),"")</f>
        <v>7</v>
      </c>
      <c r="G87" s="72">
        <f t="array" aca="1" ref="G87" ca="1">IFERROR(INDEX('Point Data'!$AJ$2:$AJ$225,MATCH(1,(Ranks!$B87='Point Data'!$B$2:$B$225)*(Ranks!G$86='Point Data'!$D$2:$D$225),0)),"")</f>
        <v>8</v>
      </c>
      <c r="H87" s="72">
        <f t="array" aca="1" ref="H87" ca="1">IFERROR(INDEX('Point Data'!$AJ$2:$AJ$225,MATCH(1,(Ranks!$B87='Point Data'!$B$2:$B$225)*(Ranks!H$86='Point Data'!$D$2:$D$225),0)),"")</f>
        <v>8</v>
      </c>
      <c r="I87" s="72">
        <f t="array" aca="1" ref="I87" ca="1">IFERROR(INDEX('Point Data'!$AJ$2:$AJ$225,MATCH(1,(Ranks!$B87='Point Data'!$B$2:$B$225)*(Ranks!I$86='Point Data'!$D$2:$D$225),0)),"")</f>
        <v>8</v>
      </c>
      <c r="J87" s="72">
        <f t="array" aca="1" ref="J87" ca="1">IFERROR(INDEX('Point Data'!$AJ$2:$AJ$225,MATCH(1,(Ranks!$B87='Point Data'!$B$2:$B$225)*(Ranks!J$86='Point Data'!$D$2:$D$225),0)),"")</f>
        <v>8</v>
      </c>
      <c r="K87" s="72">
        <f t="array" aca="1" ref="K87" ca="1">IFERROR(INDEX('Point Data'!$AJ$2:$AJ$225,MATCH(1,(Ranks!$B87='Point Data'!$B$2:$B$225)*(Ranks!K$86='Point Data'!$D$2:$D$225),0)),"")</f>
        <v>8</v>
      </c>
      <c r="L87" s="72">
        <f t="array" aca="1" ref="L87" ca="1">IFERROR(INDEX('Point Data'!$AJ$2:$AJ$225,MATCH(1,(Ranks!$B87='Point Data'!$B$2:$B$225)*(Ranks!L$86='Point Data'!$D$2:$D$225),0)),"")</f>
        <v>8</v>
      </c>
      <c r="M87" s="72">
        <f t="array" aca="1" ref="M87" ca="1">IFERROR(INDEX('Point Data'!$AJ$2:$AJ$225,MATCH(1,(Ranks!$B87='Point Data'!$B$2:$B$225)*(Ranks!M$86='Point Data'!$D$2:$D$225),0)),"")</f>
        <v>8</v>
      </c>
      <c r="N87" s="72">
        <f t="array" aca="1" ref="N87" ca="1">IFERROR(INDEX('Point Data'!$AJ$2:$AJ$225,MATCH(1,(Ranks!$B87='Point Data'!$B$2:$B$225)*(Ranks!N$86='Point Data'!$D$2:$D$225),0)),"")</f>
        <v>8</v>
      </c>
      <c r="O87" s="72">
        <f t="array" aca="1" ref="O87" ca="1">IFERROR(INDEX('Point Data'!$AJ$2:$AJ$225,MATCH(1,(Ranks!$B87='Point Data'!$B$2:$B$225)*(Ranks!O$86='Point Data'!$D$2:$D$225),0)),"")</f>
        <v>8</v>
      </c>
      <c r="P87" s="72" t="str">
        <f t="array" ref="P87">IFERROR(INDEX('Point Data'!$AJ$2:$AJ$225,MATCH(1,(Ranks!$B87='Point Data'!$B$2:$B$225)*(Ranks!P$86='Point Data'!$D$2:$D$225),0)),"")</f>
        <v/>
      </c>
      <c r="Q87" s="7">
        <f t="shared" ref="Q87:Q102" ca="1" si="13">AVERAGE(C87:O87)</f>
        <v>7.4615384615384617</v>
      </c>
      <c r="R87" s="7">
        <f ca="1">_xlfn.STDEV.S(C87:O87)</f>
        <v>1.3913653136029518</v>
      </c>
      <c r="T87" s="22" t="str">
        <f>'ESPN Data'!M4&amp;" Season Ranks"</f>
        <v>Bone Season Ranks</v>
      </c>
    </row>
    <row r="88" spans="2:22">
      <c r="B88" s="206" t="str">
        <f>'Point Data'!$B$16</f>
        <v>Team 2</v>
      </c>
      <c r="C88" s="72">
        <f t="array" aca="1" ref="C88" ca="1">IFERROR(INDEX('Point Data'!$AJ$2:$AJ$225,MATCH(1,(Ranks!$B88='Point Data'!$B$2:$B$225)*(Ranks!C$86='Point Data'!$D$2:$D$225),0)),"")</f>
        <v>4</v>
      </c>
      <c r="D88" s="72">
        <f t="array" aca="1" ref="D88" ca="1">IFERROR(INDEX('Point Data'!$AJ$2:$AJ$225,MATCH(1,(Ranks!$B88='Point Data'!$B$2:$B$225)*(Ranks!D$86='Point Data'!$D$2:$D$225),0)),"")</f>
        <v>2</v>
      </c>
      <c r="E88" s="72">
        <f t="array" aca="1" ref="E88" ca="1">IFERROR(INDEX('Point Data'!$AJ$2:$AJ$225,MATCH(1,(Ranks!$B88='Point Data'!$B$2:$B$225)*(Ranks!E$86='Point Data'!$D$2:$D$225),0)),"")</f>
        <v>4</v>
      </c>
      <c r="F88" s="72">
        <f t="array" aca="1" ref="F88" ca="1">IFERROR(INDEX('Point Data'!$AJ$2:$AJ$225,MATCH(1,(Ranks!$B88='Point Data'!$B$2:$B$225)*(Ranks!F$86='Point Data'!$D$2:$D$225),0)),"")</f>
        <v>4</v>
      </c>
      <c r="G88" s="72">
        <f t="array" aca="1" ref="G88" ca="1">IFERROR(INDEX('Point Data'!$AJ$2:$AJ$225,MATCH(1,(Ranks!$B88='Point Data'!$B$2:$B$225)*(Ranks!G$86='Point Data'!$D$2:$D$225),0)),"")</f>
        <v>2</v>
      </c>
      <c r="H88" s="72">
        <f t="array" aca="1" ref="H88" ca="1">IFERROR(INDEX('Point Data'!$AJ$2:$AJ$225,MATCH(1,(Ranks!$B88='Point Data'!$B$2:$B$225)*(Ranks!H$86='Point Data'!$D$2:$D$225),0)),"")</f>
        <v>1</v>
      </c>
      <c r="I88" s="72">
        <f t="array" aca="1" ref="I88" ca="1">IFERROR(INDEX('Point Data'!$AJ$2:$AJ$225,MATCH(1,(Ranks!$B88='Point Data'!$B$2:$B$225)*(Ranks!I$86='Point Data'!$D$2:$D$225),0)),"")</f>
        <v>1</v>
      </c>
      <c r="J88" s="72">
        <f t="array" aca="1" ref="J88" ca="1">IFERROR(INDEX('Point Data'!$AJ$2:$AJ$225,MATCH(1,(Ranks!$B88='Point Data'!$B$2:$B$225)*(Ranks!J$86='Point Data'!$D$2:$D$225),0)),"")</f>
        <v>2</v>
      </c>
      <c r="K88" s="72">
        <f t="array" aca="1" ref="K88" ca="1">IFERROR(INDEX('Point Data'!$AJ$2:$AJ$225,MATCH(1,(Ranks!$B88='Point Data'!$B$2:$B$225)*(Ranks!K$86='Point Data'!$D$2:$D$225),0)),"")</f>
        <v>2</v>
      </c>
      <c r="L88" s="72">
        <f t="array" aca="1" ref="L88" ca="1">IFERROR(INDEX('Point Data'!$AJ$2:$AJ$225,MATCH(1,(Ranks!$B88='Point Data'!$B$2:$B$225)*(Ranks!L$86='Point Data'!$D$2:$D$225),0)),"")</f>
        <v>2</v>
      </c>
      <c r="M88" s="72">
        <f t="array" aca="1" ref="M88" ca="1">IFERROR(INDEX('Point Data'!$AJ$2:$AJ$225,MATCH(1,(Ranks!$B88='Point Data'!$B$2:$B$225)*(Ranks!M$86='Point Data'!$D$2:$D$225),0)),"")</f>
        <v>4</v>
      </c>
      <c r="N88" s="72">
        <f t="array" aca="1" ref="N88" ca="1">IFERROR(INDEX('Point Data'!$AJ$2:$AJ$225,MATCH(1,(Ranks!$B88='Point Data'!$B$2:$B$225)*(Ranks!N$86='Point Data'!$D$2:$D$225),0)),"")</f>
        <v>4</v>
      </c>
      <c r="O88" s="72">
        <f t="array" aca="1" ref="O88" ca="1">IFERROR(INDEX('Point Data'!$AJ$2:$AJ$225,MATCH(1,(Ranks!$B88='Point Data'!$B$2:$B$225)*(Ranks!O$86='Point Data'!$D$2:$D$225),0)),"")</f>
        <v>4</v>
      </c>
      <c r="P88" s="72" t="str">
        <f t="array" ref="P88">IFERROR(INDEX('Point Data'!$AJ$2:$AJ$225,MATCH(1,(Ranks!$B88='Point Data'!$B$2:$B$225)*(Ranks!P$86='Point Data'!$D$2:$D$225),0)),"")</f>
        <v/>
      </c>
      <c r="Q88" s="7">
        <f t="shared" ca="1" si="13"/>
        <v>2.7692307692307692</v>
      </c>
      <c r="R88" s="7">
        <f t="shared" ref="R88:R102" ca="1" si="14">_xlfn.STDEV.S(C88:O88)</f>
        <v>1.2351684199496948</v>
      </c>
      <c r="T88" s="22" t="str">
        <f>'ESPN Data'!M12&amp;" Season Ranks"</f>
        <v>Wardo Season Ranks</v>
      </c>
    </row>
    <row r="89" spans="2:22">
      <c r="B89" s="206" t="str">
        <f>'Point Data'!$B$30</f>
        <v>Team 3</v>
      </c>
      <c r="C89" s="72">
        <f t="array" aca="1" ref="C89" ca="1">IFERROR(INDEX('Point Data'!$AJ$2:$AJ$225,MATCH(1,(Ranks!$B89='Point Data'!$B$2:$B$225)*(Ranks!C$86='Point Data'!$D$2:$D$225),0)),"")</f>
        <v>7</v>
      </c>
      <c r="D89" s="72">
        <f t="array" aca="1" ref="D89" ca="1">IFERROR(INDEX('Point Data'!$AJ$2:$AJ$225,MATCH(1,(Ranks!$B89='Point Data'!$B$2:$B$225)*(Ranks!D$86='Point Data'!$D$2:$D$225),0)),"")</f>
        <v>7</v>
      </c>
      <c r="E89" s="72">
        <f t="array" aca="1" ref="E89" ca="1">IFERROR(INDEX('Point Data'!$AJ$2:$AJ$225,MATCH(1,(Ranks!$B89='Point Data'!$B$2:$B$225)*(Ranks!E$86='Point Data'!$D$2:$D$225),0)),"")</f>
        <v>8</v>
      </c>
      <c r="F89" s="72">
        <f t="array" aca="1" ref="F89" ca="1">IFERROR(INDEX('Point Data'!$AJ$2:$AJ$225,MATCH(1,(Ranks!$B89='Point Data'!$B$2:$B$225)*(Ranks!F$86='Point Data'!$D$2:$D$225),0)),"")</f>
        <v>8</v>
      </c>
      <c r="G89" s="72">
        <f t="array" aca="1" ref="G89" ca="1">IFERROR(INDEX('Point Data'!$AJ$2:$AJ$225,MATCH(1,(Ranks!$B89='Point Data'!$B$2:$B$225)*(Ranks!G$86='Point Data'!$D$2:$D$225),0)),"")</f>
        <v>7</v>
      </c>
      <c r="H89" s="72">
        <f t="array" aca="1" ref="H89" ca="1">IFERROR(INDEX('Point Data'!$AJ$2:$AJ$225,MATCH(1,(Ranks!$B89='Point Data'!$B$2:$B$225)*(Ranks!H$86='Point Data'!$D$2:$D$225),0)),"")</f>
        <v>7</v>
      </c>
      <c r="I89" s="72">
        <f t="array" aca="1" ref="I89" ca="1">IFERROR(INDEX('Point Data'!$AJ$2:$AJ$225,MATCH(1,(Ranks!$B89='Point Data'!$B$2:$B$225)*(Ranks!I$86='Point Data'!$D$2:$D$225),0)),"")</f>
        <v>7</v>
      </c>
      <c r="J89" s="72">
        <f t="array" aca="1" ref="J89" ca="1">IFERROR(INDEX('Point Data'!$AJ$2:$AJ$225,MATCH(1,(Ranks!$B89='Point Data'!$B$2:$B$225)*(Ranks!J$86='Point Data'!$D$2:$D$225),0)),"")</f>
        <v>7</v>
      </c>
      <c r="K89" s="72">
        <f t="array" aca="1" ref="K89" ca="1">IFERROR(INDEX('Point Data'!$AJ$2:$AJ$225,MATCH(1,(Ranks!$B89='Point Data'!$B$2:$B$225)*(Ranks!K$86='Point Data'!$D$2:$D$225),0)),"")</f>
        <v>7</v>
      </c>
      <c r="L89" s="72">
        <f t="array" aca="1" ref="L89" ca="1">IFERROR(INDEX('Point Data'!$AJ$2:$AJ$225,MATCH(1,(Ranks!$B89='Point Data'!$B$2:$B$225)*(Ranks!L$86='Point Data'!$D$2:$D$225),0)),"")</f>
        <v>7</v>
      </c>
      <c r="M89" s="72">
        <f t="array" aca="1" ref="M89" ca="1">IFERROR(INDEX('Point Data'!$AJ$2:$AJ$225,MATCH(1,(Ranks!$B89='Point Data'!$B$2:$B$225)*(Ranks!M$86='Point Data'!$D$2:$D$225),0)),"")</f>
        <v>7</v>
      </c>
      <c r="N89" s="72">
        <f t="array" aca="1" ref="N89" ca="1">IFERROR(INDEX('Point Data'!$AJ$2:$AJ$225,MATCH(1,(Ranks!$B89='Point Data'!$B$2:$B$225)*(Ranks!N$86='Point Data'!$D$2:$D$225),0)),"")</f>
        <v>7</v>
      </c>
      <c r="O89" s="72">
        <f t="array" aca="1" ref="O89" ca="1">IFERROR(INDEX('Point Data'!$AJ$2:$AJ$225,MATCH(1,(Ranks!$B89='Point Data'!$B$2:$B$225)*(Ranks!O$86='Point Data'!$D$2:$D$225),0)),"")</f>
        <v>7</v>
      </c>
      <c r="P89" s="72" t="str">
        <f t="array" ref="P89">IFERROR(INDEX('Point Data'!$AJ$2:$AJ$225,MATCH(1,(Ranks!$B89='Point Data'!$B$2:$B$225)*(Ranks!P$86='Point Data'!$D$2:$D$225),0)),"")</f>
        <v/>
      </c>
      <c r="Q89" s="7">
        <f t="shared" ca="1" si="13"/>
        <v>7.1538461538461542</v>
      </c>
      <c r="R89" s="7">
        <f t="shared" ca="1" si="14"/>
        <v>0.3755338080994054</v>
      </c>
      <c r="T89" s="578" t="str">
        <f>'ESPN Data'!M6&amp;" Point Totals"</f>
        <v>Bone Point Totals</v>
      </c>
    </row>
    <row r="90" spans="2:22">
      <c r="B90" s="206" t="str">
        <f>'Point Data'!$B$44</f>
        <v>Team 4</v>
      </c>
      <c r="C90" s="72">
        <f t="array" aca="1" ref="C90" ca="1">IFERROR(INDEX('Point Data'!$AJ$2:$AJ$225,MATCH(1,(Ranks!$B90='Point Data'!$B$2:$B$225)*(Ranks!C$86='Point Data'!$D$2:$D$225),0)),"")</f>
        <v>6</v>
      </c>
      <c r="D90" s="72">
        <f t="array" aca="1" ref="D90" ca="1">IFERROR(INDEX('Point Data'!$AJ$2:$AJ$225,MATCH(1,(Ranks!$B90='Point Data'!$B$2:$B$225)*(Ranks!D$86='Point Data'!$D$2:$D$225),0)),"")</f>
        <v>6</v>
      </c>
      <c r="E90" s="72">
        <f t="array" aca="1" ref="E90" ca="1">IFERROR(INDEX('Point Data'!$AJ$2:$AJ$225,MATCH(1,(Ranks!$B90='Point Data'!$B$2:$B$225)*(Ranks!E$86='Point Data'!$D$2:$D$225),0)),"")</f>
        <v>6</v>
      </c>
      <c r="F90" s="72">
        <f t="array" aca="1" ref="F90" ca="1">IFERROR(INDEX('Point Data'!$AJ$2:$AJ$225,MATCH(1,(Ranks!$B90='Point Data'!$B$2:$B$225)*(Ranks!F$86='Point Data'!$D$2:$D$225),0)),"")</f>
        <v>6</v>
      </c>
      <c r="G90" s="72">
        <f t="array" aca="1" ref="G90" ca="1">IFERROR(INDEX('Point Data'!$AJ$2:$AJ$225,MATCH(1,(Ranks!$B90='Point Data'!$B$2:$B$225)*(Ranks!G$86='Point Data'!$D$2:$D$225),0)),"")</f>
        <v>6</v>
      </c>
      <c r="H90" s="72">
        <f t="array" aca="1" ref="H90" ca="1">IFERROR(INDEX('Point Data'!$AJ$2:$AJ$225,MATCH(1,(Ranks!$B90='Point Data'!$B$2:$B$225)*(Ranks!H$86='Point Data'!$D$2:$D$225),0)),"")</f>
        <v>5</v>
      </c>
      <c r="I90" s="72">
        <f t="array" aca="1" ref="I90" ca="1">IFERROR(INDEX('Point Data'!$AJ$2:$AJ$225,MATCH(1,(Ranks!$B90='Point Data'!$B$2:$B$225)*(Ranks!I$86='Point Data'!$D$2:$D$225),0)),"")</f>
        <v>4</v>
      </c>
      <c r="J90" s="72">
        <f t="array" aca="1" ref="J90" ca="1">IFERROR(INDEX('Point Data'!$AJ$2:$AJ$225,MATCH(1,(Ranks!$B90='Point Data'!$B$2:$B$225)*(Ranks!J$86='Point Data'!$D$2:$D$225),0)),"")</f>
        <v>4</v>
      </c>
      <c r="K90" s="72">
        <f t="array" aca="1" ref="K90" ca="1">IFERROR(INDEX('Point Data'!$AJ$2:$AJ$225,MATCH(1,(Ranks!$B90='Point Data'!$B$2:$B$225)*(Ranks!K$86='Point Data'!$D$2:$D$225),0)),"")</f>
        <v>6</v>
      </c>
      <c r="L90" s="72">
        <f t="array" aca="1" ref="L90" ca="1">IFERROR(INDEX('Point Data'!$AJ$2:$AJ$225,MATCH(1,(Ranks!$B90='Point Data'!$B$2:$B$225)*(Ranks!L$86='Point Data'!$D$2:$D$225),0)),"")</f>
        <v>6</v>
      </c>
      <c r="M90" s="72">
        <f t="array" aca="1" ref="M90" ca="1">IFERROR(INDEX('Point Data'!$AJ$2:$AJ$225,MATCH(1,(Ranks!$B90='Point Data'!$B$2:$B$225)*(Ranks!M$86='Point Data'!$D$2:$D$225),0)),"")</f>
        <v>6</v>
      </c>
      <c r="N90" s="72">
        <f t="array" aca="1" ref="N90" ca="1">IFERROR(INDEX('Point Data'!$AJ$2:$AJ$225,MATCH(1,(Ranks!$B90='Point Data'!$B$2:$B$225)*(Ranks!N$86='Point Data'!$D$2:$D$225),0)),"")</f>
        <v>6</v>
      </c>
      <c r="O90" s="72">
        <f t="array" aca="1" ref="O90" ca="1">IFERROR(INDEX('Point Data'!$AJ$2:$AJ$225,MATCH(1,(Ranks!$B90='Point Data'!$B$2:$B$225)*(Ranks!O$86='Point Data'!$D$2:$D$225),0)),"")</f>
        <v>5</v>
      </c>
      <c r="P90" s="72" t="str">
        <f t="array" ref="P90">IFERROR(INDEX('Point Data'!$AJ$2:$AJ$225,MATCH(1,(Ranks!$B90='Point Data'!$B$2:$B$225)*(Ranks!P$86='Point Data'!$D$2:$D$225),0)),"")</f>
        <v/>
      </c>
      <c r="Q90" s="7">
        <f t="shared" ca="1" si="13"/>
        <v>5.5384615384615383</v>
      </c>
      <c r="R90" s="7">
        <f t="shared" ca="1" si="14"/>
        <v>0.77625002580618452</v>
      </c>
      <c r="T90" s="578" t="str">
        <f>'ESPN Data'!M14&amp;" Season Ranks"</f>
        <v>Wardo Season Ranks</v>
      </c>
    </row>
    <row r="91" spans="2:22">
      <c r="B91" s="206" t="str">
        <f>'Point Data'!$B$58</f>
        <v>Team 5</v>
      </c>
      <c r="C91" s="72">
        <f t="array" aca="1" ref="C91" ca="1">IFERROR(INDEX('Point Data'!$AJ$2:$AJ$225,MATCH(1,(Ranks!$B91='Point Data'!$B$2:$B$225)*(Ranks!C$86='Point Data'!$D$2:$D$225),0)),"")</f>
        <v>8</v>
      </c>
      <c r="D91" s="72">
        <f t="array" aca="1" ref="D91" ca="1">IFERROR(INDEX('Point Data'!$AJ$2:$AJ$225,MATCH(1,(Ranks!$B91='Point Data'!$B$2:$B$225)*(Ranks!D$86='Point Data'!$D$2:$D$225),0)),"")</f>
        <v>5</v>
      </c>
      <c r="E91" s="72">
        <f t="array" aca="1" ref="E91" ca="1">IFERROR(INDEX('Point Data'!$AJ$2:$AJ$225,MATCH(1,(Ranks!$B91='Point Data'!$B$2:$B$225)*(Ranks!E$86='Point Data'!$D$2:$D$225),0)),"")</f>
        <v>2</v>
      </c>
      <c r="F91" s="72">
        <f t="array" aca="1" ref="F91" ca="1">IFERROR(INDEX('Point Data'!$AJ$2:$AJ$225,MATCH(1,(Ranks!$B91='Point Data'!$B$2:$B$225)*(Ranks!F$86='Point Data'!$D$2:$D$225),0)),"")</f>
        <v>1</v>
      </c>
      <c r="G91" s="72">
        <f t="array" aca="1" ref="G91" ca="1">IFERROR(INDEX('Point Data'!$AJ$2:$AJ$225,MATCH(1,(Ranks!$B91='Point Data'!$B$2:$B$225)*(Ranks!G$86='Point Data'!$D$2:$D$225),0)),"")</f>
        <v>1</v>
      </c>
      <c r="H91" s="72">
        <f t="array" aca="1" ref="H91" ca="1">IFERROR(INDEX('Point Data'!$AJ$2:$AJ$225,MATCH(1,(Ranks!$B91='Point Data'!$B$2:$B$225)*(Ranks!H$86='Point Data'!$D$2:$D$225),0)),"")</f>
        <v>4</v>
      </c>
      <c r="I91" s="72">
        <f t="array" aca="1" ref="I91" ca="1">IFERROR(INDEX('Point Data'!$AJ$2:$AJ$225,MATCH(1,(Ranks!$B91='Point Data'!$B$2:$B$225)*(Ranks!I$86='Point Data'!$D$2:$D$225),0)),"")</f>
        <v>2</v>
      </c>
      <c r="J91" s="72">
        <f t="array" aca="1" ref="J91" ca="1">IFERROR(INDEX('Point Data'!$AJ$2:$AJ$225,MATCH(1,(Ranks!$B91='Point Data'!$B$2:$B$225)*(Ranks!J$86='Point Data'!$D$2:$D$225),0)),"")</f>
        <v>1</v>
      </c>
      <c r="K91" s="72">
        <f t="array" aca="1" ref="K91" ca="1">IFERROR(INDEX('Point Data'!$AJ$2:$AJ$225,MATCH(1,(Ranks!$B91='Point Data'!$B$2:$B$225)*(Ranks!K$86='Point Data'!$D$2:$D$225),0)),"")</f>
        <v>1</v>
      </c>
      <c r="L91" s="72">
        <f t="array" aca="1" ref="L91" ca="1">IFERROR(INDEX('Point Data'!$AJ$2:$AJ$225,MATCH(1,(Ranks!$B91='Point Data'!$B$2:$B$225)*(Ranks!L$86='Point Data'!$D$2:$D$225),0)),"")</f>
        <v>1</v>
      </c>
      <c r="M91" s="72">
        <f t="array" aca="1" ref="M91" ca="1">IFERROR(INDEX('Point Data'!$AJ$2:$AJ$225,MATCH(1,(Ranks!$B91='Point Data'!$B$2:$B$225)*(Ranks!M$86='Point Data'!$D$2:$D$225),0)),"")</f>
        <v>1</v>
      </c>
      <c r="N91" s="72">
        <f t="array" aca="1" ref="N91" ca="1">IFERROR(INDEX('Point Data'!$AJ$2:$AJ$225,MATCH(1,(Ranks!$B91='Point Data'!$B$2:$B$225)*(Ranks!N$86='Point Data'!$D$2:$D$225),0)),"")</f>
        <v>1</v>
      </c>
      <c r="O91" s="72">
        <f t="array" aca="1" ref="O91" ca="1">IFERROR(INDEX('Point Data'!$AJ$2:$AJ$225,MATCH(1,(Ranks!$B91='Point Data'!$B$2:$B$225)*(Ranks!O$86='Point Data'!$D$2:$D$225),0)),"")</f>
        <v>1</v>
      </c>
      <c r="P91" s="72" t="str">
        <f t="array" ref="P91">IFERROR(INDEX('Point Data'!$AJ$2:$AJ$225,MATCH(1,(Ranks!$B91='Point Data'!$B$2:$B$225)*(Ranks!P$86='Point Data'!$D$2:$D$225),0)),"")</f>
        <v/>
      </c>
      <c r="Q91" s="7">
        <f t="shared" ca="1" si="13"/>
        <v>2.2307692307692308</v>
      </c>
      <c r="R91" s="7">
        <f t="shared" ca="1" si="14"/>
        <v>2.1661735138967266</v>
      </c>
    </row>
    <row r="92" spans="2:22">
      <c r="B92" s="206" t="str">
        <f>'Point Data'!$B$72</f>
        <v>Team 6</v>
      </c>
      <c r="C92" s="72">
        <f t="array" aca="1" ref="C92" ca="1">IFERROR(INDEX('Point Data'!$AJ$2:$AJ$225,MATCH(1,(Ranks!$B92='Point Data'!$B$2:$B$225)*(Ranks!C$86='Point Data'!$D$2:$D$225),0)),"")</f>
        <v>2</v>
      </c>
      <c r="D92" s="72">
        <f t="array" aca="1" ref="D92" ca="1">IFERROR(INDEX('Point Data'!$AJ$2:$AJ$225,MATCH(1,(Ranks!$B92='Point Data'!$B$2:$B$225)*(Ranks!D$86='Point Data'!$D$2:$D$225),0)),"")</f>
        <v>4</v>
      </c>
      <c r="E92" s="72">
        <f t="array" aca="1" ref="E92" ca="1">IFERROR(INDEX('Point Data'!$AJ$2:$AJ$225,MATCH(1,(Ranks!$B92='Point Data'!$B$2:$B$225)*(Ranks!E$86='Point Data'!$D$2:$D$225),0)),"")</f>
        <v>5</v>
      </c>
      <c r="F92" s="72">
        <f t="array" aca="1" ref="F92" ca="1">IFERROR(INDEX('Point Data'!$AJ$2:$AJ$225,MATCH(1,(Ranks!$B92='Point Data'!$B$2:$B$225)*(Ranks!F$86='Point Data'!$D$2:$D$225),0)),"")</f>
        <v>5</v>
      </c>
      <c r="G92" s="72">
        <f t="array" aca="1" ref="G92" ca="1">IFERROR(INDEX('Point Data'!$AJ$2:$AJ$225,MATCH(1,(Ranks!$B92='Point Data'!$B$2:$B$225)*(Ranks!G$86='Point Data'!$D$2:$D$225),0)),"")</f>
        <v>5</v>
      </c>
      <c r="H92" s="72">
        <f t="array" aca="1" ref="H92" ca="1">IFERROR(INDEX('Point Data'!$AJ$2:$AJ$225,MATCH(1,(Ranks!$B92='Point Data'!$B$2:$B$225)*(Ranks!H$86='Point Data'!$D$2:$D$225),0)),"")</f>
        <v>6</v>
      </c>
      <c r="I92" s="72">
        <f t="array" aca="1" ref="I92" ca="1">IFERROR(INDEX('Point Data'!$AJ$2:$AJ$225,MATCH(1,(Ranks!$B92='Point Data'!$B$2:$B$225)*(Ranks!I$86='Point Data'!$D$2:$D$225),0)),"")</f>
        <v>6</v>
      </c>
      <c r="J92" s="72">
        <f t="array" aca="1" ref="J92" ca="1">IFERROR(INDEX('Point Data'!$AJ$2:$AJ$225,MATCH(1,(Ranks!$B92='Point Data'!$B$2:$B$225)*(Ranks!J$86='Point Data'!$D$2:$D$225),0)),"")</f>
        <v>5</v>
      </c>
      <c r="K92" s="72">
        <f t="array" aca="1" ref="K92" ca="1">IFERROR(INDEX('Point Data'!$AJ$2:$AJ$225,MATCH(1,(Ranks!$B92='Point Data'!$B$2:$B$225)*(Ranks!K$86='Point Data'!$D$2:$D$225),0)),"")</f>
        <v>5</v>
      </c>
      <c r="L92" s="72">
        <f t="array" aca="1" ref="L92" ca="1">IFERROR(INDEX('Point Data'!$AJ$2:$AJ$225,MATCH(1,(Ranks!$B92='Point Data'!$B$2:$B$225)*(Ranks!L$86='Point Data'!$D$2:$D$225),0)),"")</f>
        <v>5</v>
      </c>
      <c r="M92" s="72">
        <f t="array" aca="1" ref="M92" ca="1">IFERROR(INDEX('Point Data'!$AJ$2:$AJ$225,MATCH(1,(Ranks!$B92='Point Data'!$B$2:$B$225)*(Ranks!M$86='Point Data'!$D$2:$D$225),0)),"")</f>
        <v>5</v>
      </c>
      <c r="N92" s="72">
        <f t="array" aca="1" ref="N92" ca="1">IFERROR(INDEX('Point Data'!$AJ$2:$AJ$225,MATCH(1,(Ranks!$B92='Point Data'!$B$2:$B$225)*(Ranks!N$86='Point Data'!$D$2:$D$225),0)),"")</f>
        <v>2</v>
      </c>
      <c r="O92" s="72">
        <f t="array" aca="1" ref="O92" ca="1">IFERROR(INDEX('Point Data'!$AJ$2:$AJ$225,MATCH(1,(Ranks!$B92='Point Data'!$B$2:$B$225)*(Ranks!O$86='Point Data'!$D$2:$D$225),0)),"")</f>
        <v>2</v>
      </c>
      <c r="P92" s="72" t="str">
        <f t="array" ref="P92">IFERROR(INDEX('Point Data'!$AJ$2:$AJ$225,MATCH(1,(Ranks!$B92='Point Data'!$B$2:$B$225)*(Ranks!P$86='Point Data'!$D$2:$D$225),0)),"")</f>
        <v/>
      </c>
      <c r="Q92" s="7">
        <f t="shared" ca="1" si="13"/>
        <v>4.384615384615385</v>
      </c>
      <c r="R92" s="7">
        <f t="shared" ca="1" si="14"/>
        <v>1.4455945454184549</v>
      </c>
    </row>
    <row r="93" spans="2:22">
      <c r="B93" s="206" t="str">
        <f>'Point Data'!$B$86</f>
        <v>Team 7</v>
      </c>
      <c r="C93" s="72">
        <f t="array" aca="1" ref="C93" ca="1">IFERROR(INDEX('Point Data'!$AJ$2:$AJ$225,MATCH(1,(Ranks!$B93='Point Data'!$B$2:$B$225)*(Ranks!C$86='Point Data'!$D$2:$D$225),0)),"")</f>
        <v>5</v>
      </c>
      <c r="D93" s="72">
        <f t="array" aca="1" ref="D93" ca="1">IFERROR(INDEX('Point Data'!$AJ$2:$AJ$225,MATCH(1,(Ranks!$B93='Point Data'!$B$2:$B$225)*(Ranks!D$86='Point Data'!$D$2:$D$225),0)),"")</f>
        <v>1</v>
      </c>
      <c r="E93" s="72">
        <f t="array" aca="1" ref="E93" ca="1">IFERROR(INDEX('Point Data'!$AJ$2:$AJ$225,MATCH(1,(Ranks!$B93='Point Data'!$B$2:$B$225)*(Ranks!E$86='Point Data'!$D$2:$D$225),0)),"")</f>
        <v>1</v>
      </c>
      <c r="F93" s="72">
        <f t="array" aca="1" ref="F93" ca="1">IFERROR(INDEX('Point Data'!$AJ$2:$AJ$225,MATCH(1,(Ranks!$B93='Point Data'!$B$2:$B$225)*(Ranks!F$86='Point Data'!$D$2:$D$225),0)),"")</f>
        <v>2</v>
      </c>
      <c r="G93" s="72">
        <f t="array" aca="1" ref="G93" ca="1">IFERROR(INDEX('Point Data'!$AJ$2:$AJ$225,MATCH(1,(Ranks!$B93='Point Data'!$B$2:$B$225)*(Ranks!G$86='Point Data'!$D$2:$D$225),0)),"")</f>
        <v>3</v>
      </c>
      <c r="H93" s="72">
        <f t="array" aca="1" ref="H93" ca="1">IFERROR(INDEX('Point Data'!$AJ$2:$AJ$225,MATCH(1,(Ranks!$B93='Point Data'!$B$2:$B$225)*(Ranks!H$86='Point Data'!$D$2:$D$225),0)),"")</f>
        <v>2</v>
      </c>
      <c r="I93" s="72">
        <f t="array" aca="1" ref="I93" ca="1">IFERROR(INDEX('Point Data'!$AJ$2:$AJ$225,MATCH(1,(Ranks!$B93='Point Data'!$B$2:$B$225)*(Ranks!I$86='Point Data'!$D$2:$D$225),0)),"")</f>
        <v>3</v>
      </c>
      <c r="J93" s="72">
        <f t="array" aca="1" ref="J93" ca="1">IFERROR(INDEX('Point Data'!$AJ$2:$AJ$225,MATCH(1,(Ranks!$B93='Point Data'!$B$2:$B$225)*(Ranks!J$86='Point Data'!$D$2:$D$225),0)),"")</f>
        <v>3</v>
      </c>
      <c r="K93" s="72">
        <f t="array" aca="1" ref="K93" ca="1">IFERROR(INDEX('Point Data'!$AJ$2:$AJ$225,MATCH(1,(Ranks!$B93='Point Data'!$B$2:$B$225)*(Ranks!K$86='Point Data'!$D$2:$D$225),0)),"")</f>
        <v>3</v>
      </c>
      <c r="L93" s="72">
        <f t="array" aca="1" ref="L93" ca="1">IFERROR(INDEX('Point Data'!$AJ$2:$AJ$225,MATCH(1,(Ranks!$B93='Point Data'!$B$2:$B$225)*(Ranks!L$86='Point Data'!$D$2:$D$225),0)),"")</f>
        <v>3</v>
      </c>
      <c r="M93" s="72">
        <f t="array" aca="1" ref="M93" ca="1">IFERROR(INDEX('Point Data'!$AJ$2:$AJ$225,MATCH(1,(Ranks!$B93='Point Data'!$B$2:$B$225)*(Ranks!M$86='Point Data'!$D$2:$D$225),0)),"")</f>
        <v>2</v>
      </c>
      <c r="N93" s="72">
        <f t="array" aca="1" ref="N93" ca="1">IFERROR(INDEX('Point Data'!$AJ$2:$AJ$225,MATCH(1,(Ranks!$B93='Point Data'!$B$2:$B$225)*(Ranks!N$86='Point Data'!$D$2:$D$225),0)),"")</f>
        <v>3</v>
      </c>
      <c r="O93" s="72">
        <f t="array" aca="1" ref="O93" ca="1">IFERROR(INDEX('Point Data'!$AJ$2:$AJ$225,MATCH(1,(Ranks!$B93='Point Data'!$B$2:$B$225)*(Ranks!O$86='Point Data'!$D$2:$D$225),0)),"")</f>
        <v>6</v>
      </c>
      <c r="P93" s="72" t="str">
        <f t="array" ref="P93">IFERROR(INDEX('Point Data'!$AJ$2:$AJ$225,MATCH(1,(Ranks!$B93='Point Data'!$B$2:$B$225)*(Ranks!P$86='Point Data'!$D$2:$D$225),0)),"")</f>
        <v/>
      </c>
      <c r="Q93" s="7">
        <f t="shared" ca="1" si="13"/>
        <v>2.8461538461538463</v>
      </c>
      <c r="R93" s="7">
        <f t="shared" ca="1" si="14"/>
        <v>1.4051188470584879</v>
      </c>
    </row>
    <row r="94" spans="2:22">
      <c r="B94" s="206" t="str">
        <f>'Point Data'!$B$100</f>
        <v>Team 8</v>
      </c>
      <c r="C94" s="72">
        <f t="array" aca="1" ref="C94" ca="1">IFERROR(INDEX('Point Data'!$AJ$2:$AJ$225,MATCH(1,(Ranks!$B94='Point Data'!$B$2:$B$225)*(Ranks!C$86='Point Data'!$D$2:$D$225),0)),"")</f>
        <v>1</v>
      </c>
      <c r="D94" s="72">
        <f t="array" aca="1" ref="D94" ca="1">IFERROR(INDEX('Point Data'!$AJ$2:$AJ$225,MATCH(1,(Ranks!$B94='Point Data'!$B$2:$B$225)*(Ranks!D$86='Point Data'!$D$2:$D$225),0)),"")</f>
        <v>3</v>
      </c>
      <c r="E94" s="72">
        <f t="array" aca="1" ref="E94" ca="1">IFERROR(INDEX('Point Data'!$AJ$2:$AJ$225,MATCH(1,(Ranks!$B94='Point Data'!$B$2:$B$225)*(Ranks!E$86='Point Data'!$D$2:$D$225),0)),"")</f>
        <v>3</v>
      </c>
      <c r="F94" s="72">
        <f t="array" aca="1" ref="F94" ca="1">IFERROR(INDEX('Point Data'!$AJ$2:$AJ$225,MATCH(1,(Ranks!$B94='Point Data'!$B$2:$B$225)*(Ranks!F$86='Point Data'!$D$2:$D$225),0)),"")</f>
        <v>3</v>
      </c>
      <c r="G94" s="72">
        <f t="array" aca="1" ref="G94" ca="1">IFERROR(INDEX('Point Data'!$AJ$2:$AJ$225,MATCH(1,(Ranks!$B94='Point Data'!$B$2:$B$225)*(Ranks!G$86='Point Data'!$D$2:$D$225),0)),"")</f>
        <v>4</v>
      </c>
      <c r="H94" s="72">
        <f t="array" aca="1" ref="H94" ca="1">IFERROR(INDEX('Point Data'!$AJ$2:$AJ$225,MATCH(1,(Ranks!$B94='Point Data'!$B$2:$B$225)*(Ranks!H$86='Point Data'!$D$2:$D$225),0)),"")</f>
        <v>3</v>
      </c>
      <c r="I94" s="72">
        <f t="array" aca="1" ref="I94" ca="1">IFERROR(INDEX('Point Data'!$AJ$2:$AJ$225,MATCH(1,(Ranks!$B94='Point Data'!$B$2:$B$225)*(Ranks!I$86='Point Data'!$D$2:$D$225),0)),"")</f>
        <v>5</v>
      </c>
      <c r="J94" s="72">
        <f t="array" aca="1" ref="J94" ca="1">IFERROR(INDEX('Point Data'!$AJ$2:$AJ$225,MATCH(1,(Ranks!$B94='Point Data'!$B$2:$B$225)*(Ranks!J$86='Point Data'!$D$2:$D$225),0)),"")</f>
        <v>6</v>
      </c>
      <c r="K94" s="72">
        <f t="array" aca="1" ref="K94" ca="1">IFERROR(INDEX('Point Data'!$AJ$2:$AJ$225,MATCH(1,(Ranks!$B94='Point Data'!$B$2:$B$225)*(Ranks!K$86='Point Data'!$D$2:$D$225),0)),"")</f>
        <v>4</v>
      </c>
      <c r="L94" s="72">
        <f t="array" aca="1" ref="L94" ca="1">IFERROR(INDEX('Point Data'!$AJ$2:$AJ$225,MATCH(1,(Ranks!$B94='Point Data'!$B$2:$B$225)*(Ranks!L$86='Point Data'!$D$2:$D$225),0)),"")</f>
        <v>4</v>
      </c>
      <c r="M94" s="72">
        <f t="array" aca="1" ref="M94" ca="1">IFERROR(INDEX('Point Data'!$AJ$2:$AJ$225,MATCH(1,(Ranks!$B94='Point Data'!$B$2:$B$225)*(Ranks!M$86='Point Data'!$D$2:$D$225),0)),"")</f>
        <v>3</v>
      </c>
      <c r="N94" s="72">
        <f t="array" aca="1" ref="N94" ca="1">IFERROR(INDEX('Point Data'!$AJ$2:$AJ$225,MATCH(1,(Ranks!$B94='Point Data'!$B$2:$B$225)*(Ranks!N$86='Point Data'!$D$2:$D$225),0)),"")</f>
        <v>5</v>
      </c>
      <c r="O94" s="72">
        <f t="array" aca="1" ref="O94" ca="1">IFERROR(INDEX('Point Data'!$AJ$2:$AJ$225,MATCH(1,(Ranks!$B94='Point Data'!$B$2:$B$225)*(Ranks!O$86='Point Data'!$D$2:$D$225),0)),"")</f>
        <v>3</v>
      </c>
      <c r="P94" s="72" t="str">
        <f t="array" ref="P94">IFERROR(INDEX('Point Data'!$AJ$2:$AJ$225,MATCH(1,(Ranks!$B94='Point Data'!$B$2:$B$225)*(Ranks!P$86='Point Data'!$D$2:$D$225),0)),"")</f>
        <v/>
      </c>
      <c r="Q94" s="7">
        <f t="shared" ca="1" si="13"/>
        <v>3.6153846153846154</v>
      </c>
      <c r="R94" s="7">
        <f t="shared" ca="1" si="14"/>
        <v>1.2608503439122301</v>
      </c>
    </row>
    <row r="95" spans="2:22">
      <c r="B95" s="207" t="str">
        <f>'Point Data'!$B$114</f>
        <v>Team 9</v>
      </c>
      <c r="C95" s="72">
        <f t="array" aca="1" ref="C95" ca="1">IFERROR(INDEX('Point Data'!$AJ$2:$AJ$225,MATCH(1,(Ranks!$B95='Point Data'!$B$2:$B$225)*(Ranks!C$86='Point Data'!$D$2:$D$225),0)),"")</f>
        <v>1</v>
      </c>
      <c r="D95" s="72">
        <f t="array" aca="1" ref="D95" ca="1">IFERROR(INDEX('Point Data'!$AJ$2:$AJ$225,MATCH(1,(Ranks!$B95='Point Data'!$B$2:$B$225)*(Ranks!D$86='Point Data'!$D$2:$D$225),0)),"")</f>
        <v>1</v>
      </c>
      <c r="E95" s="72">
        <f t="array" aca="1" ref="E95" ca="1">IFERROR(INDEX('Point Data'!$AJ$2:$AJ$225,MATCH(1,(Ranks!$B95='Point Data'!$B$2:$B$225)*(Ranks!E$86='Point Data'!$D$2:$D$225),0)),"")</f>
        <v>3</v>
      </c>
      <c r="F95" s="72">
        <f t="array" aca="1" ref="F95" ca="1">IFERROR(INDEX('Point Data'!$AJ$2:$AJ$225,MATCH(1,(Ranks!$B95='Point Data'!$B$2:$B$225)*(Ranks!F$86='Point Data'!$D$2:$D$225),0)),"")</f>
        <v>1</v>
      </c>
      <c r="G95" s="72">
        <f t="array" aca="1" ref="G95" ca="1">IFERROR(INDEX('Point Data'!$AJ$2:$AJ$225,MATCH(1,(Ranks!$B95='Point Data'!$B$2:$B$225)*(Ranks!G$86='Point Data'!$D$2:$D$225),0)),"")</f>
        <v>1</v>
      </c>
      <c r="H95" s="72">
        <f t="array" aca="1" ref="H95" ca="1">IFERROR(INDEX('Point Data'!$AJ$2:$AJ$225,MATCH(1,(Ranks!$B95='Point Data'!$B$2:$B$225)*(Ranks!H$86='Point Data'!$D$2:$D$225),0)),"")</f>
        <v>1</v>
      </c>
      <c r="I95" s="72">
        <f t="array" aca="1" ref="I95" ca="1">IFERROR(INDEX('Point Data'!$AJ$2:$AJ$225,MATCH(1,(Ranks!$B95='Point Data'!$B$2:$B$225)*(Ranks!I$86='Point Data'!$D$2:$D$225),0)),"")</f>
        <v>2</v>
      </c>
      <c r="J95" s="72">
        <f t="array" aca="1" ref="J95" ca="1">IFERROR(INDEX('Point Data'!$AJ$2:$AJ$225,MATCH(1,(Ranks!$B95='Point Data'!$B$2:$B$225)*(Ranks!J$86='Point Data'!$D$2:$D$225),0)),"")</f>
        <v>2</v>
      </c>
      <c r="K95" s="72">
        <f t="array" aca="1" ref="K95" ca="1">IFERROR(INDEX('Point Data'!$AJ$2:$AJ$225,MATCH(1,(Ranks!$B95='Point Data'!$B$2:$B$225)*(Ranks!K$86='Point Data'!$D$2:$D$225),0)),"")</f>
        <v>2</v>
      </c>
      <c r="L95" s="72">
        <f t="array" aca="1" ref="L95" ca="1">IFERROR(INDEX('Point Data'!$AJ$2:$AJ$225,MATCH(1,(Ranks!$B95='Point Data'!$B$2:$B$225)*(Ranks!L$86='Point Data'!$D$2:$D$225),0)),"")</f>
        <v>1</v>
      </c>
      <c r="M95" s="72">
        <f t="array" aca="1" ref="M95" ca="1">IFERROR(INDEX('Point Data'!$AJ$2:$AJ$225,MATCH(1,(Ranks!$B95='Point Data'!$B$2:$B$225)*(Ranks!M$86='Point Data'!$D$2:$D$225),0)),"")</f>
        <v>1</v>
      </c>
      <c r="N95" s="72">
        <f t="array" aca="1" ref="N95" ca="1">IFERROR(INDEX('Point Data'!$AJ$2:$AJ$225,MATCH(1,(Ranks!$B95='Point Data'!$B$2:$B$225)*(Ranks!N$86='Point Data'!$D$2:$D$225),0)),"")</f>
        <v>1</v>
      </c>
      <c r="O95" s="72">
        <f t="array" aca="1" ref="O95" ca="1">IFERROR(INDEX('Point Data'!$AJ$2:$AJ$225,MATCH(1,(Ranks!$B95='Point Data'!$B$2:$B$225)*(Ranks!O$86='Point Data'!$D$2:$D$225),0)),"")</f>
        <v>1</v>
      </c>
      <c r="P95" s="72" t="str">
        <f t="array" ref="P95">IFERROR(INDEX('Point Data'!$AJ$2:$AJ$225,MATCH(1,(Ranks!$B95='Point Data'!$B$2:$B$225)*(Ranks!P$86='Point Data'!$D$2:$D$225),0)),"")</f>
        <v/>
      </c>
      <c r="Q95" s="7">
        <f t="shared" ca="1" si="13"/>
        <v>1.3846153846153846</v>
      </c>
      <c r="R95" s="7">
        <f t="shared" ca="1" si="14"/>
        <v>0.6504436355879909</v>
      </c>
    </row>
    <row r="96" spans="2:22">
      <c r="B96" s="207" t="str">
        <f>'Point Data'!$B$128</f>
        <v>Team 10</v>
      </c>
      <c r="C96" s="72">
        <f t="array" aca="1" ref="C96" ca="1">IFERROR(INDEX('Point Data'!$AJ$2:$AJ$225,MATCH(1,(Ranks!$B96='Point Data'!$B$2:$B$225)*(Ranks!C$86='Point Data'!$D$2:$D$225),0)),"")</f>
        <v>6</v>
      </c>
      <c r="D96" s="72">
        <f t="array" aca="1" ref="D96" ca="1">IFERROR(INDEX('Point Data'!$AJ$2:$AJ$225,MATCH(1,(Ranks!$B96='Point Data'!$B$2:$B$225)*(Ranks!D$86='Point Data'!$D$2:$D$225),0)),"")</f>
        <v>6</v>
      </c>
      <c r="E96" s="72">
        <f t="array" aca="1" ref="E96" ca="1">IFERROR(INDEX('Point Data'!$AJ$2:$AJ$225,MATCH(1,(Ranks!$B96='Point Data'!$B$2:$B$225)*(Ranks!E$86='Point Data'!$D$2:$D$225),0)),"")</f>
        <v>5</v>
      </c>
      <c r="F96" s="72">
        <f t="array" aca="1" ref="F96" ca="1">IFERROR(INDEX('Point Data'!$AJ$2:$AJ$225,MATCH(1,(Ranks!$B96='Point Data'!$B$2:$B$225)*(Ranks!F$86='Point Data'!$D$2:$D$225),0)),"")</f>
        <v>5</v>
      </c>
      <c r="G96" s="72">
        <f t="array" aca="1" ref="G96" ca="1">IFERROR(INDEX('Point Data'!$AJ$2:$AJ$225,MATCH(1,(Ranks!$B96='Point Data'!$B$2:$B$225)*(Ranks!G$86='Point Data'!$D$2:$D$225),0)),"")</f>
        <v>5</v>
      </c>
      <c r="H96" s="72">
        <f t="array" aca="1" ref="H96" ca="1">IFERROR(INDEX('Point Data'!$AJ$2:$AJ$225,MATCH(1,(Ranks!$B96='Point Data'!$B$2:$B$225)*(Ranks!H$86='Point Data'!$D$2:$D$225),0)),"")</f>
        <v>4</v>
      </c>
      <c r="I96" s="72">
        <f t="array" aca="1" ref="I96" ca="1">IFERROR(INDEX('Point Data'!$AJ$2:$AJ$225,MATCH(1,(Ranks!$B96='Point Data'!$B$2:$B$225)*(Ranks!I$86='Point Data'!$D$2:$D$225),0)),"")</f>
        <v>5</v>
      </c>
      <c r="J96" s="72">
        <f t="array" aca="1" ref="J96" ca="1">IFERROR(INDEX('Point Data'!$AJ$2:$AJ$225,MATCH(1,(Ranks!$B96='Point Data'!$B$2:$B$225)*(Ranks!J$86='Point Data'!$D$2:$D$225),0)),"")</f>
        <v>5</v>
      </c>
      <c r="K96" s="72">
        <f t="array" aca="1" ref="K96" ca="1">IFERROR(INDEX('Point Data'!$AJ$2:$AJ$225,MATCH(1,(Ranks!$B96='Point Data'!$B$2:$B$225)*(Ranks!K$86='Point Data'!$D$2:$D$225),0)),"")</f>
        <v>4</v>
      </c>
      <c r="L96" s="72">
        <f t="array" aca="1" ref="L96" ca="1">IFERROR(INDEX('Point Data'!$AJ$2:$AJ$225,MATCH(1,(Ranks!$B96='Point Data'!$B$2:$B$225)*(Ranks!L$86='Point Data'!$D$2:$D$225),0)),"")</f>
        <v>5</v>
      </c>
      <c r="M96" s="72">
        <f t="array" aca="1" ref="M96" ca="1">IFERROR(INDEX('Point Data'!$AJ$2:$AJ$225,MATCH(1,(Ranks!$B96='Point Data'!$B$2:$B$225)*(Ranks!M$86='Point Data'!$D$2:$D$225),0)),"")</f>
        <v>5</v>
      </c>
      <c r="N96" s="72">
        <f t="array" aca="1" ref="N96" ca="1">IFERROR(INDEX('Point Data'!$AJ$2:$AJ$225,MATCH(1,(Ranks!$B96='Point Data'!$B$2:$B$225)*(Ranks!N$86='Point Data'!$D$2:$D$225),0)),"")</f>
        <v>4</v>
      </c>
      <c r="O96" s="72">
        <f t="array" aca="1" ref="O96" ca="1">IFERROR(INDEX('Point Data'!$AJ$2:$AJ$225,MATCH(1,(Ranks!$B96='Point Data'!$B$2:$B$225)*(Ranks!O$86='Point Data'!$D$2:$D$225),0)),"")</f>
        <v>5</v>
      </c>
      <c r="P96" s="72" t="str">
        <f t="array" ref="P96">IFERROR(INDEX('Point Data'!$AJ$2:$AJ$225,MATCH(1,(Ranks!$B96='Point Data'!$B$2:$B$225)*(Ranks!P$86='Point Data'!$D$2:$D$225),0)),"")</f>
        <v/>
      </c>
      <c r="Q96" s="7">
        <f t="shared" ca="1" si="13"/>
        <v>4.9230769230769234</v>
      </c>
      <c r="R96" s="7">
        <f t="shared" ca="1" si="14"/>
        <v>0.64051261522034741</v>
      </c>
    </row>
    <row r="97" spans="2:18">
      <c r="B97" s="207" t="str">
        <f>'Point Data'!$B$142</f>
        <v>Team 11</v>
      </c>
      <c r="C97" s="72">
        <f t="array" aca="1" ref="C97" ca="1">IFERROR(INDEX('Point Data'!$AJ$2:$AJ$225,MATCH(1,(Ranks!$B97='Point Data'!$B$2:$B$225)*(Ranks!C$86='Point Data'!$D$2:$D$225),0)),"")</f>
        <v>2</v>
      </c>
      <c r="D97" s="72">
        <f t="array" aca="1" ref="D97" ca="1">IFERROR(INDEX('Point Data'!$AJ$2:$AJ$225,MATCH(1,(Ranks!$B97='Point Data'!$B$2:$B$225)*(Ranks!D$86='Point Data'!$D$2:$D$225),0)),"")</f>
        <v>4</v>
      </c>
      <c r="E97" s="72">
        <f t="array" aca="1" ref="E97" ca="1">IFERROR(INDEX('Point Data'!$AJ$2:$AJ$225,MATCH(1,(Ranks!$B97='Point Data'!$B$2:$B$225)*(Ranks!E$86='Point Data'!$D$2:$D$225),0)),"")</f>
        <v>2</v>
      </c>
      <c r="F97" s="72">
        <f t="array" aca="1" ref="F97" ca="1">IFERROR(INDEX('Point Data'!$AJ$2:$AJ$225,MATCH(1,(Ranks!$B97='Point Data'!$B$2:$B$225)*(Ranks!F$86='Point Data'!$D$2:$D$225),0)),"")</f>
        <v>4</v>
      </c>
      <c r="G97" s="72">
        <f t="array" aca="1" ref="G97" ca="1">IFERROR(INDEX('Point Data'!$AJ$2:$AJ$225,MATCH(1,(Ranks!$B97='Point Data'!$B$2:$B$225)*(Ranks!G$86='Point Data'!$D$2:$D$225),0)),"")</f>
        <v>4</v>
      </c>
      <c r="H97" s="72">
        <f t="array" aca="1" ref="H97" ca="1">IFERROR(INDEX('Point Data'!$AJ$2:$AJ$225,MATCH(1,(Ranks!$B97='Point Data'!$B$2:$B$225)*(Ranks!H$86='Point Data'!$D$2:$D$225),0)),"")</f>
        <v>2</v>
      </c>
      <c r="I97" s="72">
        <f t="array" aca="1" ref="I97" ca="1">IFERROR(INDEX('Point Data'!$AJ$2:$AJ$225,MATCH(1,(Ranks!$B97='Point Data'!$B$2:$B$225)*(Ranks!I$86='Point Data'!$D$2:$D$225),0)),"")</f>
        <v>1</v>
      </c>
      <c r="J97" s="72">
        <f t="array" aca="1" ref="J97" ca="1">IFERROR(INDEX('Point Data'!$AJ$2:$AJ$225,MATCH(1,(Ranks!$B97='Point Data'!$B$2:$B$225)*(Ranks!J$86='Point Data'!$D$2:$D$225),0)),"")</f>
        <v>1</v>
      </c>
      <c r="K97" s="72">
        <f t="array" aca="1" ref="K97" ca="1">IFERROR(INDEX('Point Data'!$AJ$2:$AJ$225,MATCH(1,(Ranks!$B97='Point Data'!$B$2:$B$225)*(Ranks!K$86='Point Data'!$D$2:$D$225),0)),"")</f>
        <v>1</v>
      </c>
      <c r="L97" s="72">
        <f t="array" aca="1" ref="L97" ca="1">IFERROR(INDEX('Point Data'!$AJ$2:$AJ$225,MATCH(1,(Ranks!$B97='Point Data'!$B$2:$B$225)*(Ranks!L$86='Point Data'!$D$2:$D$225),0)),"")</f>
        <v>4</v>
      </c>
      <c r="M97" s="72">
        <f t="array" aca="1" ref="M97" ca="1">IFERROR(INDEX('Point Data'!$AJ$2:$AJ$225,MATCH(1,(Ranks!$B97='Point Data'!$B$2:$B$225)*(Ranks!M$86='Point Data'!$D$2:$D$225),0)),"")</f>
        <v>4</v>
      </c>
      <c r="N97" s="72">
        <f t="array" aca="1" ref="N97" ca="1">IFERROR(INDEX('Point Data'!$AJ$2:$AJ$225,MATCH(1,(Ranks!$B97='Point Data'!$B$2:$B$225)*(Ranks!N$86='Point Data'!$D$2:$D$225),0)),"")</f>
        <v>2</v>
      </c>
      <c r="O97" s="72">
        <f t="array" aca="1" ref="O97" ca="1">IFERROR(INDEX('Point Data'!$AJ$2:$AJ$225,MATCH(1,(Ranks!$B97='Point Data'!$B$2:$B$225)*(Ranks!O$86='Point Data'!$D$2:$D$225),0)),"")</f>
        <v>2</v>
      </c>
      <c r="P97" s="72" t="str">
        <f t="array" ref="P97">IFERROR(INDEX('Point Data'!$AJ$2:$AJ$225,MATCH(1,(Ranks!$B97='Point Data'!$B$2:$B$225)*(Ranks!P$86='Point Data'!$D$2:$D$225),0)),"")</f>
        <v/>
      </c>
      <c r="Q97" s="7">
        <f t="shared" ca="1" si="13"/>
        <v>2.5384615384615383</v>
      </c>
      <c r="R97" s="7">
        <f t="shared" ca="1" si="14"/>
        <v>1.2659242088545832</v>
      </c>
    </row>
    <row r="98" spans="2:18">
      <c r="B98" s="207" t="str">
        <f>'Point Data'!$B$156</f>
        <v>Team 12</v>
      </c>
      <c r="C98" s="72">
        <f t="array" aca="1" ref="C98" ca="1">IFERROR(INDEX('Point Data'!$AJ$2:$AJ$225,MATCH(1,(Ranks!$B98='Point Data'!$B$2:$B$225)*(Ranks!C$86='Point Data'!$D$2:$D$225),0)),"")</f>
        <v>5</v>
      </c>
      <c r="D98" s="72">
        <f t="array" aca="1" ref="D98" ca="1">IFERROR(INDEX('Point Data'!$AJ$2:$AJ$225,MATCH(1,(Ranks!$B98='Point Data'!$B$2:$B$225)*(Ranks!D$86='Point Data'!$D$2:$D$225),0)),"")</f>
        <v>5</v>
      </c>
      <c r="E98" s="72">
        <f t="array" aca="1" ref="E98" ca="1">IFERROR(INDEX('Point Data'!$AJ$2:$AJ$225,MATCH(1,(Ranks!$B98='Point Data'!$B$2:$B$225)*(Ranks!E$86='Point Data'!$D$2:$D$225),0)),"")</f>
        <v>6</v>
      </c>
      <c r="F98" s="72">
        <f t="array" aca="1" ref="F98" ca="1">IFERROR(INDEX('Point Data'!$AJ$2:$AJ$225,MATCH(1,(Ranks!$B98='Point Data'!$B$2:$B$225)*(Ranks!F$86='Point Data'!$D$2:$D$225),0)),"")</f>
        <v>6</v>
      </c>
      <c r="G98" s="72">
        <f t="array" aca="1" ref="G98" ca="1">IFERROR(INDEX('Point Data'!$AJ$2:$AJ$225,MATCH(1,(Ranks!$B98='Point Data'!$B$2:$B$225)*(Ranks!G$86='Point Data'!$D$2:$D$225),0)),"")</f>
        <v>7</v>
      </c>
      <c r="H98" s="72">
        <f t="array" aca="1" ref="H98" ca="1">IFERROR(INDEX('Point Data'!$AJ$2:$AJ$225,MATCH(1,(Ranks!$B98='Point Data'!$B$2:$B$225)*(Ranks!H$86='Point Data'!$D$2:$D$225),0)),"")</f>
        <v>7</v>
      </c>
      <c r="I98" s="72">
        <f t="array" aca="1" ref="I98" ca="1">IFERROR(INDEX('Point Data'!$AJ$2:$AJ$225,MATCH(1,(Ranks!$B98='Point Data'!$B$2:$B$225)*(Ranks!I$86='Point Data'!$D$2:$D$225),0)),"")</f>
        <v>8</v>
      </c>
      <c r="J98" s="72">
        <f t="array" aca="1" ref="J98" ca="1">IFERROR(INDEX('Point Data'!$AJ$2:$AJ$225,MATCH(1,(Ranks!$B98='Point Data'!$B$2:$B$225)*(Ranks!J$86='Point Data'!$D$2:$D$225),0)),"")</f>
        <v>6</v>
      </c>
      <c r="K98" s="72">
        <f t="array" aca="1" ref="K98" ca="1">IFERROR(INDEX('Point Data'!$AJ$2:$AJ$225,MATCH(1,(Ranks!$B98='Point Data'!$B$2:$B$225)*(Ranks!K$86='Point Data'!$D$2:$D$225),0)),"")</f>
        <v>6</v>
      </c>
      <c r="L98" s="72">
        <f t="array" aca="1" ref="L98" ca="1">IFERROR(INDEX('Point Data'!$AJ$2:$AJ$225,MATCH(1,(Ranks!$B98='Point Data'!$B$2:$B$225)*(Ranks!L$86='Point Data'!$D$2:$D$225),0)),"")</f>
        <v>7</v>
      </c>
      <c r="M98" s="72">
        <f t="array" aca="1" ref="M98" ca="1">IFERROR(INDEX('Point Data'!$AJ$2:$AJ$225,MATCH(1,(Ranks!$B98='Point Data'!$B$2:$B$225)*(Ranks!M$86='Point Data'!$D$2:$D$225),0)),"")</f>
        <v>8</v>
      </c>
      <c r="N98" s="72">
        <f t="array" aca="1" ref="N98" ca="1">IFERROR(INDEX('Point Data'!$AJ$2:$AJ$225,MATCH(1,(Ranks!$B98='Point Data'!$B$2:$B$225)*(Ranks!N$86='Point Data'!$D$2:$D$225),0)),"")</f>
        <v>8</v>
      </c>
      <c r="O98" s="72">
        <f t="array" aca="1" ref="O98" ca="1">IFERROR(INDEX('Point Data'!$AJ$2:$AJ$225,MATCH(1,(Ranks!$B98='Point Data'!$B$2:$B$225)*(Ranks!O$86='Point Data'!$D$2:$D$225),0)),"")</f>
        <v>8</v>
      </c>
      <c r="P98" s="72" t="str">
        <f t="array" ref="P98">IFERROR(INDEX('Point Data'!$AJ$2:$AJ$225,MATCH(1,(Ranks!$B98='Point Data'!$B$2:$B$225)*(Ranks!P$86='Point Data'!$D$2:$D$225),0)),"")</f>
        <v/>
      </c>
      <c r="Q98" s="7">
        <f t="shared" ca="1" si="13"/>
        <v>6.6923076923076925</v>
      </c>
      <c r="R98" s="7">
        <f t="shared" ca="1" si="14"/>
        <v>1.1094003924504563</v>
      </c>
    </row>
    <row r="99" spans="2:18">
      <c r="B99" s="207" t="str">
        <f>'Point Data'!$B$170</f>
        <v>Team 13</v>
      </c>
      <c r="C99" s="72">
        <f t="array" aca="1" ref="C99" ca="1">IFERROR(INDEX('Point Data'!$AJ$2:$AJ$225,MATCH(1,(Ranks!$B99='Point Data'!$B$2:$B$225)*(Ranks!C$86='Point Data'!$D$2:$D$225),0)),"")</f>
        <v>7</v>
      </c>
      <c r="D99" s="72">
        <f t="array" aca="1" ref="D99" ca="1">IFERROR(INDEX('Point Data'!$AJ$2:$AJ$225,MATCH(1,(Ranks!$B99='Point Data'!$B$2:$B$225)*(Ranks!D$86='Point Data'!$D$2:$D$225),0)),"")</f>
        <v>8</v>
      </c>
      <c r="E99" s="72">
        <f t="array" aca="1" ref="E99" ca="1">IFERROR(INDEX('Point Data'!$AJ$2:$AJ$225,MATCH(1,(Ranks!$B99='Point Data'!$B$2:$B$225)*(Ranks!E$86='Point Data'!$D$2:$D$225),0)),"")</f>
        <v>8</v>
      </c>
      <c r="F99" s="72">
        <f t="array" aca="1" ref="F99" ca="1">IFERROR(INDEX('Point Data'!$AJ$2:$AJ$225,MATCH(1,(Ranks!$B99='Point Data'!$B$2:$B$225)*(Ranks!F$86='Point Data'!$D$2:$D$225),0)),"")</f>
        <v>8</v>
      </c>
      <c r="G99" s="72">
        <f t="array" aca="1" ref="G99" ca="1">IFERROR(INDEX('Point Data'!$AJ$2:$AJ$225,MATCH(1,(Ranks!$B99='Point Data'!$B$2:$B$225)*(Ranks!G$86='Point Data'!$D$2:$D$225),0)),"")</f>
        <v>8</v>
      </c>
      <c r="H99" s="72">
        <f t="array" aca="1" ref="H99" ca="1">IFERROR(INDEX('Point Data'!$AJ$2:$AJ$225,MATCH(1,(Ranks!$B99='Point Data'!$B$2:$B$225)*(Ranks!H$86='Point Data'!$D$2:$D$225),0)),"")</f>
        <v>8</v>
      </c>
      <c r="I99" s="72">
        <f t="array" aca="1" ref="I99" ca="1">IFERROR(INDEX('Point Data'!$AJ$2:$AJ$225,MATCH(1,(Ranks!$B99='Point Data'!$B$2:$B$225)*(Ranks!I$86='Point Data'!$D$2:$D$225),0)),"")</f>
        <v>6</v>
      </c>
      <c r="J99" s="72">
        <f t="array" aca="1" ref="J99" ca="1">IFERROR(INDEX('Point Data'!$AJ$2:$AJ$225,MATCH(1,(Ranks!$B99='Point Data'!$B$2:$B$225)*(Ranks!J$86='Point Data'!$D$2:$D$225),0)),"")</f>
        <v>7</v>
      </c>
      <c r="K99" s="72">
        <f t="array" aca="1" ref="K99" ca="1">IFERROR(INDEX('Point Data'!$AJ$2:$AJ$225,MATCH(1,(Ranks!$B99='Point Data'!$B$2:$B$225)*(Ranks!K$86='Point Data'!$D$2:$D$225),0)),"")</f>
        <v>7</v>
      </c>
      <c r="L99" s="72">
        <f t="array" aca="1" ref="L99" ca="1">IFERROR(INDEX('Point Data'!$AJ$2:$AJ$225,MATCH(1,(Ranks!$B99='Point Data'!$B$2:$B$225)*(Ranks!L$86='Point Data'!$D$2:$D$225),0)),"")</f>
        <v>6</v>
      </c>
      <c r="M99" s="72">
        <f t="array" aca="1" ref="M99" ca="1">IFERROR(INDEX('Point Data'!$AJ$2:$AJ$225,MATCH(1,(Ranks!$B99='Point Data'!$B$2:$B$225)*(Ranks!M$86='Point Data'!$D$2:$D$225),0)),"")</f>
        <v>6</v>
      </c>
      <c r="N99" s="72">
        <f t="array" aca="1" ref="N99" ca="1">IFERROR(INDEX('Point Data'!$AJ$2:$AJ$225,MATCH(1,(Ranks!$B99='Point Data'!$B$2:$B$225)*(Ranks!N$86='Point Data'!$D$2:$D$225),0)),"")</f>
        <v>5</v>
      </c>
      <c r="O99" s="72">
        <f t="array" aca="1" ref="O99" ca="1">IFERROR(INDEX('Point Data'!$AJ$2:$AJ$225,MATCH(1,(Ranks!$B99='Point Data'!$B$2:$B$225)*(Ranks!O$86='Point Data'!$D$2:$D$225),0)),"")</f>
        <v>6</v>
      </c>
      <c r="P99" s="72" t="str">
        <f t="array" ref="P99">IFERROR(INDEX('Point Data'!$AJ$2:$AJ$225,MATCH(1,(Ranks!$B99='Point Data'!$B$2:$B$225)*(Ranks!P$86='Point Data'!$D$2:$D$225),0)),"")</f>
        <v/>
      </c>
      <c r="Q99" s="7">
        <f t="shared" ca="1" si="13"/>
        <v>6.9230769230769234</v>
      </c>
      <c r="R99" s="7">
        <f t="shared" ca="1" si="14"/>
        <v>1.037749043325541</v>
      </c>
    </row>
    <row r="100" spans="2:18">
      <c r="B100" s="207" t="str">
        <f>'Point Data'!$B$184</f>
        <v>Team 14</v>
      </c>
      <c r="C100" s="72">
        <f t="array" aca="1" ref="C100" ca="1">IFERROR(INDEX('Point Data'!$AJ$2:$AJ$225,MATCH(1,(Ranks!$B100='Point Data'!$B$2:$B$225)*(Ranks!C$86='Point Data'!$D$2:$D$225),0)),"")</f>
        <v>4</v>
      </c>
      <c r="D100" s="72">
        <f t="array" aca="1" ref="D100" ca="1">IFERROR(INDEX('Point Data'!$AJ$2:$AJ$225,MATCH(1,(Ranks!$B100='Point Data'!$B$2:$B$225)*(Ranks!D$86='Point Data'!$D$2:$D$225),0)),"")</f>
        <v>2</v>
      </c>
      <c r="E100" s="72">
        <f t="array" aca="1" ref="E100" ca="1">IFERROR(INDEX('Point Data'!$AJ$2:$AJ$225,MATCH(1,(Ranks!$B100='Point Data'!$B$2:$B$225)*(Ranks!E$86='Point Data'!$D$2:$D$225),0)),"")</f>
        <v>1</v>
      </c>
      <c r="F100" s="72">
        <f t="array" aca="1" ref="F100" ca="1">IFERROR(INDEX('Point Data'!$AJ$2:$AJ$225,MATCH(1,(Ranks!$B100='Point Data'!$B$2:$B$225)*(Ranks!F$86='Point Data'!$D$2:$D$225),0)),"")</f>
        <v>2</v>
      </c>
      <c r="G100" s="72">
        <f t="array" aca="1" ref="G100" ca="1">IFERROR(INDEX('Point Data'!$AJ$2:$AJ$225,MATCH(1,(Ranks!$B100='Point Data'!$B$2:$B$225)*(Ranks!G$86='Point Data'!$D$2:$D$225),0)),"")</f>
        <v>2</v>
      </c>
      <c r="H100" s="72">
        <f t="array" aca="1" ref="H100" ca="1">IFERROR(INDEX('Point Data'!$AJ$2:$AJ$225,MATCH(1,(Ranks!$B100='Point Data'!$B$2:$B$225)*(Ranks!H$86='Point Data'!$D$2:$D$225),0)),"")</f>
        <v>5</v>
      </c>
      <c r="I100" s="72">
        <f t="array" aca="1" ref="I100" ca="1">IFERROR(INDEX('Point Data'!$AJ$2:$AJ$225,MATCH(1,(Ranks!$B100='Point Data'!$B$2:$B$225)*(Ranks!I$86='Point Data'!$D$2:$D$225),0)),"")</f>
        <v>4</v>
      </c>
      <c r="J100" s="72">
        <f t="array" aca="1" ref="J100" ca="1">IFERROR(INDEX('Point Data'!$AJ$2:$AJ$225,MATCH(1,(Ranks!$B100='Point Data'!$B$2:$B$225)*(Ranks!J$86='Point Data'!$D$2:$D$225),0)),"")</f>
        <v>4</v>
      </c>
      <c r="K100" s="72">
        <f t="array" aca="1" ref="K100" ca="1">IFERROR(INDEX('Point Data'!$AJ$2:$AJ$225,MATCH(1,(Ranks!$B100='Point Data'!$B$2:$B$225)*(Ranks!K$86='Point Data'!$D$2:$D$225),0)),"")</f>
        <v>3</v>
      </c>
      <c r="L100" s="72">
        <f t="array" aca="1" ref="L100" ca="1">IFERROR(INDEX('Point Data'!$AJ$2:$AJ$225,MATCH(1,(Ranks!$B100='Point Data'!$B$2:$B$225)*(Ranks!L$86='Point Data'!$D$2:$D$225),0)),"")</f>
        <v>2</v>
      </c>
      <c r="M100" s="72">
        <f t="array" aca="1" ref="M100" ca="1">IFERROR(INDEX('Point Data'!$AJ$2:$AJ$225,MATCH(1,(Ranks!$B100='Point Data'!$B$2:$B$225)*(Ranks!M$86='Point Data'!$D$2:$D$225),0)),"")</f>
        <v>2</v>
      </c>
      <c r="N100" s="72">
        <f t="array" aca="1" ref="N100" ca="1">IFERROR(INDEX('Point Data'!$AJ$2:$AJ$225,MATCH(1,(Ranks!$B100='Point Data'!$B$2:$B$225)*(Ranks!N$86='Point Data'!$D$2:$D$225),0)),"")</f>
        <v>3</v>
      </c>
      <c r="O100" s="72">
        <f t="array" aca="1" ref="O100" ca="1">IFERROR(INDEX('Point Data'!$AJ$2:$AJ$225,MATCH(1,(Ranks!$B100='Point Data'!$B$2:$B$225)*(Ranks!O$86='Point Data'!$D$2:$D$225),0)),"")</f>
        <v>3</v>
      </c>
      <c r="P100" s="72" t="str">
        <f t="array" ref="P100">IFERROR(INDEX('Point Data'!$AJ$2:$AJ$225,MATCH(1,(Ranks!$B100='Point Data'!$B$2:$B$225)*(Ranks!P$86='Point Data'!$D$2:$D$225),0)),"")</f>
        <v/>
      </c>
      <c r="Q100" s="7">
        <f t="shared" ca="1" si="13"/>
        <v>2.8461538461538463</v>
      </c>
      <c r="R100" s="7">
        <f t="shared" ca="1" si="14"/>
        <v>1.1435437497937313</v>
      </c>
    </row>
    <row r="101" spans="2:18">
      <c r="B101" s="207" t="str">
        <f>'Point Data'!$B$198</f>
        <v>Team 15</v>
      </c>
      <c r="C101" s="72">
        <f t="array" aca="1" ref="C101" ca="1">IFERROR(INDEX('Point Data'!$AJ$2:$AJ$225,MATCH(1,(Ranks!$B101='Point Data'!$B$2:$B$225)*(Ranks!C$86='Point Data'!$D$2:$D$225),0)),"")</f>
        <v>3</v>
      </c>
      <c r="D101" s="72">
        <f t="array" aca="1" ref="D101" ca="1">IFERROR(INDEX('Point Data'!$AJ$2:$AJ$225,MATCH(1,(Ranks!$B101='Point Data'!$B$2:$B$225)*(Ranks!D$86='Point Data'!$D$2:$D$225),0)),"")</f>
        <v>3</v>
      </c>
      <c r="E101" s="72">
        <f t="array" aca="1" ref="E101" ca="1">IFERROR(INDEX('Point Data'!$AJ$2:$AJ$225,MATCH(1,(Ranks!$B101='Point Data'!$B$2:$B$225)*(Ranks!E$86='Point Data'!$D$2:$D$225),0)),"")</f>
        <v>4</v>
      </c>
      <c r="F101" s="72">
        <f t="array" aca="1" ref="F101" ca="1">IFERROR(INDEX('Point Data'!$AJ$2:$AJ$225,MATCH(1,(Ranks!$B101='Point Data'!$B$2:$B$225)*(Ranks!F$86='Point Data'!$D$2:$D$225),0)),"")</f>
        <v>3</v>
      </c>
      <c r="G101" s="72">
        <f t="array" aca="1" ref="G101" ca="1">IFERROR(INDEX('Point Data'!$AJ$2:$AJ$225,MATCH(1,(Ranks!$B101='Point Data'!$B$2:$B$225)*(Ranks!G$86='Point Data'!$D$2:$D$225),0)),"")</f>
        <v>3</v>
      </c>
      <c r="H101" s="72">
        <f t="array" aca="1" ref="H101" ca="1">IFERROR(INDEX('Point Data'!$AJ$2:$AJ$225,MATCH(1,(Ranks!$B101='Point Data'!$B$2:$B$225)*(Ranks!H$86='Point Data'!$D$2:$D$225),0)),"")</f>
        <v>3</v>
      </c>
      <c r="I101" s="72">
        <f t="array" aca="1" ref="I101" ca="1">IFERROR(INDEX('Point Data'!$AJ$2:$AJ$225,MATCH(1,(Ranks!$B101='Point Data'!$B$2:$B$225)*(Ranks!I$86='Point Data'!$D$2:$D$225),0)),"")</f>
        <v>3</v>
      </c>
      <c r="J101" s="72">
        <f t="array" aca="1" ref="J101" ca="1">IFERROR(INDEX('Point Data'!$AJ$2:$AJ$225,MATCH(1,(Ranks!$B101='Point Data'!$B$2:$B$225)*(Ranks!J$86='Point Data'!$D$2:$D$225),0)),"")</f>
        <v>3</v>
      </c>
      <c r="K101" s="72">
        <f t="array" aca="1" ref="K101" ca="1">IFERROR(INDEX('Point Data'!$AJ$2:$AJ$225,MATCH(1,(Ranks!$B101='Point Data'!$B$2:$B$225)*(Ranks!K$86='Point Data'!$D$2:$D$225),0)),"")</f>
        <v>5</v>
      </c>
      <c r="L101" s="72">
        <f t="array" aca="1" ref="L101" ca="1">IFERROR(INDEX('Point Data'!$AJ$2:$AJ$225,MATCH(1,(Ranks!$B101='Point Data'!$B$2:$B$225)*(Ranks!L$86='Point Data'!$D$2:$D$225),0)),"")</f>
        <v>3</v>
      </c>
      <c r="M101" s="72">
        <f t="array" aca="1" ref="M101" ca="1">IFERROR(INDEX('Point Data'!$AJ$2:$AJ$225,MATCH(1,(Ranks!$B101='Point Data'!$B$2:$B$225)*(Ranks!M$86='Point Data'!$D$2:$D$225),0)),"")</f>
        <v>3</v>
      </c>
      <c r="N101" s="72">
        <f t="array" aca="1" ref="N101" ca="1">IFERROR(INDEX('Point Data'!$AJ$2:$AJ$225,MATCH(1,(Ranks!$B101='Point Data'!$B$2:$B$225)*(Ranks!N$86='Point Data'!$D$2:$D$225),0)),"")</f>
        <v>6</v>
      </c>
      <c r="O101" s="72">
        <f t="array" aca="1" ref="O101" ca="1">IFERROR(INDEX('Point Data'!$AJ$2:$AJ$225,MATCH(1,(Ranks!$B101='Point Data'!$B$2:$B$225)*(Ranks!O$86='Point Data'!$D$2:$D$225),0)),"")</f>
        <v>4</v>
      </c>
      <c r="P101" s="72" t="str">
        <f t="array" ref="P101">IFERROR(INDEX('Point Data'!$AJ$2:$AJ$225,MATCH(1,(Ranks!$B101='Point Data'!$B$2:$B$225)*(Ranks!P$86='Point Data'!$D$2:$D$225),0)),"")</f>
        <v/>
      </c>
      <c r="Q101" s="7">
        <f t="shared" ca="1" si="13"/>
        <v>3.5384615384615383</v>
      </c>
      <c r="R101" s="7">
        <f t="shared" ca="1" si="14"/>
        <v>0.96741792204684507</v>
      </c>
    </row>
    <row r="102" spans="2:18" ht="16" thickBot="1">
      <c r="B102" s="208" t="str">
        <f>'Point Data'!$B$212</f>
        <v>Team 16</v>
      </c>
      <c r="C102" s="72">
        <f t="array" aca="1" ref="C102" ca="1">IFERROR(INDEX('Point Data'!$AJ$2:$AJ$225,MATCH(1,(Ranks!$B102='Point Data'!$B$2:$B$225)*(Ranks!C$86='Point Data'!$D$2:$D$225),0)),"")</f>
        <v>8</v>
      </c>
      <c r="D102" s="72">
        <f t="array" aca="1" ref="D102" ca="1">IFERROR(INDEX('Point Data'!$AJ$2:$AJ$225,MATCH(1,(Ranks!$B102='Point Data'!$B$2:$B$225)*(Ranks!D$86='Point Data'!$D$2:$D$225),0)),"")</f>
        <v>7</v>
      </c>
      <c r="E102" s="72">
        <f t="array" aca="1" ref="E102" ca="1">IFERROR(INDEX('Point Data'!$AJ$2:$AJ$225,MATCH(1,(Ranks!$B102='Point Data'!$B$2:$B$225)*(Ranks!E$86='Point Data'!$D$2:$D$225),0)),"")</f>
        <v>7</v>
      </c>
      <c r="F102" s="72">
        <f t="array" aca="1" ref="F102" ca="1">IFERROR(INDEX('Point Data'!$AJ$2:$AJ$225,MATCH(1,(Ranks!$B102='Point Data'!$B$2:$B$225)*(Ranks!F$86='Point Data'!$D$2:$D$225),0)),"")</f>
        <v>7</v>
      </c>
      <c r="G102" s="72">
        <f t="array" aca="1" ref="G102" ca="1">IFERROR(INDEX('Point Data'!$AJ$2:$AJ$225,MATCH(1,(Ranks!$B102='Point Data'!$B$2:$B$225)*(Ranks!G$86='Point Data'!$D$2:$D$225),0)),"")</f>
        <v>6</v>
      </c>
      <c r="H102" s="72">
        <f t="array" aca="1" ref="H102" ca="1">IFERROR(INDEX('Point Data'!$AJ$2:$AJ$225,MATCH(1,(Ranks!$B102='Point Data'!$B$2:$B$225)*(Ranks!H$86='Point Data'!$D$2:$D$225),0)),"")</f>
        <v>6</v>
      </c>
      <c r="I102" s="72">
        <f t="array" aca="1" ref="I102" ca="1">IFERROR(INDEX('Point Data'!$AJ$2:$AJ$225,MATCH(1,(Ranks!$B102='Point Data'!$B$2:$B$225)*(Ranks!I$86='Point Data'!$D$2:$D$225),0)),"")</f>
        <v>7</v>
      </c>
      <c r="J102" s="72">
        <f t="array" aca="1" ref="J102" ca="1">IFERROR(INDEX('Point Data'!$AJ$2:$AJ$225,MATCH(1,(Ranks!$B102='Point Data'!$B$2:$B$225)*(Ranks!J$86='Point Data'!$D$2:$D$225),0)),"")</f>
        <v>8</v>
      </c>
      <c r="K102" s="72">
        <f t="array" aca="1" ref="K102" ca="1">IFERROR(INDEX('Point Data'!$AJ$2:$AJ$225,MATCH(1,(Ranks!$B102='Point Data'!$B$2:$B$225)*(Ranks!K$86='Point Data'!$D$2:$D$225),0)),"")</f>
        <v>8</v>
      </c>
      <c r="L102" s="72">
        <f t="array" aca="1" ref="L102" ca="1">IFERROR(INDEX('Point Data'!$AJ$2:$AJ$225,MATCH(1,(Ranks!$B102='Point Data'!$B$2:$B$225)*(Ranks!L$86='Point Data'!$D$2:$D$225),0)),"")</f>
        <v>8</v>
      </c>
      <c r="M102" s="72">
        <f t="array" aca="1" ref="M102" ca="1">IFERROR(INDEX('Point Data'!$AJ$2:$AJ$225,MATCH(1,(Ranks!$B102='Point Data'!$B$2:$B$225)*(Ranks!M$86='Point Data'!$D$2:$D$225),0)),"")</f>
        <v>7</v>
      </c>
      <c r="N102" s="72">
        <f t="array" aca="1" ref="N102" ca="1">IFERROR(INDEX('Point Data'!$AJ$2:$AJ$225,MATCH(1,(Ranks!$B102='Point Data'!$B$2:$B$225)*(Ranks!N$86='Point Data'!$D$2:$D$225),0)),"")</f>
        <v>7</v>
      </c>
      <c r="O102" s="72">
        <f t="array" aca="1" ref="O102" ca="1">IFERROR(INDEX('Point Data'!$AJ$2:$AJ$225,MATCH(1,(Ranks!$B102='Point Data'!$B$2:$B$225)*(Ranks!O$86='Point Data'!$D$2:$D$225),0)),"")</f>
        <v>7</v>
      </c>
      <c r="P102" s="72" t="str">
        <f t="array" ref="P102">IFERROR(INDEX('Point Data'!$AJ$2:$AJ$225,MATCH(1,(Ranks!$B102='Point Data'!$B$2:$B$225)*(Ranks!P$86='Point Data'!$D$2:$D$225),0)),"")</f>
        <v/>
      </c>
      <c r="Q102" s="7">
        <f t="shared" ca="1" si="13"/>
        <v>7.1538461538461542</v>
      </c>
      <c r="R102" s="7">
        <f t="shared" ca="1" si="14"/>
        <v>0.6887372317211945</v>
      </c>
    </row>
    <row r="110" spans="2:18">
      <c r="C110" s="2">
        <v>3.1</v>
      </c>
      <c r="D110" s="503">
        <v>3.1</v>
      </c>
      <c r="E110" s="503">
        <v>3.1</v>
      </c>
      <c r="F110" s="503">
        <v>3.1</v>
      </c>
      <c r="G110" s="503">
        <v>3.1</v>
      </c>
      <c r="H110" s="503">
        <v>3.1</v>
      </c>
      <c r="I110" s="503">
        <v>3.1</v>
      </c>
      <c r="J110" s="503">
        <v>3.1</v>
      </c>
      <c r="K110" s="503">
        <v>3.1</v>
      </c>
      <c r="L110" s="503">
        <v>3.1</v>
      </c>
      <c r="M110" s="503">
        <v>3.1</v>
      </c>
      <c r="N110" s="503">
        <v>3.1</v>
      </c>
      <c r="O110" s="503">
        <v>3.1</v>
      </c>
      <c r="P110" s="549">
        <v>3.1</v>
      </c>
    </row>
  </sheetData>
  <sortState ref="X1:Y17">
    <sortCondition descending="1" ref="Y1:Y17"/>
  </sortState>
  <conditionalFormatting sqref="R2:R17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:R3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7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H34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:Q34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34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0:J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:K34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:L34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0:M34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:N34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I19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9:N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C34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7 C87:P102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S3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7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9:T3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1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9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7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1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8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1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5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6:R5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7:H5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7:I5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7:J5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7:K5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7:L5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7:M5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7:N5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6:I3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N3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C5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6:S5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6:T5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7:N9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N10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P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O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6:P5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6:O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2" bottom="1" header="0.3" footer="0.3"/>
  <pageSetup scale="3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61683-A72E-3045-B033-C457F31B09BE}">
  <sheetPr codeName="Sheet2">
    <pageSetUpPr fitToPage="1"/>
  </sheetPr>
  <dimension ref="A1:AY225"/>
  <sheetViews>
    <sheetView showGridLines="0" topLeftCell="B1" zoomScale="90" zoomScaleNormal="90" workbookViewId="0">
      <pane ySplit="1" topLeftCell="A2" activePane="bottomLeft" state="frozen"/>
      <selection activeCell="B1" sqref="B1"/>
      <selection pane="bottomLeft" activeCell="AI218" sqref="AI218"/>
    </sheetView>
  </sheetViews>
  <sheetFormatPr baseColWidth="10" defaultRowHeight="15"/>
  <cols>
    <col min="1" max="1" width="9.6640625" style="190" hidden="1" customWidth="1"/>
    <col min="2" max="2" width="28.6640625" bestFit="1" customWidth="1"/>
    <col min="3" max="3" width="10.6640625" style="343" customWidth="1"/>
    <col min="4" max="4" width="7.83203125" customWidth="1"/>
    <col min="5" max="5" width="28.6640625" customWidth="1"/>
    <col min="6" max="6" width="18.1640625" style="190" hidden="1" customWidth="1"/>
    <col min="7" max="7" width="12.33203125" customWidth="1"/>
    <col min="8" max="8" width="15" hidden="1" customWidth="1"/>
    <col min="9" max="9" width="12.6640625" customWidth="1"/>
    <col min="10" max="10" width="8.6640625" bestFit="1" customWidth="1"/>
    <col min="11" max="11" width="11.33203125" customWidth="1"/>
    <col min="12" max="12" width="11.1640625" style="70" bestFit="1" customWidth="1"/>
    <col min="13" max="13" width="12.6640625" style="190" hidden="1" customWidth="1"/>
    <col min="14" max="14" width="17.5" style="190" hidden="1" customWidth="1"/>
    <col min="15" max="15" width="18.33203125" style="190" hidden="1" customWidth="1"/>
    <col min="16" max="16" width="17.1640625" style="190" hidden="1" customWidth="1"/>
    <col min="17" max="17" width="19.83203125" style="190" hidden="1" customWidth="1"/>
    <col min="18" max="18" width="9.5" style="70" customWidth="1"/>
    <col min="19" max="19" width="14.5" style="123" hidden="1" customWidth="1"/>
    <col min="20" max="20" width="14.5" style="190" customWidth="1"/>
    <col min="21" max="21" width="11.33203125" hidden="1" customWidth="1"/>
    <col min="22" max="22" width="15.83203125" style="190" hidden="1" customWidth="1"/>
    <col min="23" max="23" width="13" style="190" customWidth="1"/>
    <col min="24" max="24" width="11.33203125" style="190" hidden="1" customWidth="1"/>
    <col min="25" max="25" width="11.5" style="190" customWidth="1"/>
    <col min="26" max="26" width="10.5" hidden="1" customWidth="1"/>
    <col min="27" max="27" width="14.5" hidden="1" customWidth="1"/>
    <col min="28" max="28" width="16.1640625" hidden="1" customWidth="1"/>
    <col min="29" max="29" width="10.1640625" customWidth="1"/>
    <col min="30" max="30" width="9" customWidth="1"/>
    <col min="31" max="31" width="10.83203125" hidden="1" customWidth="1"/>
    <col min="32" max="32" width="9.1640625" customWidth="1"/>
    <col min="33" max="33" width="12.6640625" style="182" hidden="1" customWidth="1"/>
    <col min="34" max="34" width="1.33203125" style="182" hidden="1" customWidth="1"/>
    <col min="35" max="35" width="12.6640625" style="190" customWidth="1"/>
    <col min="36" max="36" width="10.5" style="70" customWidth="1"/>
    <col min="37" max="38" width="12.6640625" style="190" hidden="1" customWidth="1"/>
    <col min="39" max="39" width="14.5" style="343" hidden="1" customWidth="1"/>
    <col min="40" max="41" width="14" style="190" hidden="1" customWidth="1"/>
    <col min="42" max="42" width="11.33203125" style="190" customWidth="1"/>
    <col min="43" max="43" width="10.33203125" customWidth="1"/>
    <col min="44" max="44" width="12.6640625" hidden="1" customWidth="1"/>
    <col min="45" max="45" width="13.6640625" hidden="1" customWidth="1"/>
    <col min="46" max="46" width="30.6640625" style="190" hidden="1" customWidth="1"/>
    <col min="47" max="47" width="24.33203125" hidden="1" customWidth="1"/>
    <col min="52" max="52" width="28.6640625" bestFit="1" customWidth="1"/>
  </cols>
  <sheetData>
    <row r="1" spans="1:51" ht="16" thickBot="1">
      <c r="B1" s="65" t="s">
        <v>34</v>
      </c>
      <c r="C1" s="342" t="s">
        <v>116</v>
      </c>
      <c r="D1" s="65" t="s">
        <v>33</v>
      </c>
      <c r="E1" s="131" t="s">
        <v>20</v>
      </c>
      <c r="F1" s="342" t="s">
        <v>189</v>
      </c>
      <c r="G1" s="159" t="s">
        <v>46</v>
      </c>
      <c r="H1" s="132" t="s">
        <v>47</v>
      </c>
      <c r="I1" s="132" t="s">
        <v>48</v>
      </c>
      <c r="J1" s="132" t="s">
        <v>49</v>
      </c>
      <c r="K1" s="132" t="s">
        <v>50</v>
      </c>
      <c r="L1" s="132" t="s">
        <v>58</v>
      </c>
      <c r="M1" s="132" t="s">
        <v>134</v>
      </c>
      <c r="N1" s="132" t="s">
        <v>137</v>
      </c>
      <c r="O1" s="132" t="s">
        <v>138</v>
      </c>
      <c r="P1" s="132" t="s">
        <v>135</v>
      </c>
      <c r="Q1" s="132" t="s">
        <v>136</v>
      </c>
      <c r="R1" s="132" t="s">
        <v>52</v>
      </c>
      <c r="S1" s="132" t="s">
        <v>69</v>
      </c>
      <c r="T1" s="132" t="s">
        <v>118</v>
      </c>
      <c r="U1" s="119" t="s">
        <v>35</v>
      </c>
      <c r="V1" s="119" t="s">
        <v>145</v>
      </c>
      <c r="W1" s="119" t="s">
        <v>190</v>
      </c>
      <c r="X1" s="119" t="s">
        <v>146</v>
      </c>
      <c r="Y1" s="119" t="s">
        <v>191</v>
      </c>
      <c r="Z1" s="119" t="s">
        <v>13</v>
      </c>
      <c r="AA1" s="132" t="s">
        <v>44</v>
      </c>
      <c r="AB1" s="132" t="s">
        <v>45</v>
      </c>
      <c r="AC1" s="119" t="s">
        <v>36</v>
      </c>
      <c r="AD1" s="119" t="s">
        <v>37</v>
      </c>
      <c r="AE1" s="119" t="s">
        <v>39</v>
      </c>
      <c r="AF1" s="119" t="s">
        <v>38</v>
      </c>
      <c r="AG1" s="119" t="s">
        <v>85</v>
      </c>
      <c r="AH1" s="119" t="s">
        <v>126</v>
      </c>
      <c r="AI1" s="119" t="s">
        <v>163</v>
      </c>
      <c r="AJ1" s="119" t="s">
        <v>112</v>
      </c>
      <c r="AK1" s="119" t="s">
        <v>185</v>
      </c>
      <c r="AL1" s="119" t="s">
        <v>184</v>
      </c>
      <c r="AM1" s="132" t="s">
        <v>127</v>
      </c>
      <c r="AN1" s="119" t="s">
        <v>182</v>
      </c>
      <c r="AO1" s="119" t="s">
        <v>183</v>
      </c>
      <c r="AP1" s="119" t="s">
        <v>125</v>
      </c>
      <c r="AQ1" s="119" t="s">
        <v>43</v>
      </c>
      <c r="AR1" s="119" t="s">
        <v>42</v>
      </c>
      <c r="AS1" s="119" t="s">
        <v>41</v>
      </c>
      <c r="AT1" s="132" t="s">
        <v>117</v>
      </c>
      <c r="AU1" s="119" t="s">
        <v>115</v>
      </c>
      <c r="AX1" s="170"/>
      <c r="AY1" s="170"/>
    </row>
    <row r="2" spans="1:51">
      <c r="A2" s="190">
        <v>0</v>
      </c>
      <c r="B2" s="197" t="str">
        <f>'ESPN Data'!$L$4</f>
        <v>Team 1</v>
      </c>
      <c r="C2" s="345" t="str">
        <f>VLOOKUP(B2,'ESPN Data'!$L$4:$M$19,2,FALSE)</f>
        <v>Bone</v>
      </c>
      <c r="D2" s="396">
        <v>1</v>
      </c>
      <c r="E2" s="266" t="str">
        <f t="array" ref="E2">INDEX('ESPN Data'!$C$3:$C$226,MATCH(1,('ESPN Data'!$A$3:$A$226='Point Data'!$D2)*('ESPN Data'!$B$3:$B$226='Point Data'!$B2),0))</f>
        <v>Team 6</v>
      </c>
      <c r="F2" s="242" t="str">
        <f>IF(C2&lt;&gt;VLOOKUP($E2,'ESPN Data'!$L$4:$M$19,2,FALSE),"Non Conf", "Conf")</f>
        <v>Conf</v>
      </c>
      <c r="G2" s="237">
        <f t="array" aca="1" ref="G2" ca="1">IF('Point Data'!$D2&gt;Standings!$Q$27,"",(COUNTIFS($D$2:$D$225,$D2,$AM$2:$AM$225,"&gt;"&amp;$AM2)+1))</f>
        <v>6</v>
      </c>
      <c r="H2" s="238">
        <f>IF('Point Data'!$D2&gt;Standings!$Q$27,"",VLOOKUP($B2,'ESPN Data'!$L$4:$N$19,3,FALSE))</f>
        <v>3</v>
      </c>
      <c r="I2" s="240">
        <f ca="1">IF('Point Data'!$D2&gt;Standings!$Q$27,"",H2-G2)</f>
        <v>-3</v>
      </c>
      <c r="J2" s="560">
        <f ca="1">IF('Point Data'!D2&gt;Standings!$Q$27,"",OFFSET('ESPN Data'!D$3,$A2,0,1,1))</f>
        <v>106.84</v>
      </c>
      <c r="K2" s="560">
        <f ca="1">IF('Point Data'!D2&gt;Standings!$Q$27,"",OFFSET('ESPN Data'!E$3,$A2,0,1,1))</f>
        <v>111.33</v>
      </c>
      <c r="L2" s="238">
        <f ca="1">IF('Point Data'!D2&gt;Standings!$Q$27,"",OFFSET('ESPN Data'!I$3,$A2,0,1,1))</f>
        <v>97</v>
      </c>
      <c r="M2" s="458">
        <f ca="1">IF('Point Data'!D2&gt;Standings!$Q$27,"",OFFSET('ESPN Data'!I$3,$A2,-2,1,1))</f>
        <v>3</v>
      </c>
      <c r="N2" s="458">
        <f ca="1">IF('Point Data'!D2&gt;Standings!$Q$27,"",SUMIFS($M$2:$M$225,$D$2:$D$225,D2,$C$2:$C$225,C2))</f>
        <v>3</v>
      </c>
      <c r="O2" s="238">
        <f ca="1">IF('Point Data'!D2&gt;Standings!$Q$27,"",SUMIFS($L$2:$L$225,$D$2:$D$225,$D2,$C$2:$C$225,$C2))</f>
        <v>797</v>
      </c>
      <c r="P2" s="238">
        <f ca="1">IF('Point Data'!D2&gt;Standings!$Q$27,"",SUMIFS($M$2:$M$225,$D$2:$D$225,D2))</f>
        <v>3</v>
      </c>
      <c r="Q2" s="238">
        <f ca="1">IF('Point Data'!D2&gt;Standings!$Q$27,"",SUMIFS($L$2:$L$225,$D$2:$D$225,$D2))</f>
        <v>1597</v>
      </c>
      <c r="R2" s="240">
        <f ca="1">IF($D2&gt;Standings!$Q$27,"",IF(U2="T",(Z2+0.5)/(D2)*100,(Z2/D2)*100))</f>
        <v>0</v>
      </c>
      <c r="S2" s="239">
        <f ca="1">IF($D2&gt;Standings!$Q$27,"",$J2-$K2)</f>
        <v>-4.4899999999999949</v>
      </c>
      <c r="T2" s="239">
        <f ca="1">IF($D2&gt;Standings!$Q$27,"",AVERAGE(OFFSET(S2,(-$D2+1),0,1,1):S2))</f>
        <v>-4.4899999999999949</v>
      </c>
      <c r="U2" s="241">
        <f ca="1">IF($D2&gt;Standings!$Q$27,"",IF(J2&gt;K2,1,IF(J2=K2,"T",0)))</f>
        <v>0</v>
      </c>
      <c r="V2" s="241">
        <f>IF($D2&gt;Standings!$Q$27,"",IF(F2="Conf",0,SUMIFS($U$2:$U$225,$D$2:$D$225,"&lt;="&amp;$D2,$B$2:$B$225,$B2,$F$2:$F$225,"Non Conf")))</f>
        <v>0</v>
      </c>
      <c r="W2" s="241" t="str">
        <f ca="1">IF($D2&gt;Standings!$Q$27,"",$V2&amp;"-"&amp;COUNTIF(OFFSET($F2,(-$D2+1),0,1,1):$F2,"Non Conf")-$V2)</f>
        <v>0-0</v>
      </c>
      <c r="X2" s="241">
        <f ca="1">IF($D2&gt;Standings!$Q$27,"",SUMIFS($U$2:$U$225,$D$2:$D$225,"&lt;="&amp;$D2,$B$2:$B$225,$B2,$F$2:$F$225,"Conf"))</f>
        <v>0</v>
      </c>
      <c r="Y2" s="241" t="str">
        <f ca="1">IF($D2&gt;Standings!$Q$27,"",$X2&amp;"-"&amp;COUNTIF(OFFSET($F2,(-$D2+1),0,1,1):$F2,"Conf")-$X2)</f>
        <v>0-1</v>
      </c>
      <c r="Z2" s="241">
        <f ca="1">IF($D2&gt;Standings!$Q$27,"",SUM(OFFSET(U2,(-$D2+1),0,1,1):U2))</f>
        <v>0</v>
      </c>
      <c r="AA2" s="241">
        <f ca="1">IF($D2&gt;Standings!$Q$27,"",IF(U2=1,1,0))</f>
        <v>0</v>
      </c>
      <c r="AB2" s="242">
        <f ca="1">IF($D2&gt;Standings!$Q$27,"",IF(AA2=0,1,0))</f>
        <v>1</v>
      </c>
      <c r="AC2" s="243">
        <f ca="1">IF($D2&gt;Standings!$Q$27,"",SUM(OFFSET(J2,(-$D2+1),0,1,1):J2))</f>
        <v>106.84</v>
      </c>
      <c r="AD2" s="239">
        <f ca="1">IF($D2&gt;Standings!$Q$27,"",SUM(OFFSET(K2,(-$D2+1),0,1,1):K2))</f>
        <v>111.33</v>
      </c>
      <c r="AE2" s="239">
        <f ca="1">IF($D2&gt;Standings!$Q$27,"",$J2-$K2)</f>
        <v>-4.4899999999999949</v>
      </c>
      <c r="AF2" s="239">
        <f ca="1">IF($D2&gt;Standings!$Q$27,"",AC2-AD2)</f>
        <v>-4.4899999999999949</v>
      </c>
      <c r="AG2" s="244">
        <f ca="1">IF($D2&gt;Standings!$Q$27,"",(COUNTIFS($D$2:$D$225,$D2,$C$2:$C$225,$C2,$AC$2:$AC$225,"&lt;"&amp;$AC2)+1)*0.01)</f>
        <v>0.06</v>
      </c>
      <c r="AH2" s="244">
        <f ca="1">IF($D2&gt;Standings!$Q$27,"",Z2+AG2)</f>
        <v>0.06</v>
      </c>
      <c r="AI2" s="244"/>
      <c r="AJ2" s="241">
        <f t="array" aca="1" ref="AJ2" ca="1">IF($D2&gt;Standings!$Q$27,"",(COUNTIFS($D$2:$D$225,$D2,$C$2:$C$225,$C2,$AM$2:$AM$225,"&gt;"&amp;$AM2)+1))</f>
        <v>3</v>
      </c>
      <c r="AK2" s="241">
        <f t="array" aca="1" ref="AK2" ca="1">IF($D2&gt;Standings!$Q$27,"",IF((COUNTIFS($D$2:$D$225,$D2,$C$2:$C$225,$C2,$AH$2:$AH$225,"&gt;"&amp;$AH2)+1)=2,1,0))</f>
        <v>0</v>
      </c>
      <c r="AL2" s="241">
        <f t="array" aca="1" ref="AL2" ca="1">IF($D2&gt;Standings!$Q$27,"",IF((COUNTIFS($D$2:$D$225,$D2,$C$2:$C$225,$C2,$AH$2:$AH$225,"&gt;"&amp;$AH2)+1)&lt;2,1,0))</f>
        <v>0</v>
      </c>
      <c r="AM2" s="241">
        <f ca="1">IF($D2&gt;Standings!$Q$27,"",IF(AL2=1,200+Z2+(16-AQ2)*0.01+AI2,IF(AK2=1,100+Z2+(16-AQ2)*0.01+AI2,IF(AN2=1,50+Z2+(16-AQ2)*0.01,IF(AO2=1,15+Z2+(16-AQ2)*0.01,Z2+(16-AQ2)*0.01+AI2)))))</f>
        <v>50.09</v>
      </c>
      <c r="AN2" s="241">
        <f ca="1">IF($D2&gt;Standings!$Q$27,"",IF(OR($AK2=1,$AL2=1),"Conf Playoff Spot",COUNTIFS($AL$2:$AL$225,0,$AK$2:$AK$225,0,$C$2:$C$225,$C2,$D$2:$D$225,$D2,$AC$2:$AC$225,"&gt;"&amp;$AC2)+1))</f>
        <v>1</v>
      </c>
      <c r="AO2" s="241">
        <f t="array" aca="1" ref="AO2" ca="1">IF($D2&gt;Standings!$Q$27,"",IF(OR($AK2=1,$AL2=1),"Conf Playoff Spot",COUNTIFS($AK$2:$AK$225,0,$AL$2:$AL$225,0,$D$2:$D$225,$D2,$Z$2:$Z$225,"&gt;"&amp;$Z2)+1))</f>
        <v>5</v>
      </c>
      <c r="AP2" s="241">
        <f t="array" aca="1" ref="AP2" ca="1">IF($D2&gt;Standings!$Q$27,"",(COUNTIFS($D$2:$D$225,$D2,$J$2:$J$225,"&gt;"&amp;$J2)+1))</f>
        <v>7</v>
      </c>
      <c r="AQ2" s="240">
        <f ca="1">IF($D2&gt;Standings!$Q$27,"",(COUNTIFS($D$2:$D$225,$D2,$AC$2:$AC$225,"&gt;"&amp;$AC2)+1))</f>
        <v>7</v>
      </c>
      <c r="AR2" s="240">
        <f ca="1">IF($D2&gt;Standings!$Q$27,"",(COUNTIFS($D$2:$D$225,$D2,$K$2:$K$225,"&gt;"&amp;$K2)+1))</f>
        <v>6</v>
      </c>
      <c r="AS2" s="240">
        <f ca="1">IF($D2&gt;Standings!$Q$27,"",(COUNTIFS($D$2:$D$225,$D2,$AD$2:$AD$225,"&gt;"&amp;$AD2)+1))</f>
        <v>6</v>
      </c>
      <c r="AT2" s="357">
        <f ca="1">IF($D2&gt;Standings!$Q$27,"",SUMIFS($J$2:$J$225,$D$2:$D$225,$D2,$C$2:$C$225,$C2))</f>
        <v>827.09</v>
      </c>
      <c r="AU2" s="245">
        <f ca="1">IF($D2&gt;Standings!$Q$27,"",SUMIFS($AC$2:$AC$225,$D$2:$D$225,$D2,$C$2:$C$225,$C2))</f>
        <v>827.09</v>
      </c>
      <c r="AX2" s="169"/>
      <c r="AY2" s="169"/>
    </row>
    <row r="3" spans="1:51">
      <c r="A3" s="190">
        <v>16</v>
      </c>
      <c r="B3" s="198" t="str">
        <f>'ESPN Data'!$L$4</f>
        <v>Team 1</v>
      </c>
      <c r="C3" s="346" t="str">
        <f>VLOOKUP(B3,'ESPN Data'!$L$4:$M$19,2,FALSE)</f>
        <v>Bone</v>
      </c>
      <c r="D3" s="397">
        <v>2</v>
      </c>
      <c r="E3" s="267" t="str">
        <f t="array" ref="E3">INDEX('ESPN Data'!$C$3:$C$226,MATCH(1,('ESPN Data'!$A$3:$A$226='Point Data'!$D3)*('ESPN Data'!$B$3:$B$226='Point Data'!$B3),0))</f>
        <v>Team 11</v>
      </c>
      <c r="F3" s="250" t="str">
        <f>IF(C3&lt;&gt;VLOOKUP($E3,'ESPN Data'!$L$4:$M$19,2,FALSE),"Non Conf", "Conf")</f>
        <v>Non Conf</v>
      </c>
      <c r="G3" s="246">
        <f t="array" aca="1" ref="G3" ca="1">IF('Point Data'!$D3&gt;Standings!$Q$27,"",(COUNTIFS($D$2:$D$225,$D3,$AM$2:$AM$225,"&gt;"&amp;$AM3)+1))</f>
        <v>13</v>
      </c>
      <c r="H3" s="247">
        <f ca="1">IF('Point Data'!$D3&gt;Standings!$Q$27,"",$G2)</f>
        <v>6</v>
      </c>
      <c r="I3" s="249">
        <f ca="1">IF('Point Data'!D3&gt;Standings!$Q$27,"",H3-G3)</f>
        <v>-7</v>
      </c>
      <c r="J3" s="561">
        <f ca="1">IF('Point Data'!D3&gt;Standings!$Q$27,"",OFFSET('ESPN Data'!D$3,$A3,0,1,1))</f>
        <v>94.86</v>
      </c>
      <c r="K3" s="561">
        <f ca="1">IF('Point Data'!D3&gt;Standings!$Q$27,"",OFFSET('ESPN Data'!E$3,$A3,0,1,1))</f>
        <v>101.32</v>
      </c>
      <c r="L3" s="249">
        <f ca="1">IF('Point Data'!D3&gt;Standings!$Q$27,"",OFFSET('ESPN Data'!I$3,$A3,0,1,1))</f>
        <v>91</v>
      </c>
      <c r="M3" s="249">
        <f ca="1">IF('Point Data'!D3&gt;Standings!$Q$27,"",OFFSET('ESPN Data'!I$3,$A3,-2,1,1))</f>
        <v>6</v>
      </c>
      <c r="N3" s="249">
        <f ca="1">IF('Point Data'!D3&gt;Standings!$Q$27,"",SUMIFS($M$2:$M$225,$D$2:$D$225,D3,$C$2:$C$225,C3))</f>
        <v>44</v>
      </c>
      <c r="O3" s="249">
        <f ca="1">IF('Point Data'!D3&gt;Standings!$Q$27,"",SUMIFS($L$2:$L$225,$D$2:$D$225,$D3,$C$2:$C$225,$C3))</f>
        <v>753</v>
      </c>
      <c r="P3" s="249">
        <f ca="1">IF('Point Data'!D3&gt;Standings!$Q$27,"",SUMIFS($M$2:$M$225,$D$2:$D$225,D3))</f>
        <v>73</v>
      </c>
      <c r="Q3" s="249">
        <f ca="1">IF('Point Data'!D3&gt;Standings!$Q$27,"",SUMIFS($L$2:$L$225,$D$2:$D$225,D3))</f>
        <v>1524</v>
      </c>
      <c r="R3" s="249">
        <f ca="1">IF($D3&gt;Standings!$Q$27,"",IF(U3="T",(Z3+0.5)/(D3)*100,(Z3/D3)*100))</f>
        <v>0</v>
      </c>
      <c r="S3" s="248">
        <f ca="1">IF($D3&gt;Standings!$Q$27,"",$J3-$K3)</f>
        <v>-6.4599999999999937</v>
      </c>
      <c r="T3" s="248">
        <f ca="1">IF($D3&gt;Standings!$Q$27,"",AVERAGE(OFFSET(S3,(-$D3+1),0,1,1):S3))</f>
        <v>-5.4749999999999943</v>
      </c>
      <c r="U3" s="172">
        <f ca="1">IF($D3&gt;Standings!$Q$27,"",IF(J3&gt;K3,1,IF(J3=K3,"T",0)))</f>
        <v>0</v>
      </c>
      <c r="V3" s="172">
        <f ca="1">IF($D3&gt;Standings!$Q$27,"",IF(F3="Conf",V2,SUMIFS($U$2:$U$225,$D$2:$D$225,"&lt;="&amp;$D3,$B$2:$B$225,$B3,$F$2:$F$225,"Non Conf")))</f>
        <v>0</v>
      </c>
      <c r="W3" s="172" t="str">
        <f ca="1">IF($D3&gt;Standings!$Q$27,"",$V3&amp;"-"&amp;COUNTIF(OFFSET($F3,(-$D3+1),0,1,1):$F3,"Non Conf")-$V3)</f>
        <v>0-1</v>
      </c>
      <c r="X3" s="172">
        <f ca="1">IF($D3&gt;Standings!$Q$27,"",SUMIFS($U$2:$U$225,$D$2:$D$225,"&lt;="&amp;$D3,$B$2:$B$225,$B3,$F$2:$F$225,"Conf"))</f>
        <v>0</v>
      </c>
      <c r="Y3" s="172" t="str">
        <f ca="1">IF($D3&gt;Standings!$Q$27,"",$X3&amp;"-"&amp;COUNTIF(OFFSET($F3,(-$D3+1),0,1,1):$F3,"Conf")-$X3)</f>
        <v>0-1</v>
      </c>
      <c r="Z3" s="172">
        <f ca="1">IF($D3&gt;Standings!$Q$27,"",SUM(OFFSET(U3,(-$D3+1),0,1,1):U3))</f>
        <v>0</v>
      </c>
      <c r="AA3" s="172">
        <f ca="1">IF($D3&gt;Standings!$Q$27,"",IF(U3=1,1+AA2,0))</f>
        <v>0</v>
      </c>
      <c r="AB3" s="250">
        <f ca="1">IF($D3&gt;Standings!$Q$27,"",IF(AA3=0,1+AB2,0))</f>
        <v>2</v>
      </c>
      <c r="AC3" s="251">
        <f ca="1">IF($D3&gt;Standings!$Q$27,"",SUM(OFFSET(J3,(-$D3+1),0,1,1):J3))</f>
        <v>201.7</v>
      </c>
      <c r="AD3" s="248">
        <f ca="1">IF($D3&gt;Standings!$Q$27,"",SUM(OFFSET(K3,(-$D3+1),0,1,1):K3))</f>
        <v>212.64999999999998</v>
      </c>
      <c r="AE3" s="248">
        <f ca="1">IF($D3&gt;Standings!$Q$27,"",$J3-$K3)</f>
        <v>-6.4599999999999937</v>
      </c>
      <c r="AF3" s="248">
        <f ca="1">IF($D3&gt;Standings!$Q$27,"",AC3-AD3)</f>
        <v>-10.949999999999989</v>
      </c>
      <c r="AG3" s="252">
        <f ca="1">IF($D3&gt;Standings!$Q$27,"",(COUNTIFS($D$2:$D$225,$D3,$C$2:$C$225,$C3,$AC$2:$AC$225,"&lt;"&amp;$AC3)+1)*0.01)</f>
        <v>0.03</v>
      </c>
      <c r="AH3" s="252">
        <f ca="1">IF($D3&gt;Standings!$Q$27,"",Z3+AG3)</f>
        <v>0.03</v>
      </c>
      <c r="AI3" s="252"/>
      <c r="AJ3" s="172">
        <f t="array" aca="1" ref="AJ3" ca="1">IF($D3&gt;Standings!$Q$27,"",(COUNTIFS($D$2:$D$225,$D3,$C$2:$C$225,$C3,$AM$2:$AM$225,"&gt;"&amp;$AM3)+1))</f>
        <v>8</v>
      </c>
      <c r="AK3" s="172">
        <f t="array" aca="1" ref="AK3" ca="1">IF($D3&gt;Standings!$Q$27,"",IF((COUNTIFS($D$2:$D$225,$D3,$C$2:$C$225,$C3,$AH$2:$AH$225,"&gt;"&amp;$AH3)+1)=2,1,0))</f>
        <v>0</v>
      </c>
      <c r="AL3" s="172">
        <f t="array" aca="1" ref="AL3" ca="1">IF($D3&gt;Standings!$Q$27,"",IF((COUNTIFS($D$2:$D$225,$D3,$C$2:$C$225,$C3,$AH$2:$AH$225,"&gt;"&amp;$AH3)+1)&lt;2,1,0))</f>
        <v>0</v>
      </c>
      <c r="AM3" s="172">
        <f ca="1">IF($D3&gt;Standings!$Q$27,"",IF(AL3=1,200+Z3+(16-AQ3)*0.01+AI3,IF(AK3=1,100+Z3+(16-AQ3)*0.01+AI3,IF(AN3=1,50+Z3+(16-AQ3)*0.01,IF(AO3=1,15+Z3+(16-AQ3)*0.01,Z3+(16-AQ3)*0.01+AI3)))))</f>
        <v>0.05</v>
      </c>
      <c r="AN3" s="172">
        <f ca="1">IF($D3&gt;Standings!$Q$27,"",IF(OR($AK3=1,$AL3=1),"Conf Playoff Spot",COUNTIFS($AL$2:$AL$225,0,$AK$2:$AK$225,0,$C$2:$C$225,$C3,$D$2:$D$225,$D3,$AC$2:$AC$225,"&gt;"&amp;$AC3)+1))</f>
        <v>4</v>
      </c>
      <c r="AO3" s="172">
        <f t="array" aca="1" ref="AO3" ca="1">IF($D3&gt;Standings!$Q$27,"",IF(OR($AK3=1,$AL3=1),"Conf Playoff Spot",COUNTIFS($AK$2:$AK$225,0,$AL$2:$AL$225,0,$D$2:$D$225,$D3,$Z$2:$Z$225,"&gt;"&amp;$Z3)+1))</f>
        <v>8</v>
      </c>
      <c r="AP3" s="172">
        <f t="array" aca="1" ref="AP3" ca="1">IF($D3&gt;Standings!$Q$27,"",(COUNTIFS($D$2:$D$225,$D3,$J$2:$J$225,"&gt;"&amp;$J3)+1))</f>
        <v>14</v>
      </c>
      <c r="AQ3" s="249">
        <f ca="1">IF($D3&gt;Standings!$Q$27,"",(COUNTIFS($D$2:$D$225,$D3,$AC$2:$AC$225,"&gt;"&amp;$AC3)+1))</f>
        <v>11</v>
      </c>
      <c r="AR3" s="249">
        <f ca="1">IF($D3&gt;Standings!$Q$27,"",(COUNTIFS($D$2:$D$225,$D3,$K$2:$K$225,"&gt;"&amp;$K3)+1))</f>
        <v>11</v>
      </c>
      <c r="AS3" s="249">
        <f ca="1">IF($D3&gt;Standings!$Q$27,"",(COUNTIFS($D$2:$D$225,$D3,$AD$2:$AD$225,"&gt;"&amp;$AD3)+1))</f>
        <v>10</v>
      </c>
      <c r="AT3" s="354">
        <f ca="1">IF($D3&gt;Standings!$Q$27,"",SUMIFS($J$2:$J$225,$D$2:$D$225,$D3,$C$2:$C$225,$C3))</f>
        <v>849.17</v>
      </c>
      <c r="AU3" s="253">
        <f ca="1">IF($D3&gt;Standings!$Q$27,"",SUMIFS($AC$2:$AC$225,$D$2:$D$225,$D3,$C$2:$C$225,$C3))</f>
        <v>1676.26</v>
      </c>
      <c r="AX3" s="169"/>
      <c r="AY3" s="169"/>
    </row>
    <row r="4" spans="1:51">
      <c r="A4" s="190">
        <v>32</v>
      </c>
      <c r="B4" s="198" t="str">
        <f>'ESPN Data'!$L$4</f>
        <v>Team 1</v>
      </c>
      <c r="C4" s="346" t="str">
        <f>VLOOKUP(B4,'ESPN Data'!$L$4:$M$19,2,FALSE)</f>
        <v>Bone</v>
      </c>
      <c r="D4" s="397">
        <v>3</v>
      </c>
      <c r="E4" s="267" t="str">
        <f t="array" ref="E4">INDEX('ESPN Data'!$C$3:$C$226,MATCH(1,('ESPN Data'!$A$3:$A$226='Point Data'!$D4)*('ESPN Data'!$B$3:$B$226='Point Data'!$B4),0))</f>
        <v>Team 15</v>
      </c>
      <c r="F4" s="250" t="str">
        <f>IF(C4&lt;&gt;VLOOKUP($E4,'ESPN Data'!$L$4:$M$19,2,FALSE),"Non Conf", "Conf")</f>
        <v>Non Conf</v>
      </c>
      <c r="G4" s="246">
        <f t="array" aca="1" ref="G4" ca="1">IF('Point Data'!$D4&gt;Standings!$Q$27,"",(COUNTIFS($D$2:$D$225,$D4,$AM$2:$AM$225,"&gt;"&amp;$AM4)+1))</f>
        <v>12</v>
      </c>
      <c r="H4" s="247">
        <f ca="1">IF('Point Data'!$D4&gt;Standings!$Q$27,"",$G3)</f>
        <v>13</v>
      </c>
      <c r="I4" s="249">
        <f ca="1">IF('Point Data'!D4&gt;Standings!$Q$27,"",H4-G4)</f>
        <v>1</v>
      </c>
      <c r="J4" s="562">
        <f ca="1">IF('Point Data'!D4&gt;Standings!$Q$27,"",OFFSET('ESPN Data'!D$3,$A4,0,1,1))</f>
        <v>113.11</v>
      </c>
      <c r="K4" s="561">
        <f ca="1">IF('Point Data'!D4&gt;Standings!$Q$27,"",OFFSET('ESPN Data'!E$3,$A4,0,1,1))</f>
        <v>108.7</v>
      </c>
      <c r="L4" s="249">
        <f ca="1">IF('Point Data'!D4&gt;Standings!$Q$27,"",OFFSET('ESPN Data'!I$3,$A4,0,1,1))</f>
        <v>91</v>
      </c>
      <c r="M4" s="249">
        <f ca="1">IF('Point Data'!D4&gt;Standings!$Q$27,"",OFFSET('ESPN Data'!I$3,$A4,-2,1,1))</f>
        <v>0</v>
      </c>
      <c r="N4" s="249">
        <f ca="1">IF('Point Data'!D4&gt;Standings!$Q$27,"",SUMIFS($M$2:$M$225,$D$2:$D$225,D4,$C$2:$C$225,C4))</f>
        <v>25</v>
      </c>
      <c r="O4" s="249">
        <f ca="1">IF('Point Data'!D4&gt;Standings!$Q$27,"",SUMIFS($L$2:$L$225,$D$2:$D$225,$D4,$C$2:$C$225,$C4))</f>
        <v>728</v>
      </c>
      <c r="P4" s="249">
        <f ca="1">IF('Point Data'!D4&gt;Standings!$Q$27,"",SUMIFS($M$2:$M$225,$D$2:$D$225,D4))</f>
        <v>210</v>
      </c>
      <c r="Q4" s="249">
        <f ca="1">IF('Point Data'!D4&gt;Standings!$Q$27,"",SUMIFS($L$2:$L$225,$D$2:$D$225,D4))</f>
        <v>1314</v>
      </c>
      <c r="R4" s="249">
        <f ca="1">IF($D4&gt;Standings!$Q$27,"",IF(U4="T",(Z4+0.5)/(D4)*100,(Z4/D4)*100))</f>
        <v>33.333333333333329</v>
      </c>
      <c r="S4" s="248">
        <f ca="1">IF($D4&gt;Standings!$Q$27,"",$J4-$K4)</f>
        <v>4.4099999999999966</v>
      </c>
      <c r="T4" s="248">
        <f ca="1">IF($D4&gt;Standings!$Q$27,"",AVERAGE(OFFSET(S4,(-$D4+1),0,1,1):S4))</f>
        <v>-2.1799999999999975</v>
      </c>
      <c r="U4" s="172">
        <f ca="1">IF($D4&gt;Standings!$Q$27,"",IF(J4&gt;K4,1,IF(J4=K4,"T",0)))</f>
        <v>1</v>
      </c>
      <c r="V4" s="172">
        <f ca="1">IF($D4&gt;Standings!$Q$27,"",IF(F4="Conf",V3,SUMIFS($U$2:$U$225,$D$2:$D$225,"&lt;="&amp;$D4,$B$2:$B$225,$B4,$F$2:$F$225,"Non Conf")))</f>
        <v>1</v>
      </c>
      <c r="W4" s="172" t="str">
        <f ca="1">IF($D4&gt;Standings!$Q$27,"",$V4&amp;"-"&amp;COUNTIF(OFFSET($F4,(-$D4+1),0,1,1):$F4,"Non Conf")-$V4)</f>
        <v>1-1</v>
      </c>
      <c r="X4" s="172">
        <f ca="1">IF($D4&gt;Standings!$Q$27,"",SUMIFS($U$2:$U$225,$D$2:$D$225,"&lt;="&amp;$D4,$B$2:$B$225,$B4,$F$2:$F$225,"Conf"))</f>
        <v>0</v>
      </c>
      <c r="Y4" s="172" t="str">
        <f ca="1">IF($D4&gt;Standings!$Q$27,"",$X4&amp;"-"&amp;COUNTIF(OFFSET($F4,(-$D4+1),0,1,1):$F4,"Conf")-$X4)</f>
        <v>0-1</v>
      </c>
      <c r="Z4" s="172">
        <f ca="1">IF($D4&gt;Standings!$Q$27,"",SUM(OFFSET(U4,(-$D4+1),0,1,1):U4))</f>
        <v>1</v>
      </c>
      <c r="AA4" s="172">
        <f ca="1">IF($D4&gt;Standings!$Q$27,"",IF(U4=1,1+AA3,0))</f>
        <v>1</v>
      </c>
      <c r="AB4" s="250">
        <f ca="1">IF($D4&gt;Standings!$Q$27,"",IF(AA4=0,1+AB3,0))</f>
        <v>0</v>
      </c>
      <c r="AC4" s="251">
        <f ca="1">IF($D4&gt;Standings!$Q$27,"",SUM(OFFSET(J4,(-$D4+1),0,1,1):J4))</f>
        <v>314.81</v>
      </c>
      <c r="AD4" s="248">
        <f ca="1">IF($D4&gt;Standings!$Q$27,"",SUM(OFFSET(K4,(-$D4+1),0,1,1):K4))</f>
        <v>321.34999999999997</v>
      </c>
      <c r="AE4" s="248">
        <f ca="1">IF($D4&gt;Standings!$Q$27,"",$J4-$K4)</f>
        <v>4.4099999999999966</v>
      </c>
      <c r="AF4" s="248">
        <f ca="1">IF($D4&gt;Standings!$Q$27,"",AC4-AD4)</f>
        <v>-6.5399999999999636</v>
      </c>
      <c r="AG4" s="252">
        <f ca="1">IF($D4&gt;Standings!$Q$27,"",(COUNTIFS($D$2:$D$225,$D4,$C$2:$C$225,$C4,$AC$2:$AC$225,"&lt;"&amp;$AC4)+1)*0.01)</f>
        <v>0.04</v>
      </c>
      <c r="AH4" s="252">
        <f ca="1">IF($D4&gt;Standings!$Q$27,"",Z4+AG4)</f>
        <v>1.04</v>
      </c>
      <c r="AI4" s="252"/>
      <c r="AJ4" s="172">
        <f t="array" aca="1" ref="AJ4" ca="1">IF($D4&gt;Standings!$Q$27,"",(COUNTIFS($D$2:$D$225,$D4,$C$2:$C$225,$C4,$AM$2:$AM$225,"&gt;"&amp;$AM4)+1))</f>
        <v>7</v>
      </c>
      <c r="AK4" s="172">
        <f t="array" aca="1" ref="AK4" ca="1">IF($D4&gt;Standings!$Q$27,"",IF((COUNTIFS($D$2:$D$225,$D4,$C$2:$C$225,$C4,$AH$2:$AH$225,"&gt;"&amp;$AH4)+1)=2,1,0))</f>
        <v>0</v>
      </c>
      <c r="AL4" s="172">
        <f t="array" aca="1" ref="AL4" ca="1">IF($D4&gt;Standings!$Q$27,"",IF((COUNTIFS($D$2:$D$225,$D4,$C$2:$C$225,$C4,$AH$2:$AH$225,"&gt;"&amp;$AH4)+1)&lt;2,1,0))</f>
        <v>0</v>
      </c>
      <c r="AM4" s="172">
        <f ca="1">IF($D4&gt;Standings!$Q$27,"",IF(AL4=1,200+Z4+(16-AQ4)*0.01+AI4,IF(AK4=1,100+Z4+(16-AQ4)*0.01+AI4,IF(AN4=1,50+Z4+(16-AQ4)*0.01,IF(AO4=1,15+Z4+(16-AQ4)*0.01,Z4+(16-AQ4)*0.01+AI4)))))</f>
        <v>1.06</v>
      </c>
      <c r="AN4" s="172">
        <f ca="1">IF($D4&gt;Standings!$Q$27,"",IF(OR($AK4=1,$AL4=1),"Conf Playoff Spot",COUNTIFS($AL$2:$AL$225,0,$AK$2:$AK$225,0,$C$2:$C$225,$C4,$D$2:$D$225,$D4,$AC$2:$AC$225,"&gt;"&amp;$AC4)+1))</f>
        <v>3</v>
      </c>
      <c r="AO4" s="172">
        <f t="array" aca="1" ref="AO4" ca="1">IF($D4&gt;Standings!$Q$27,"",IF(OR($AK4=1,$AL4=1),"Conf Playoff Spot",COUNTIFS($AK$2:$AK$225,0,$AL$2:$AL$225,0,$D$2:$D$225,$D4,$Z$2:$Z$225,"&gt;"&amp;$Z4)+1))</f>
        <v>5</v>
      </c>
      <c r="AP4" s="172">
        <f t="array" aca="1" ref="AP4" ca="1">IF($D4&gt;Standings!$Q$27,"",(COUNTIFS($D$2:$D$225,$D4,$J$2:$J$225,"&gt;"&amp;$J4)+1))</f>
        <v>7</v>
      </c>
      <c r="AQ4" s="249">
        <f ca="1">IF($D4&gt;Standings!$Q$27,"",(COUNTIFS($D$2:$D$225,$D4,$AC$2:$AC$225,"&gt;"&amp;$AC4)+1))</f>
        <v>10</v>
      </c>
      <c r="AR4" s="249">
        <f ca="1">IF($D4&gt;Standings!$Q$27,"",(COUNTIFS($D$2:$D$225,$D4,$K$2:$K$225,"&gt;"&amp;$K4)+1))</f>
        <v>8</v>
      </c>
      <c r="AS4" s="249">
        <f ca="1">IF($D4&gt;Standings!$Q$27,"",(COUNTIFS($D$2:$D$225,$D4,$AD$2:$AD$225,"&gt;"&amp;$AD4)+1))</f>
        <v>10</v>
      </c>
      <c r="AT4" s="354">
        <f ca="1">IF($D4&gt;Standings!$Q$27,"",SUMIFS($J$2:$J$225,$D$2:$D$225,$D4,$C$2:$C$225,$C4))</f>
        <v>927.32</v>
      </c>
      <c r="AU4" s="253">
        <f ca="1">IF($D4&gt;Standings!$Q$27,"",SUMIFS($AC$2:$AC$225,$D$2:$D$225,$D4,$C$2:$C$225,$C4))</f>
        <v>2603.58</v>
      </c>
      <c r="AX4" s="169"/>
      <c r="AY4" s="169"/>
    </row>
    <row r="5" spans="1:51">
      <c r="A5" s="16">
        <v>48</v>
      </c>
      <c r="B5" s="198" t="str">
        <f>'ESPN Data'!$L$4</f>
        <v>Team 1</v>
      </c>
      <c r="C5" s="346" t="str">
        <f>VLOOKUP(B5,'ESPN Data'!$L$4:$M$19,2,FALSE)</f>
        <v>Bone</v>
      </c>
      <c r="D5" s="397">
        <v>4</v>
      </c>
      <c r="E5" s="267" t="str">
        <f t="array" ref="E5">INDEX('ESPN Data'!$C$3:$C$226,MATCH(1,('ESPN Data'!$A$3:$A$226='Point Data'!$D5)*('ESPN Data'!$B$3:$B$226='Point Data'!$B5),0))</f>
        <v>Team 10</v>
      </c>
      <c r="F5" s="250" t="str">
        <f>IF(C5&lt;&gt;VLOOKUP($E5,'ESPN Data'!$L$4:$M$19,2,FALSE),"Non Conf", "Conf")</f>
        <v>Non Conf</v>
      </c>
      <c r="G5" s="246">
        <f t="array" aca="1" ref="G5" ca="1">IF('Point Data'!$D5&gt;Standings!$Q$27,"",(COUNTIFS($D$2:$D$225,$D5,$AM$2:$AM$225,"&gt;"&amp;$AM5)+1))</f>
        <v>13</v>
      </c>
      <c r="H5" s="247">
        <f ca="1">IF('Point Data'!$D5&gt;Standings!$Q$27,"",$G4)</f>
        <v>12</v>
      </c>
      <c r="I5" s="249">
        <f ca="1">IF('Point Data'!D5&gt;Standings!$Q$27,"",H5-G5)</f>
        <v>-1</v>
      </c>
      <c r="J5" s="562">
        <f ca="1">IF('Point Data'!D5&gt;Standings!$Q$27,"",OFFSET('ESPN Data'!D$3,$A5,0,1,1))</f>
        <v>97.92</v>
      </c>
      <c r="K5" s="561">
        <f ca="1">IF('Point Data'!D5&gt;Standings!$Q$27,"",OFFSET('ESPN Data'!E$3,$A5,0,1,1))</f>
        <v>121.55</v>
      </c>
      <c r="L5" s="249">
        <f ca="1">IF('Point Data'!D5&gt;Standings!$Q$27,"",OFFSET('ESPN Data'!I$3,$A5,0,1,1))</f>
        <v>34</v>
      </c>
      <c r="M5" s="249">
        <f ca="1">IF('Point Data'!D5&gt;Standings!$Q$27,"",OFFSET('ESPN Data'!I$3,$A5,-2,1,1))</f>
        <v>57</v>
      </c>
      <c r="N5" s="249">
        <f ca="1">IF('Point Data'!D5&gt;Standings!$Q$27,"",SUMIFS($M$2:$M$225,$D$2:$D$225,D5,$C$2:$C$225,C5))</f>
        <v>161</v>
      </c>
      <c r="O5" s="249">
        <f ca="1">IF('Point Data'!D5&gt;Standings!$Q$27,"",SUMIFS($L$2:$L$225,$D$2:$D$225,$D5,$C$2:$C$225,$C5))</f>
        <v>567</v>
      </c>
      <c r="P5" s="249">
        <f ca="1">IF('Point Data'!D5&gt;Standings!$Q$27,"",SUMIFS($M$2:$M$225,$D$2:$D$225,D5))</f>
        <v>171</v>
      </c>
      <c r="Q5" s="249">
        <f ca="1">IF('Point Data'!D5&gt;Standings!$Q$27,"",SUMIFS($L$2:$L$225,$D$2:$D$225,D5))</f>
        <v>1143</v>
      </c>
      <c r="R5" s="249">
        <f ca="1">IF($D5&gt;Standings!$Q$27,"",IF(U5="T",(Z5+0.5)/(D5)*100,(Z5/D5)*100))</f>
        <v>25</v>
      </c>
      <c r="S5" s="248">
        <f ca="1">IF($D5&gt;Standings!$Q$27,"",$J5-$K5)</f>
        <v>-23.629999999999995</v>
      </c>
      <c r="T5" s="248">
        <f ca="1">IF($D5&gt;Standings!$Q$27,"",AVERAGE(OFFSET(S5,(-$D5+1),0,1,1):S5))</f>
        <v>-7.5424999999999969</v>
      </c>
      <c r="U5" s="172">
        <f ca="1">IF($D5&gt;Standings!$Q$27,"",IF(J5&gt;K5,1,IF(J5=K5,"T",0)))</f>
        <v>0</v>
      </c>
      <c r="V5" s="172">
        <f ca="1">IF($D5&gt;Standings!$Q$27,"",IF(F5="Conf",V4,SUMIFS($U$2:$U$225,$D$2:$D$225,"&lt;="&amp;$D5,$B$2:$B$225,$B5,$F$2:$F$225,"Non Conf")))</f>
        <v>1</v>
      </c>
      <c r="W5" s="172" t="str">
        <f ca="1">IF($D5&gt;Standings!$Q$27,"",$V5&amp;"-"&amp;COUNTIF(OFFSET($F5,(-$D5+1),0,1,1):$F5,"Non Conf")-$V5)</f>
        <v>1-2</v>
      </c>
      <c r="X5" s="172">
        <f ca="1">IF($D5&gt;Standings!$Q$27,"",SUMIFS($U$2:$U$225,$D$2:$D$225,"&lt;="&amp;$D5,$B$2:$B$225,$B5,$F$2:$F$225,"Conf"))</f>
        <v>0</v>
      </c>
      <c r="Y5" s="172" t="str">
        <f ca="1">IF($D5&gt;Standings!$Q$27,"",$X5&amp;"-"&amp;COUNTIF(OFFSET($F5,(-$D5+1),0,1,1):$F5,"Conf")-$X5)</f>
        <v>0-1</v>
      </c>
      <c r="Z5" s="172">
        <f ca="1">IF($D5&gt;Standings!$Q$27,"",SUM(OFFSET(U5,(-$D5+1),0,1,1):U5))</f>
        <v>1</v>
      </c>
      <c r="AA5" s="172">
        <f ca="1">IF($D5&gt;Standings!$Q$27,"",IF(U5=1,1+AA4,0))</f>
        <v>0</v>
      </c>
      <c r="AB5" s="250">
        <f ca="1">IF($D5&gt;Standings!$Q$27,"",IF(AA5=0,1+AB4,0))</f>
        <v>1</v>
      </c>
      <c r="AC5" s="251">
        <f ca="1">IF($D5&gt;Standings!$Q$27,"",SUM(OFFSET(J5,(-$D5+1),0,1,1):J5))</f>
        <v>412.73</v>
      </c>
      <c r="AD5" s="248">
        <f ca="1">IF($D5&gt;Standings!$Q$27,"",SUM(OFFSET(K5,(-$D5+1),0,1,1):K5))</f>
        <v>442.9</v>
      </c>
      <c r="AE5" s="248">
        <f ca="1">IF($D5&gt;Standings!$Q$27,"",$J5-$K5)</f>
        <v>-23.629999999999995</v>
      </c>
      <c r="AF5" s="248">
        <f ca="1">IF($D5&gt;Standings!$Q$27,"",AC5-AD5)</f>
        <v>-30.169999999999959</v>
      </c>
      <c r="AG5" s="252">
        <f ca="1">IF($D5&gt;Standings!$Q$27,"",(COUNTIFS($D$2:$D$225,$D5,$C$2:$C$225,$C5,$AC$2:$AC$225,"&lt;"&amp;$AC5)+1)*0.01)</f>
        <v>0.03</v>
      </c>
      <c r="AH5" s="252">
        <f ca="1">IF($D5&gt;Standings!$Q$27,"",Z5+AG5)</f>
        <v>1.03</v>
      </c>
      <c r="AI5" s="252"/>
      <c r="AJ5" s="172">
        <f t="array" aca="1" ref="AJ5" ca="1">IF($D5&gt;Standings!$Q$27,"",(COUNTIFS($D$2:$D$225,$D5,$C$2:$C$225,$C5,$AM$2:$AM$225,"&gt;"&amp;$AM5)+1))</f>
        <v>7</v>
      </c>
      <c r="AK5" s="172">
        <f t="array" aca="1" ref="AK5" ca="1">IF($D5&gt;Standings!$Q$27,"",IF((COUNTIFS($D$2:$D$225,$D5,$C$2:$C$225,$C5,$AH$2:$AH$225,"&gt;"&amp;$AH5)+1)=2,1,0))</f>
        <v>0</v>
      </c>
      <c r="AL5" s="172">
        <f t="array" aca="1" ref="AL5" ca="1">IF($D5&gt;Standings!$Q$27,"",IF((COUNTIFS($D$2:$D$225,$D5,$C$2:$C$225,$C5,$AH$2:$AH$225,"&gt;"&amp;$AH5)+1)&lt;2,1,0))</f>
        <v>0</v>
      </c>
      <c r="AM5" s="172">
        <f ca="1">IF($D5&gt;Standings!$Q$27,"",IF(AL5=1,200+Z5+(16-AQ5)*0.01+AI5,IF(AK5=1,100+Z5+(16-AQ5)*0.01+AI5,IF(AN5=1,50+Z5+(16-AQ5)*0.01,IF(AO5=1,15+Z5+(16-AQ5)*0.01,Z5+(16-AQ5)*0.01+AI5)))))</f>
        <v>1.05</v>
      </c>
      <c r="AN5" s="172">
        <f ca="1">IF($D5&gt;Standings!$Q$27,"",IF(OR($AK5=1,$AL5=1),"Conf Playoff Spot",COUNTIFS($AL$2:$AL$225,0,$AK$2:$AK$225,0,$C$2:$C$225,$C5,$D$2:$D$225,$D5,$AC$2:$AC$225,"&gt;"&amp;$AC5)+1))</f>
        <v>4</v>
      </c>
      <c r="AO5" s="172">
        <f t="array" aca="1" ref="AO5" ca="1">IF($D5&gt;Standings!$Q$27,"",IF(OR($AK5=1,$AL5=1),"Conf Playoff Spot",COUNTIFS($AK$2:$AK$225,0,$AL$2:$AL$225,0,$D$2:$D$225,$D5,$Z$2:$Z$225,"&gt;"&amp;$Z5)+1))</f>
        <v>8</v>
      </c>
      <c r="AP5" s="172">
        <f t="array" aca="1" ref="AP5" ca="1">IF($D5&gt;Standings!$Q$27,"",(COUNTIFS($D$2:$D$225,$D5,$J$2:$J$225,"&gt;"&amp;$J5)+1))</f>
        <v>11</v>
      </c>
      <c r="AQ5" s="249">
        <f ca="1">IF($D5&gt;Standings!$Q$27,"",(COUNTIFS($D$2:$D$225,$D5,$AC$2:$AC$225,"&gt;"&amp;$AC5)+1))</f>
        <v>11</v>
      </c>
      <c r="AR5" s="249">
        <f ca="1">IF($D5&gt;Standings!$Q$27,"",(COUNTIFS($D$2:$D$225,$D5,$K$2:$K$225,"&gt;"&amp;$K5)+1))</f>
        <v>1</v>
      </c>
      <c r="AS5" s="249">
        <f ca="1">IF($D5&gt;Standings!$Q$27,"",(COUNTIFS($D$2:$D$225,$D5,$AD$2:$AD$225,"&gt;"&amp;$AD5)+1))</f>
        <v>4</v>
      </c>
      <c r="AT5" s="354">
        <f ca="1">IF($D5&gt;Standings!$Q$27,"",SUMIFS($J$2:$J$225,$D$2:$D$225,$D5,$C$2:$C$225,$C5))</f>
        <v>806.98</v>
      </c>
      <c r="AU5" s="253">
        <f ca="1">IF($D5&gt;Standings!$Q$27,"",SUMIFS($AC$2:$AC$225,$D$2:$D$225,$D5,$C$2:$C$225,$C5))</f>
        <v>3410.56</v>
      </c>
      <c r="AX5" s="169"/>
      <c r="AY5" s="169"/>
    </row>
    <row r="6" spans="1:51">
      <c r="A6" s="190">
        <v>64</v>
      </c>
      <c r="B6" s="198" t="str">
        <f>'ESPN Data'!$L$4</f>
        <v>Team 1</v>
      </c>
      <c r="C6" s="346" t="str">
        <f>VLOOKUP(B6,'ESPN Data'!$L$4:$M$19,2,FALSE)</f>
        <v>Bone</v>
      </c>
      <c r="D6" s="397">
        <v>5</v>
      </c>
      <c r="E6" s="267" t="str">
        <f t="array" ref="E6">INDEX('ESPN Data'!$C$3:$C$226,MATCH(1,('ESPN Data'!$A$3:$A$226='Point Data'!$D6)*('ESPN Data'!$B$3:$B$226='Point Data'!$B6),0))</f>
        <v>Team 4</v>
      </c>
      <c r="F6" s="250" t="str">
        <f>IF(C6&lt;&gt;VLOOKUP($E6,'ESPN Data'!$L$4:$M$19,2,FALSE),"Non Conf", "Conf")</f>
        <v>Conf</v>
      </c>
      <c r="G6" s="246">
        <f t="array" aca="1" ref="G6" ca="1">IF('Point Data'!$D6&gt;Standings!$Q$27,"",(COUNTIFS($D$2:$D$225,$D6,$AM$2:$AM$225,"&gt;"&amp;$AM6)+1))</f>
        <v>15</v>
      </c>
      <c r="H6" s="247">
        <f ca="1">IF('Point Data'!$D6&gt;Standings!$Q$27,"",$G5)</f>
        <v>13</v>
      </c>
      <c r="I6" s="249">
        <f ca="1">IF('Point Data'!D6&gt;Standings!$Q$27,"",H6-G6)</f>
        <v>-2</v>
      </c>
      <c r="J6" s="562">
        <f ca="1">IF('Point Data'!D6&gt;Standings!$Q$27,"",OFFSET('ESPN Data'!D$3,$A6,0,1,1))</f>
        <v>66.3</v>
      </c>
      <c r="K6" s="561">
        <f ca="1">IF('Point Data'!D6&gt;Standings!$Q$27,"",OFFSET('ESPN Data'!E$3,$A6,0,1,1))</f>
        <v>93.88</v>
      </c>
      <c r="L6" s="249">
        <f ca="1">IF('Point Data'!D6&gt;Standings!$Q$27,"",OFFSET('ESPN Data'!I$3,$A6,0,1,1))</f>
        <v>31</v>
      </c>
      <c r="M6" s="249">
        <f ca="1">IF('Point Data'!D6&gt;Standings!$Q$27,"",OFFSET('ESPN Data'!I$3,$A6,-2,1,1))</f>
        <v>3</v>
      </c>
      <c r="N6" s="249">
        <f ca="1">IF('Point Data'!D6&gt;Standings!$Q$27,"",SUMIFS($M$2:$M$225,$D$2:$D$225,D6,$C$2:$C$225,C6))</f>
        <v>65</v>
      </c>
      <c r="O6" s="249">
        <f ca="1">IF('Point Data'!D6&gt;Standings!$Q$27,"",SUMIFS($L$2:$L$225,$D$2:$D$225,$D6,$C$2:$C$225,$C6))</f>
        <v>502</v>
      </c>
      <c r="P6" s="249">
        <f ca="1">IF('Point Data'!D6&gt;Standings!$Q$27,"",SUMIFS($M$2:$M$225,$D$2:$D$225,D6))</f>
        <v>104</v>
      </c>
      <c r="Q6" s="249">
        <f ca="1">IF('Point Data'!D6&gt;Standings!$Q$27,"",SUMIFS($L$2:$L$225,$D$2:$D$225,D6))</f>
        <v>1039</v>
      </c>
      <c r="R6" s="249">
        <f ca="1">IF($D6&gt;Standings!$Q$27,"",IF(U6="T",(Z6+0.5)/(D6)*100,(Z6/D6)*100))</f>
        <v>20</v>
      </c>
      <c r="S6" s="248">
        <f ca="1">IF($D6&gt;Standings!$Q$27,"",$J6-$K6)</f>
        <v>-27.58</v>
      </c>
      <c r="T6" s="248">
        <f ca="1">IF($D6&gt;Standings!$Q$27,"",AVERAGE(OFFSET(S6,(-$D6+1),0,1,1):S6))</f>
        <v>-11.549999999999997</v>
      </c>
      <c r="U6" s="172">
        <f ca="1">IF($D6&gt;Standings!$Q$27,"",IF(J6&gt;K6,1,IF(J6=K6,"T",0)))</f>
        <v>0</v>
      </c>
      <c r="V6" s="172">
        <f ca="1">IF($D6&gt;Standings!$Q$27,"",IF(F6="Conf",V5,SUMIFS($U$2:$U$225,$D$2:$D$225,"&lt;="&amp;$D6,$B$2:$B$225,$B6,$F$2:$F$225,"Non Conf")))</f>
        <v>1</v>
      </c>
      <c r="W6" s="172" t="str">
        <f ca="1">IF($D6&gt;Standings!$Q$27,"",$V6&amp;"-"&amp;COUNTIF(OFFSET($F6,(-$D6+1),0,1,1):$F6,"Non Conf")-$V6)</f>
        <v>1-2</v>
      </c>
      <c r="X6" s="172">
        <f ca="1">IF($D6&gt;Standings!$Q$27,"",SUMIFS($U$2:$U$225,$D$2:$D$225,"&lt;="&amp;$D6,$B$2:$B$225,$B6,$F$2:$F$225,"Conf"))</f>
        <v>0</v>
      </c>
      <c r="Y6" s="172" t="str">
        <f ca="1">IF($D6&gt;Standings!$Q$27,"",$X6&amp;"-"&amp;COUNTIF(OFFSET($F6,(-$D6+1),0,1,1):$F6,"Conf")-$X6)</f>
        <v>0-2</v>
      </c>
      <c r="Z6" s="172">
        <f ca="1">IF($D6&gt;Standings!$Q$27,"",SUM(OFFSET(U6,(-$D6+1),0,1,1):U6))</f>
        <v>1</v>
      </c>
      <c r="AA6" s="172">
        <f ca="1">IF($D6&gt;Standings!$Q$27,"",IF(U6=1,1+AA5,0))</f>
        <v>0</v>
      </c>
      <c r="AB6" s="250">
        <f ca="1">IF($D6&gt;Standings!$Q$27,"",IF(AA6=0,1+AB5,0))</f>
        <v>2</v>
      </c>
      <c r="AC6" s="251">
        <f ca="1">IF($D6&gt;Standings!$Q$27,"",SUM(OFFSET(J6,(-$D6+1),0,1,1):J6))</f>
        <v>479.03000000000003</v>
      </c>
      <c r="AD6" s="248">
        <f ca="1">IF($D6&gt;Standings!$Q$27,"",SUM(OFFSET(K6,(-$D6+1),0,1,1):K6))</f>
        <v>536.78</v>
      </c>
      <c r="AE6" s="248">
        <f ca="1">IF($D6&gt;Standings!$Q$27,"",$J6-$K6)</f>
        <v>-27.58</v>
      </c>
      <c r="AF6" s="248">
        <f ca="1">IF($D6&gt;Standings!$Q$27,"",AC6-AD6)</f>
        <v>-57.749999999999943</v>
      </c>
      <c r="AG6" s="252">
        <f ca="1">IF($D6&gt;Standings!$Q$27,"",(COUNTIFS($D$2:$D$225,$D6,$C$2:$C$225,$C6,$AC$2:$AC$225,"&lt;"&amp;$AC6)+1)*0.01)</f>
        <v>0.02</v>
      </c>
      <c r="AH6" s="252">
        <f ca="1">IF($D6&gt;Standings!$Q$27,"",Z6+AG6)</f>
        <v>1.02</v>
      </c>
      <c r="AI6" s="252"/>
      <c r="AJ6" s="172">
        <f t="array" aca="1" ref="AJ6" ca="1">IF($D6&gt;Standings!$Q$27,"",(COUNTIFS($D$2:$D$225,$D6,$C$2:$C$225,$C6,$AM$2:$AM$225,"&gt;"&amp;$AM6)+1))</f>
        <v>8</v>
      </c>
      <c r="AK6" s="172">
        <f t="array" aca="1" ref="AK6" ca="1">IF($D6&gt;Standings!$Q$27,"",IF((COUNTIFS($D$2:$D$225,$D6,$C$2:$C$225,$C6,$AH$2:$AH$225,"&gt;"&amp;$AH6)+1)=2,1,0))</f>
        <v>0</v>
      </c>
      <c r="AL6" s="172">
        <f t="array" aca="1" ref="AL6" ca="1">IF($D6&gt;Standings!$Q$27,"",IF((COUNTIFS($D$2:$D$225,$D6,$C$2:$C$225,$C6,$AH$2:$AH$225,"&gt;"&amp;$AH6)+1)&lt;2,1,0))</f>
        <v>0</v>
      </c>
      <c r="AM6" s="172">
        <f ca="1">IF($D6&gt;Standings!$Q$27,"",IF(AL6=1,200+Z6+(16-AQ6)*0.01+AI6,IF(AK6=1,100+Z6+(16-AQ6)*0.01+AI6,IF(AN6=1,50+Z6+(16-AQ6)*0.01,IF(AO6=1,15+Z6+(16-AQ6)*0.01,Z6+(16-AQ6)*0.01+AI6)))))</f>
        <v>1.02</v>
      </c>
      <c r="AN6" s="172">
        <f ca="1">IF($D6&gt;Standings!$Q$27,"",IF(OR($AK6=1,$AL6=1),"Conf Playoff Spot",COUNTIFS($AL$2:$AL$225,0,$AK$2:$AK$225,0,$C$2:$C$225,$C6,$D$2:$D$225,$D6,$AC$2:$AC$225,"&gt;"&amp;$AC6)+1))</f>
        <v>5</v>
      </c>
      <c r="AO6" s="172">
        <f t="array" aca="1" ref="AO6" ca="1">IF($D6&gt;Standings!$Q$27,"",IF(OR($AK6=1,$AL6=1),"Conf Playoff Spot",COUNTIFS($AK$2:$AK$225,0,$AL$2:$AL$225,0,$D$2:$D$225,$D6,$Z$2:$Z$225,"&gt;"&amp;$Z6)+1))</f>
        <v>9</v>
      </c>
      <c r="AP6" s="172">
        <f t="array" aca="1" ref="AP6" ca="1">IF($D6&gt;Standings!$Q$27,"",(COUNTIFS($D$2:$D$225,$D6,$J$2:$J$225,"&gt;"&amp;$J6)+1))</f>
        <v>15</v>
      </c>
      <c r="AQ6" s="249">
        <f ca="1">IF($D6&gt;Standings!$Q$27,"",(COUNTIFS($D$2:$D$225,$D6,$AC$2:$AC$225,"&gt;"&amp;$AC6)+1))</f>
        <v>14</v>
      </c>
      <c r="AR6" s="249">
        <f ca="1">IF($D6&gt;Standings!$Q$27,"",(COUNTIFS($D$2:$D$225,$D6,$K$2:$K$225,"&gt;"&amp;$K6)+1))</f>
        <v>11</v>
      </c>
      <c r="AS6" s="249">
        <f ca="1">IF($D6&gt;Standings!$Q$27,"",(COUNTIFS($D$2:$D$225,$D6,$AD$2:$AD$225,"&gt;"&amp;$AD6)+1))</f>
        <v>9</v>
      </c>
      <c r="AT6" s="354">
        <f ca="1">IF($D6&gt;Standings!$Q$27,"",SUMIFS($J$2:$J$225,$D$2:$D$225,$D6,$C$2:$C$225,$C6))</f>
        <v>811.47</v>
      </c>
      <c r="AU6" s="253">
        <f ca="1">IF($D6&gt;Standings!$Q$27,"",SUMIFS($AC$2:$AC$225,$D$2:$D$225,$D6,$C$2:$C$225,$C6))</f>
        <v>4222.03</v>
      </c>
      <c r="AX6" s="169"/>
      <c r="AY6" s="169"/>
    </row>
    <row r="7" spans="1:51">
      <c r="A7" s="190">
        <v>80</v>
      </c>
      <c r="B7" s="198" t="str">
        <f>'ESPN Data'!$L$4</f>
        <v>Team 1</v>
      </c>
      <c r="C7" s="346" t="str">
        <f>VLOOKUP(B7,'ESPN Data'!$L$4:$M$19,2,FALSE)</f>
        <v>Bone</v>
      </c>
      <c r="D7" s="397">
        <v>6</v>
      </c>
      <c r="E7" s="267" t="str">
        <f t="array" ref="E7">INDEX('ESPN Data'!$C$3:$C$226,MATCH(1,('ESPN Data'!$A$3:$A$226='Point Data'!$D7)*('ESPN Data'!$B$3:$B$226='Point Data'!$B7),0))</f>
        <v>Team 8</v>
      </c>
      <c r="F7" s="250" t="str">
        <f>IF(C7&lt;&gt;VLOOKUP($E7,'ESPN Data'!$L$4:$M$19,2,FALSE),"Non Conf", "Conf")</f>
        <v>Conf</v>
      </c>
      <c r="G7" s="246">
        <f t="array" aca="1" ref="G7" ca="1">IF('Point Data'!$D7&gt;Standings!$Q$27,"",(COUNTIFS($D$2:$D$225,$D7,$AM$2:$AM$225,"&gt;"&amp;$AM7)+1))</f>
        <v>16</v>
      </c>
      <c r="H7" s="247">
        <f ca="1">IF('Point Data'!$D7&gt;Standings!$Q$27,"",$G6)</f>
        <v>15</v>
      </c>
      <c r="I7" s="249">
        <f ca="1">IF('Point Data'!D7&gt;Standings!$Q$27,"",H7-G7)</f>
        <v>-1</v>
      </c>
      <c r="J7" s="562">
        <f ca="1">IF('Point Data'!D7&gt;Standings!$Q$27,"",OFFSET('ESPN Data'!D$3,$A7,0,1,1))</f>
        <v>74.430000000000007</v>
      </c>
      <c r="K7" s="561">
        <f ca="1">IF('Point Data'!D7&gt;Standings!$Q$27,"",OFFSET('ESPN Data'!E$3,$A7,0,1,1))</f>
        <v>108.9</v>
      </c>
      <c r="L7" s="249">
        <f ca="1">IF('Point Data'!D7&gt;Standings!$Q$27,"",OFFSET('ESPN Data'!I$3,$A7,0,1,1))</f>
        <v>31</v>
      </c>
      <c r="M7" s="249">
        <f ca="1">IF('Point Data'!D7&gt;Standings!$Q$27,"",OFFSET('ESPN Data'!I$3,$A7,-2,1,1))</f>
        <v>0</v>
      </c>
      <c r="N7" s="249">
        <f ca="1">IF('Point Data'!D7&gt;Standings!$Q$27,"",SUMIFS($M$2:$M$225,$D$2:$D$225,D7,$C$2:$C$225,C7))</f>
        <v>116</v>
      </c>
      <c r="O7" s="249">
        <f ca="1">IF('Point Data'!D7&gt;Standings!$Q$27,"",SUMIFS($L$2:$L$225,$D$2:$D$225,$D7,$C$2:$C$225,$C7))</f>
        <v>386</v>
      </c>
      <c r="P7" s="249">
        <f ca="1">IF('Point Data'!D7&gt;Standings!$Q$27,"",SUMIFS($M$2:$M$225,$D$2:$D$225,D7))</f>
        <v>183</v>
      </c>
      <c r="Q7" s="249">
        <f ca="1">IF('Point Data'!D7&gt;Standings!$Q$27,"",SUMIFS($L$2:$L$225,$D$2:$D$225,D7))</f>
        <v>856</v>
      </c>
      <c r="R7" s="249">
        <f ca="1">IF($D7&gt;Standings!$Q$27,"",IF(U7="T",(Z7+0.5)/(D7)*100,(Z7/D7)*100))</f>
        <v>16.666666666666664</v>
      </c>
      <c r="S7" s="248">
        <f ca="1">IF($D7&gt;Standings!$Q$27,"",$J7-$K7)</f>
        <v>-34.47</v>
      </c>
      <c r="T7" s="248">
        <f ca="1">IF($D7&gt;Standings!$Q$27,"",AVERAGE(OFFSET(S7,(-$D7+1),0,1,1):S7))</f>
        <v>-15.369999999999997</v>
      </c>
      <c r="U7" s="172">
        <f ca="1">IF($D7&gt;Standings!$Q$27,"",IF(J7&gt;K7,1,IF(J7=K7,"T",0)))</f>
        <v>0</v>
      </c>
      <c r="V7" s="172">
        <f ca="1">IF($D7&gt;Standings!$Q$27,"",IF(F7="Conf",V6,SUMIFS($U$2:$U$225,$D$2:$D$225,"&lt;="&amp;$D7,$B$2:$B$225,$B7,$F$2:$F$225,"Non Conf")))</f>
        <v>1</v>
      </c>
      <c r="W7" s="172" t="str">
        <f ca="1">IF($D7&gt;Standings!$Q$27,"",$V7&amp;"-"&amp;COUNTIF(OFFSET($F7,(-$D7+1),0,1,1):$F7,"Non Conf")-$V7)</f>
        <v>1-2</v>
      </c>
      <c r="X7" s="172">
        <f ca="1">IF($D7&gt;Standings!$Q$27,"",SUMIFS($U$2:$U$225,$D$2:$D$225,"&lt;="&amp;$D7,$B$2:$B$225,$B7,$F$2:$F$225,"Conf"))</f>
        <v>0</v>
      </c>
      <c r="Y7" s="172" t="str">
        <f ca="1">IF($D7&gt;Standings!$Q$27,"",$X7&amp;"-"&amp;COUNTIF(OFFSET($F7,(-$D7+1),0,1,1):$F7,"Conf")-$X7)</f>
        <v>0-3</v>
      </c>
      <c r="Z7" s="172">
        <f ca="1">IF($D7&gt;Standings!$Q$27,"",SUM(OFFSET(U7,(-$D7+1),0,1,1):U7))</f>
        <v>1</v>
      </c>
      <c r="AA7" s="172">
        <f ca="1">IF($D7&gt;Standings!$Q$27,"",IF(U7=1,1+AA6,0))</f>
        <v>0</v>
      </c>
      <c r="AB7" s="250">
        <f ca="1">IF($D7&gt;Standings!$Q$27,"",IF(AA7=0,1+AB6,0))</f>
        <v>3</v>
      </c>
      <c r="AC7" s="251">
        <f ca="1">IF($D7&gt;Standings!$Q$27,"",SUM(OFFSET(J7,(-$D7+1),0,1,1):J7))</f>
        <v>553.46</v>
      </c>
      <c r="AD7" s="248">
        <f ca="1">IF($D7&gt;Standings!$Q$27,"",SUM(OFFSET(K7,(-$D7+1),0,1,1):K7))</f>
        <v>645.67999999999995</v>
      </c>
      <c r="AE7" s="248">
        <f ca="1">IF($D7&gt;Standings!$Q$27,"",$J7-$K7)</f>
        <v>-34.47</v>
      </c>
      <c r="AF7" s="248">
        <f ca="1">IF($D7&gt;Standings!$Q$27,"",AC7-AD7)</f>
        <v>-92.219999999999914</v>
      </c>
      <c r="AG7" s="252">
        <f ca="1">IF($D7&gt;Standings!$Q$27,"",(COUNTIFS($D$2:$D$225,$D7,$C$2:$C$225,$C7,$AC$2:$AC$225,"&lt;"&amp;$AC7)+1)*0.01)</f>
        <v>0.01</v>
      </c>
      <c r="AH7" s="252">
        <f ca="1">IF($D7&gt;Standings!$Q$27,"",Z7+AG7)</f>
        <v>1.01</v>
      </c>
      <c r="AI7" s="252"/>
      <c r="AJ7" s="172">
        <f t="array" aca="1" ref="AJ7" ca="1">IF($D7&gt;Standings!$Q$27,"",(COUNTIFS($D$2:$D$225,$D7,$C$2:$C$225,$C7,$AM$2:$AM$225,"&gt;"&amp;$AM7)+1))</f>
        <v>8</v>
      </c>
      <c r="AK7" s="172">
        <f t="array" aca="1" ref="AK7" ca="1">IF($D7&gt;Standings!$Q$27,"",IF((COUNTIFS($D$2:$D$225,$D7,$C$2:$C$225,$C7,$AH$2:$AH$225,"&gt;"&amp;$AH7)+1)=2,1,0))</f>
        <v>0</v>
      </c>
      <c r="AL7" s="172">
        <f t="array" aca="1" ref="AL7" ca="1">IF($D7&gt;Standings!$Q$27,"",IF((COUNTIFS($D$2:$D$225,$D7,$C$2:$C$225,$C7,$AH$2:$AH$225,"&gt;"&amp;$AH7)+1)&lt;2,1,0))</f>
        <v>0</v>
      </c>
      <c r="AM7" s="172">
        <f ca="1">IF($D7&gt;Standings!$Q$27,"",IF(AL7=1,200+Z7+(16-AQ7)*0.01+AI7,IF(AK7=1,100+Z7+(16-AQ7)*0.01+AI7,IF(AN7=1,50+Z7+(16-AQ7)*0.01,IF(AO7=1,15+Z7+(16-AQ7)*0.01,Z7+(16-AQ7)*0.01+AI7)))))</f>
        <v>1.01</v>
      </c>
      <c r="AN7" s="172">
        <f ca="1">IF($D7&gt;Standings!$Q$27,"",IF(OR($AK7=1,$AL7=1),"Conf Playoff Spot",COUNTIFS($AL$2:$AL$225,0,$AK$2:$AK$225,0,$C$2:$C$225,$C7,$D$2:$D$225,$D7,$AC$2:$AC$225,"&gt;"&amp;$AC7)+1))</f>
        <v>6</v>
      </c>
      <c r="AO7" s="172">
        <f t="array" aca="1" ref="AO7" ca="1">IF($D7&gt;Standings!$Q$27,"",IF(OR($AK7=1,$AL7=1),"Conf Playoff Spot",COUNTIFS($AK$2:$AK$225,0,$AL$2:$AL$225,0,$D$2:$D$225,$D7,$Z$2:$Z$225,"&gt;"&amp;$Z7)+1))</f>
        <v>11</v>
      </c>
      <c r="AP7" s="172">
        <f t="array" aca="1" ref="AP7" ca="1">IF($D7&gt;Standings!$Q$27,"",(COUNTIFS($D$2:$D$225,$D7,$J$2:$J$225,"&gt;"&amp;$J7)+1))</f>
        <v>13</v>
      </c>
      <c r="AQ7" s="249">
        <f ca="1">IF($D7&gt;Standings!$Q$27,"",(COUNTIFS($D$2:$D$225,$D7,$AC$2:$AC$225,"&gt;"&amp;$AC7)+1))</f>
        <v>15</v>
      </c>
      <c r="AR7" s="249">
        <f ca="1">IF($D7&gt;Standings!$Q$27,"",(COUNTIFS($D$2:$D$225,$D7,$K$2:$K$225,"&gt;"&amp;$K7)+1))</f>
        <v>6</v>
      </c>
      <c r="AS7" s="249">
        <f ca="1">IF($D7&gt;Standings!$Q$27,"",(COUNTIFS($D$2:$D$225,$D7,$AD$2:$AD$225,"&gt;"&amp;$AD7)+1))</f>
        <v>6</v>
      </c>
      <c r="AT7" s="354">
        <f ca="1">IF($D7&gt;Standings!$Q$27,"",SUMIFS($J$2:$J$225,$D$2:$D$225,$D7,$C$2:$C$225,$C7))</f>
        <v>782.35</v>
      </c>
      <c r="AU7" s="253">
        <f ca="1">IF($D7&gt;Standings!$Q$27,"",SUMIFS($AC$2:$AC$225,$D$2:$D$225,$D7,$C$2:$C$225,$C7))</f>
        <v>5004.38</v>
      </c>
      <c r="AX7" s="169"/>
      <c r="AY7" s="169"/>
    </row>
    <row r="8" spans="1:51">
      <c r="A8" s="190">
        <v>96</v>
      </c>
      <c r="B8" s="198" t="str">
        <f>'ESPN Data'!$L$4</f>
        <v>Team 1</v>
      </c>
      <c r="C8" s="346" t="str">
        <f>VLOOKUP(B8,'ESPN Data'!$L$4:$M$19,2,FALSE)</f>
        <v>Bone</v>
      </c>
      <c r="D8" s="397">
        <v>7</v>
      </c>
      <c r="E8" s="267" t="str">
        <f t="array" ref="E8">INDEX('ESPN Data'!$C$3:$C$226,MATCH(1,('ESPN Data'!$A$3:$A$226='Point Data'!$D8)*('ESPN Data'!$B$3:$B$226='Point Data'!$B8),0))</f>
        <v>Team 3</v>
      </c>
      <c r="F8" s="250" t="str">
        <f>IF(C8&lt;&gt;VLOOKUP($E8,'ESPN Data'!$L$4:$M$19,2,FALSE),"Non Conf", "Conf")</f>
        <v>Conf</v>
      </c>
      <c r="G8" s="246">
        <f t="array" aca="1" ref="G8" ca="1">IF('Point Data'!$D8&gt;Standings!$Q$27,"",(COUNTIFS($D$2:$D$225,$D8,$AM$2:$AM$225,"&gt;"&amp;$AM8)+1))</f>
        <v>16</v>
      </c>
      <c r="H8" s="247">
        <f ca="1">IF('Point Data'!$D8&gt;Standings!$Q$27,"",$G7)</f>
        <v>16</v>
      </c>
      <c r="I8" s="249">
        <f ca="1">IF('Point Data'!D8&gt;Standings!$Q$27,"",H8-G8)</f>
        <v>0</v>
      </c>
      <c r="J8" s="562">
        <f ca="1">IF('Point Data'!D8&gt;Standings!$Q$27,"",OFFSET('ESPN Data'!D$3,$A8,0,1,1))</f>
        <v>96.84</v>
      </c>
      <c r="K8" s="561">
        <f ca="1">IF('Point Data'!D8&gt;Standings!$Q$27,"",OFFSET('ESPN Data'!E$3,$A8,0,1,1))</f>
        <v>121.81</v>
      </c>
      <c r="L8" s="249">
        <f ca="1">IF('Point Data'!D8&gt;Standings!$Q$27,"",OFFSET('ESPN Data'!I$3,$A8,0,1,1))</f>
        <v>15</v>
      </c>
      <c r="M8" s="249">
        <f ca="1">IF('Point Data'!D8&gt;Standings!$Q$27,"",OFFSET('ESPN Data'!I$3,$A8,-2,1,1))</f>
        <v>16</v>
      </c>
      <c r="N8" s="249">
        <f ca="1">IF('Point Data'!D8&gt;Standings!$Q$27,"",SUMIFS($M$2:$M$225,$D$2:$D$225,D8,$C$2:$C$225,C8))</f>
        <v>28</v>
      </c>
      <c r="O8" s="249">
        <f ca="1">IF('Point Data'!D8&gt;Standings!$Q$27,"",SUMIFS($L$2:$L$225,$D$2:$D$225,$D8,$C$2:$C$225,$C8))</f>
        <v>358</v>
      </c>
      <c r="P8" s="249">
        <f ca="1">IF('Point Data'!D8&gt;Standings!$Q$27,"",SUMIFS($M$2:$M$225,$D$2:$D$225,D8))</f>
        <v>168</v>
      </c>
      <c r="Q8" s="249">
        <f ca="1">IF('Point Data'!D8&gt;Standings!$Q$27,"",SUMIFS($L$2:$L$225,$D$2:$D$225,D8))</f>
        <v>688</v>
      </c>
      <c r="R8" s="249">
        <f ca="1">IF($D8&gt;Standings!$Q$27,"",IF(U8="T",(Z8+0.5)/(D8)*100,(Z8/D8)*100))</f>
        <v>14.285714285714285</v>
      </c>
      <c r="S8" s="248">
        <f ca="1">IF($D8&gt;Standings!$Q$27,"",$J8-$K8)</f>
        <v>-24.97</v>
      </c>
      <c r="T8" s="248">
        <f ca="1">IF($D8&gt;Standings!$Q$27,"",AVERAGE(OFFSET(S8,(-$D8+1),0,1,1):S8))</f>
        <v>-16.741428571428568</v>
      </c>
      <c r="U8" s="172">
        <f ca="1">IF($D8&gt;Standings!$Q$27,"",IF(J8&gt;K8,1,IF(J8=K8,"T",0)))</f>
        <v>0</v>
      </c>
      <c r="V8" s="172">
        <f ca="1">IF($D8&gt;Standings!$Q$27,"",IF(F8="Conf",V7,SUMIFS($U$2:$U$225,$D$2:$D$225,"&lt;="&amp;$D8,$B$2:$B$225,$B8,$F$2:$F$225,"Non Conf")))</f>
        <v>1</v>
      </c>
      <c r="W8" s="172" t="str">
        <f ca="1">IF($D8&gt;Standings!$Q$27,"",$V8&amp;"-"&amp;COUNTIF(OFFSET($F8,(-$D8+1),0,1,1):$F8,"Non Conf")-$V8)</f>
        <v>1-2</v>
      </c>
      <c r="X8" s="172">
        <f ca="1">IF($D8&gt;Standings!$Q$27,"",SUMIFS($U$2:$U$225,$D$2:$D$225,"&lt;="&amp;$D8,$B$2:$B$225,$B8,$F$2:$F$225,"Conf"))</f>
        <v>0</v>
      </c>
      <c r="Y8" s="172" t="str">
        <f ca="1">IF($D8&gt;Standings!$Q$27,"",$X8&amp;"-"&amp;COUNTIF(OFFSET($F8,(-$D8+1),0,1,1):$F8,"Conf")-$X8)</f>
        <v>0-4</v>
      </c>
      <c r="Z8" s="172">
        <f ca="1">IF($D8&gt;Standings!$Q$27,"",SUM(OFFSET(U8,(-$D8+1),0,1,1):U8))</f>
        <v>1</v>
      </c>
      <c r="AA8" s="172">
        <f ca="1">IF($D8&gt;Standings!$Q$27,"",IF(U8=1,1+AA7,0))</f>
        <v>0</v>
      </c>
      <c r="AB8" s="250">
        <f ca="1">IF($D8&gt;Standings!$Q$27,"",IF(AA8=0,1+AB7,0))</f>
        <v>4</v>
      </c>
      <c r="AC8" s="251">
        <f ca="1">IF($D8&gt;Standings!$Q$27,"",SUM(OFFSET(J8,(-$D8+1),0,1,1):J8))</f>
        <v>650.30000000000007</v>
      </c>
      <c r="AD8" s="248">
        <f ca="1">IF($D8&gt;Standings!$Q$27,"",SUM(OFFSET(K8,(-$D8+1),0,1,1):K8))</f>
        <v>767.49</v>
      </c>
      <c r="AE8" s="248">
        <f ca="1">IF($D8&gt;Standings!$Q$27,"",$J8-$K8)</f>
        <v>-24.97</v>
      </c>
      <c r="AF8" s="248">
        <f ca="1">IF($D8&gt;Standings!$Q$27,"",AC8-AD8)</f>
        <v>-117.18999999999994</v>
      </c>
      <c r="AG8" s="252">
        <f ca="1">IF($D8&gt;Standings!$Q$27,"",(COUNTIFS($D$2:$D$225,$D8,$C$2:$C$225,$C8,$AC$2:$AC$225,"&lt;"&amp;$AC8)+1)*0.01)</f>
        <v>0.01</v>
      </c>
      <c r="AH8" s="252">
        <f ca="1">IF($D8&gt;Standings!$Q$27,"",Z8+AG8)</f>
        <v>1.01</v>
      </c>
      <c r="AI8" s="252"/>
      <c r="AJ8" s="172">
        <f t="array" aca="1" ref="AJ8" ca="1">IF($D8&gt;Standings!$Q$27,"",(COUNTIFS($D$2:$D$225,$D8,$C$2:$C$225,$C8,$AM$2:$AM$225,"&gt;"&amp;$AM8)+1))</f>
        <v>8</v>
      </c>
      <c r="AK8" s="172">
        <f t="array" aca="1" ref="AK8" ca="1">IF($D8&gt;Standings!$Q$27,"",IF((COUNTIFS($D$2:$D$225,$D8,$C$2:$C$225,$C8,$AH$2:$AH$225,"&gt;"&amp;$AH8)+1)=2,1,0))</f>
        <v>0</v>
      </c>
      <c r="AL8" s="172">
        <f t="array" aca="1" ref="AL8" ca="1">IF($D8&gt;Standings!$Q$27,"",IF((COUNTIFS($D$2:$D$225,$D8,$C$2:$C$225,$C8,$AH$2:$AH$225,"&gt;"&amp;$AH8)+1)&lt;2,1,0))</f>
        <v>0</v>
      </c>
      <c r="AM8" s="172">
        <f ca="1">IF($D8&gt;Standings!$Q$27,"",IF(AL8=1,200+Z8+(16-AQ8)*0.01+AI8,IF(AK8=1,100+Z8+(16-AQ8)*0.01+AI8,IF(AN8=1,50+Z8+(16-AQ8)*0.01,IF(AO8=1,15+Z8+(16-AQ8)*0.01,Z8+(16-AQ8)*0.01+AI8)))))</f>
        <v>1</v>
      </c>
      <c r="AN8" s="172">
        <f ca="1">IF($D8&gt;Standings!$Q$27,"",IF(OR($AK8=1,$AL8=1),"Conf Playoff Spot",COUNTIFS($AL$2:$AL$225,0,$AK$2:$AK$225,0,$C$2:$C$225,$C8,$D$2:$D$225,$D8,$AC$2:$AC$225,"&gt;"&amp;$AC8)+1))</f>
        <v>6</v>
      </c>
      <c r="AO8" s="172">
        <f t="array" aca="1" ref="AO8" ca="1">IF($D8&gt;Standings!$Q$27,"",IF(OR($AK8=1,$AL8=1),"Conf Playoff Spot",COUNTIFS($AK$2:$AK$225,0,$AL$2:$AL$225,0,$D$2:$D$225,$D8,$Z$2:$Z$225,"&gt;"&amp;$Z8)+1))</f>
        <v>12</v>
      </c>
      <c r="AP8" s="172">
        <f t="array" aca="1" ref="AP8" ca="1">IF($D8&gt;Standings!$Q$27,"",(COUNTIFS($D$2:$D$225,$D8,$J$2:$J$225,"&gt;"&amp;$J8)+1))</f>
        <v>9</v>
      </c>
      <c r="AQ8" s="249">
        <f ca="1">IF($D8&gt;Standings!$Q$27,"",(COUNTIFS($D$2:$D$225,$D8,$AC$2:$AC$225,"&gt;"&amp;$AC8)+1))</f>
        <v>16</v>
      </c>
      <c r="AR8" s="249">
        <f ca="1">IF($D8&gt;Standings!$Q$27,"",(COUNTIFS($D$2:$D$225,$D8,$K$2:$K$225,"&gt;"&amp;$K8)+1))</f>
        <v>4</v>
      </c>
      <c r="AS8" s="249">
        <f ca="1">IF($D8&gt;Standings!$Q$27,"",(COUNTIFS($D$2:$D$225,$D8,$AD$2:$AD$225,"&gt;"&amp;$AD8)+1))</f>
        <v>5</v>
      </c>
      <c r="AT8" s="354">
        <f ca="1">IF($D8&gt;Standings!$Q$27,"",SUMIFS($J$2:$J$225,$D$2:$D$225,$D8,$C$2:$C$225,$C8))</f>
        <v>939.21999999999991</v>
      </c>
      <c r="AU8" s="253">
        <f ca="1">IF($D8&gt;Standings!$Q$27,"",SUMIFS($AC$2:$AC$225,$D$2:$D$225,$D8,$C$2:$C$225,$C8))</f>
        <v>5943.6</v>
      </c>
      <c r="AX8" s="169"/>
      <c r="AY8" s="169"/>
    </row>
    <row r="9" spans="1:51">
      <c r="A9" s="16">
        <v>112</v>
      </c>
      <c r="B9" s="198" t="str">
        <f>'ESPN Data'!$L$4</f>
        <v>Team 1</v>
      </c>
      <c r="C9" s="346" t="str">
        <f>VLOOKUP(B9,'ESPN Data'!$L$4:$M$19,2,FALSE)</f>
        <v>Bone</v>
      </c>
      <c r="D9" s="397">
        <v>8</v>
      </c>
      <c r="E9" s="267" t="str">
        <f t="array" ref="E9">INDEX('ESPN Data'!$C$3:$C$226,MATCH(1,('ESPN Data'!$A$3:$A$226='Point Data'!$D9)*('ESPN Data'!$B$3:$B$226='Point Data'!$B9),0))</f>
        <v>Team 16</v>
      </c>
      <c r="F9" s="250" t="str">
        <f>IF(C9&lt;&gt;VLOOKUP($E9,'ESPN Data'!$L$4:$M$19,2,FALSE),"Non Conf", "Conf")</f>
        <v>Non Conf</v>
      </c>
      <c r="G9" s="246">
        <f t="array" aca="1" ref="G9" ca="1">IF('Point Data'!$D9&gt;Standings!$Q$27,"",(COUNTIFS($D$2:$D$225,$D9,$AM$2:$AM$225,"&gt;"&amp;$AM9)+1))</f>
        <v>16</v>
      </c>
      <c r="H9" s="247">
        <f ca="1">IF('Point Data'!$D9&gt;Standings!$Q$27,"",$G8)</f>
        <v>16</v>
      </c>
      <c r="I9" s="249">
        <f ca="1">IF('Point Data'!D9&gt;Standings!$Q$27,"",H9-G9)</f>
        <v>0</v>
      </c>
      <c r="J9" s="562">
        <f ca="1">IF('Point Data'!D9&gt;Standings!$Q$27,"",OFFSET('ESPN Data'!D$3,$A9,0,1,1))</f>
        <v>67.86</v>
      </c>
      <c r="K9" s="561">
        <f ca="1">IF('Point Data'!D9&gt;Standings!$Q$27,"",OFFSET('ESPN Data'!E$3,$A9,0,1,1))</f>
        <v>67.62</v>
      </c>
      <c r="L9" s="249">
        <f ca="1">IF('Point Data'!D9&gt;Standings!$Q$27,"",OFFSET('ESPN Data'!I$3,$A9,0,1,1))</f>
        <v>15</v>
      </c>
      <c r="M9" s="249">
        <f ca="1">IF('Point Data'!D9&gt;Standings!$Q$27,"",OFFSET('ESPN Data'!I$3,$A9,-2,1,1))</f>
        <v>0</v>
      </c>
      <c r="N9" s="249">
        <f ca="1">IF('Point Data'!D9&gt;Standings!$Q$27,"",SUMIFS($M$2:$M$225,$D$2:$D$225,D9,$C$2:$C$225,C9))</f>
        <v>18</v>
      </c>
      <c r="O9" s="249">
        <f ca="1">IF('Point Data'!D9&gt;Standings!$Q$27,"",SUMIFS($L$2:$L$225,$D$2:$D$225,$D9,$C$2:$C$225,$C9))</f>
        <v>340</v>
      </c>
      <c r="P9" s="249">
        <f ca="1">IF('Point Data'!D9&gt;Standings!$Q$27,"",SUMIFS($M$2:$M$225,$D$2:$D$225,D9))</f>
        <v>80</v>
      </c>
      <c r="Q9" s="249">
        <f ca="1">IF('Point Data'!D9&gt;Standings!$Q$27,"",SUMIFS($L$2:$L$225,$D$2:$D$225,D9))</f>
        <v>608</v>
      </c>
      <c r="R9" s="249">
        <f ca="1">IF($D9&gt;Standings!$Q$27,"",IF(U9="T",(Z9+0.5)/(D9)*100,(Z9/D9)*100))</f>
        <v>25</v>
      </c>
      <c r="S9" s="248">
        <f ca="1">IF($D9&gt;Standings!$Q$27,"",$J9-$K9)</f>
        <v>0.23999999999999488</v>
      </c>
      <c r="T9" s="248">
        <f ca="1">IF($D9&gt;Standings!$Q$27,"",AVERAGE(OFFSET(S9,(-$D9+1),0,1,1):S9))</f>
        <v>-14.618749999999999</v>
      </c>
      <c r="U9" s="172">
        <f ca="1">IF($D9&gt;Standings!$Q$27,"",IF(J9&gt;K9,1,IF(J9=K9,"T",0)))</f>
        <v>1</v>
      </c>
      <c r="V9" s="172">
        <f ca="1">IF($D9&gt;Standings!$Q$27,"",IF(F9="Conf",V8,SUMIFS($U$2:$U$225,$D$2:$D$225,"&lt;="&amp;$D9,$B$2:$B$225,$B9,$F$2:$F$225,"Non Conf")))</f>
        <v>2</v>
      </c>
      <c r="W9" s="172" t="str">
        <f ca="1">IF($D9&gt;Standings!$Q$27,"",$V9&amp;"-"&amp;COUNTIF(OFFSET($F9,(-$D9+1),0,1,1):$F9,"Non Conf")-$V9)</f>
        <v>2-2</v>
      </c>
      <c r="X9" s="172">
        <f ca="1">IF($D9&gt;Standings!$Q$27,"",SUMIFS($U$2:$U$225,$D$2:$D$225,"&lt;="&amp;$D9,$B$2:$B$225,$B9,$F$2:$F$225,"Conf"))</f>
        <v>0</v>
      </c>
      <c r="Y9" s="172" t="str">
        <f ca="1">IF($D9&gt;Standings!$Q$27,"",$X9&amp;"-"&amp;COUNTIF(OFFSET($F9,(-$D9+1),0,1,1):$F9,"Conf")-$X9)</f>
        <v>0-4</v>
      </c>
      <c r="Z9" s="172">
        <f ca="1">IF($D9&gt;Standings!$Q$27,"",SUM(OFFSET(U9,(-$D9+1),0,1,1):U9))</f>
        <v>2</v>
      </c>
      <c r="AA9" s="172">
        <f ca="1">IF($D9&gt;Standings!$Q$27,"",IF(U9=1,1+AA8,0))</f>
        <v>1</v>
      </c>
      <c r="AB9" s="250">
        <f ca="1">IF($D9&gt;Standings!$Q$27,"",IF(AA9=0,1+AB8,0))</f>
        <v>0</v>
      </c>
      <c r="AC9" s="251">
        <f ca="1">IF($D9&gt;Standings!$Q$27,"",SUM(OFFSET(J9,(-$D9+1),0,1,1):J9))</f>
        <v>718.16000000000008</v>
      </c>
      <c r="AD9" s="248">
        <f ca="1">IF($D9&gt;Standings!$Q$27,"",SUM(OFFSET(K9,(-$D9+1),0,1,1):K9))</f>
        <v>835.11</v>
      </c>
      <c r="AE9" s="248">
        <f ca="1">IF($D9&gt;Standings!$Q$27,"",$J9-$K9)</f>
        <v>0.23999999999999488</v>
      </c>
      <c r="AF9" s="248">
        <f ca="1">IF($D9&gt;Standings!$Q$27,"",AC9-AD9)</f>
        <v>-116.94999999999993</v>
      </c>
      <c r="AG9" s="252">
        <f ca="1">IF($D9&gt;Standings!$Q$27,"",(COUNTIFS($D$2:$D$225,$D9,$C$2:$C$225,$C9,$AC$2:$AC$225,"&lt;"&amp;$AC9)+1)*0.01)</f>
        <v>0.01</v>
      </c>
      <c r="AH9" s="252">
        <f ca="1">IF($D9&gt;Standings!$Q$27,"",Z9+AG9)</f>
        <v>2.0099999999999998</v>
      </c>
      <c r="AI9" s="252"/>
      <c r="AJ9" s="172">
        <f t="array" aca="1" ref="AJ9" ca="1">IF($D9&gt;Standings!$Q$27,"",(COUNTIFS($D$2:$D$225,$D9,$C$2:$C$225,$C9,$AM$2:$AM$225,"&gt;"&amp;$AM9)+1))</f>
        <v>8</v>
      </c>
      <c r="AK9" s="172">
        <f t="array" aca="1" ref="AK9" ca="1">IF($D9&gt;Standings!$Q$27,"",IF((COUNTIFS($D$2:$D$225,$D9,$C$2:$C$225,$C9,$AH$2:$AH$225,"&gt;"&amp;$AH9)+1)=2,1,0))</f>
        <v>0</v>
      </c>
      <c r="AL9" s="172">
        <f t="array" aca="1" ref="AL9" ca="1">IF($D9&gt;Standings!$Q$27,"",IF((COUNTIFS($D$2:$D$225,$D9,$C$2:$C$225,$C9,$AH$2:$AH$225,"&gt;"&amp;$AH9)+1)&lt;2,1,0))</f>
        <v>0</v>
      </c>
      <c r="AM9" s="172">
        <f ca="1">IF($D9&gt;Standings!$Q$27,"",IF(AL9=1,200+Z9+(16-AQ9)*0.01+AI9,IF(AK9=1,100+Z9+(16-AQ9)*0.01+AI9,IF(AN9=1,50+Z9+(16-AQ9)*0.01,IF(AO9=1,15+Z9+(16-AQ9)*0.01,Z9+(16-AQ9)*0.01+AI9)))))</f>
        <v>2</v>
      </c>
      <c r="AN9" s="172">
        <f ca="1">IF($D9&gt;Standings!$Q$27,"",IF(OR($AK9=1,$AL9=1),"Conf Playoff Spot",COUNTIFS($AL$2:$AL$225,0,$AK$2:$AK$225,0,$C$2:$C$225,$C9,$D$2:$D$225,$D9,$AC$2:$AC$225,"&gt;"&amp;$AC9)+1))</f>
        <v>6</v>
      </c>
      <c r="AO9" s="172">
        <f t="array" aca="1" ref="AO9" ca="1">IF($D9&gt;Standings!$Q$27,"",IF(OR($AK9=1,$AL9=1),"Conf Playoff Spot",COUNTIFS($AK$2:$AK$225,0,$AL$2:$AL$225,0,$D$2:$D$225,$D9,$Z$2:$Z$225,"&gt;"&amp;$Z9)+1))</f>
        <v>11</v>
      </c>
      <c r="AP9" s="172">
        <f t="array" aca="1" ref="AP9" ca="1">IF($D9&gt;Standings!$Q$27,"",(COUNTIFS($D$2:$D$225,$D9,$J$2:$J$225,"&gt;"&amp;$J9)+1))</f>
        <v>15</v>
      </c>
      <c r="AQ9" s="249">
        <f ca="1">IF($D9&gt;Standings!$Q$27,"",(COUNTIFS($D$2:$D$225,$D9,$AC$2:$AC$225,"&gt;"&amp;$AC9)+1))</f>
        <v>16</v>
      </c>
      <c r="AR9" s="249">
        <f ca="1">IF($D9&gt;Standings!$Q$27,"",(COUNTIFS($D$2:$D$225,$D9,$K$2:$K$225,"&gt;"&amp;$K9)+1))</f>
        <v>16</v>
      </c>
      <c r="AS9" s="249">
        <f ca="1">IF($D9&gt;Standings!$Q$27,"",(COUNTIFS($D$2:$D$225,$D9,$AD$2:$AD$225,"&gt;"&amp;$AD9)+1))</f>
        <v>8</v>
      </c>
      <c r="AT9" s="354">
        <f ca="1">IF($D9&gt;Standings!$Q$27,"",SUMIFS($J$2:$J$225,$D$2:$D$225,$D9,$C$2:$C$225,$C9))</f>
        <v>724.6400000000001</v>
      </c>
      <c r="AU9" s="253">
        <f ca="1">IF($D9&gt;Standings!$Q$27,"",SUMIFS($AC$2:$AC$225,$D$2:$D$225,$D9,$C$2:$C$225,$C9))</f>
        <v>6668.24</v>
      </c>
      <c r="AX9" s="169"/>
      <c r="AY9" s="169"/>
    </row>
    <row r="10" spans="1:51">
      <c r="A10" s="190">
        <v>128</v>
      </c>
      <c r="B10" s="198" t="str">
        <f>'ESPN Data'!$L$4</f>
        <v>Team 1</v>
      </c>
      <c r="C10" s="346" t="str">
        <f>VLOOKUP(B10,'ESPN Data'!$L$4:$M$19,2,FALSE)</f>
        <v>Bone</v>
      </c>
      <c r="D10" s="397">
        <v>9</v>
      </c>
      <c r="E10" s="267" t="str">
        <f t="array" ref="E10">INDEX('ESPN Data'!$C$3:$C$226,MATCH(1,('ESPN Data'!$A$3:$A$226='Point Data'!$D10)*('ESPN Data'!$B$3:$B$226='Point Data'!$B10),0))</f>
        <v>Team 2</v>
      </c>
      <c r="F10" s="250" t="str">
        <f>IF(C10&lt;&gt;VLOOKUP($E10,'ESPN Data'!$L$4:$M$19,2,FALSE),"Non Conf", "Conf")</f>
        <v>Conf</v>
      </c>
      <c r="G10" s="246">
        <f t="array" aca="1" ref="G10" ca="1">IF('Point Data'!$D10&gt;Standings!$Q$27,"",(COUNTIFS($D$2:$D$225,$D10,$AM$2:$AM$225,"&gt;"&amp;$AM10)+1))</f>
        <v>16</v>
      </c>
      <c r="H10" s="247">
        <f ca="1">IF('Point Data'!$D10&gt;Standings!$Q$27,"",$G9)</f>
        <v>16</v>
      </c>
      <c r="I10" s="249">
        <f ca="1">IF('Point Data'!D10&gt;Standings!$Q$27,"",H10-G10)</f>
        <v>0</v>
      </c>
      <c r="J10" s="562">
        <f ca="1">IF('Point Data'!D10&gt;Standings!$Q$27,"",OFFSET('ESPN Data'!D$3,$A10,0,1,1))</f>
        <v>76.75</v>
      </c>
      <c r="K10" s="561">
        <f ca="1">IF('Point Data'!D10&gt;Standings!$Q$27,"",OFFSET('ESPN Data'!E$3,$A10,0,1,1))</f>
        <v>105.85</v>
      </c>
      <c r="L10" s="249">
        <f ca="1">IF('Point Data'!D10&gt;Standings!$Q$27,"",OFFSET('ESPN Data'!I$3,$A10,0,1,1))</f>
        <v>15</v>
      </c>
      <c r="M10" s="249">
        <f ca="1">IF('Point Data'!D10&gt;Standings!$Q$27,"",OFFSET('ESPN Data'!I$3,$A10,-2,1,1))</f>
        <v>0</v>
      </c>
      <c r="N10" s="249">
        <f ca="1">IF('Point Data'!D10&gt;Standings!$Q$27,"",SUMIFS($M$2:$M$225,$D$2:$D$225,D10,$C$2:$C$225,C10))</f>
        <v>35</v>
      </c>
      <c r="O10" s="249">
        <f ca="1">IF('Point Data'!D10&gt;Standings!$Q$27,"",SUMIFS($L$2:$L$225,$D$2:$D$225,$D10,$C$2:$C$225,$C10))</f>
        <v>305</v>
      </c>
      <c r="P10" s="249">
        <f ca="1">IF('Point Data'!D10&gt;Standings!$Q$27,"",SUMIFS($M$2:$M$225,$D$2:$D$225,D10))</f>
        <v>63</v>
      </c>
      <c r="Q10" s="249">
        <f ca="1">IF('Point Data'!D10&gt;Standings!$Q$27,"",SUMIFS($L$2:$L$225,$D$2:$D$225,D10))</f>
        <v>545</v>
      </c>
      <c r="R10" s="249">
        <f ca="1">IF($D10&gt;Standings!$Q$27,"",IF(U10="T",(Z10+0.5)/(D10)*100,(Z10/D10)*100))</f>
        <v>22.222222222222221</v>
      </c>
      <c r="S10" s="248">
        <f ca="1">IF($D10&gt;Standings!$Q$27,"",$J10-$K10)</f>
        <v>-29.099999999999994</v>
      </c>
      <c r="T10" s="248">
        <f ca="1">IF($D10&gt;Standings!$Q$27,"",AVERAGE(OFFSET(S10,(-$D10+1),0,1,1):S10))</f>
        <v>-16.227777777777774</v>
      </c>
      <c r="U10" s="172">
        <f ca="1">IF($D10&gt;Standings!$Q$27,"",IF(J10&gt;K10,1,IF(J10=K10,"T",0)))</f>
        <v>0</v>
      </c>
      <c r="V10" s="172">
        <f ca="1">IF($D10&gt;Standings!$Q$27,"",IF(F10="Conf",V9,SUMIFS($U$2:$U$225,$D$2:$D$225,"&lt;="&amp;$D10,$B$2:$B$225,$B10,$F$2:$F$225,"Non Conf")))</f>
        <v>2</v>
      </c>
      <c r="W10" s="172" t="str">
        <f ca="1">IF($D10&gt;Standings!$Q$27,"",$V10&amp;"-"&amp;COUNTIF(OFFSET($F10,(-$D10+1),0,1,1):$F10,"Non Conf")-$V10)</f>
        <v>2-2</v>
      </c>
      <c r="X10" s="172">
        <f ca="1">IF($D10&gt;Standings!$Q$27,"",SUMIFS($U$2:$U$225,$D$2:$D$225,"&lt;="&amp;$D10,$B$2:$B$225,$B10,$F$2:$F$225,"Conf"))</f>
        <v>0</v>
      </c>
      <c r="Y10" s="172" t="str">
        <f ca="1">IF($D10&gt;Standings!$Q$27,"",$X10&amp;"-"&amp;COUNTIF(OFFSET($F10,(-$D10+1),0,1,1):$F10,"Conf")-$X10)</f>
        <v>0-5</v>
      </c>
      <c r="Z10" s="172">
        <f ca="1">IF($D10&gt;Standings!$Q$27,"",SUM(OFFSET(U10,(-$D10+1),0,1,1):U10))</f>
        <v>2</v>
      </c>
      <c r="AA10" s="172">
        <f ca="1">IF($D10&gt;Standings!$Q$27,"",IF(U10=1,1+AA9,0))</f>
        <v>0</v>
      </c>
      <c r="AB10" s="250">
        <f ca="1">IF($D10&gt;Standings!$Q$27,"",IF(AA10=0,1+AB9,0))</f>
        <v>1</v>
      </c>
      <c r="AC10" s="251">
        <f ca="1">IF($D10&gt;Standings!$Q$27,"",SUM(OFFSET(J10,(-$D10+1),0,1,1):J10))</f>
        <v>794.91000000000008</v>
      </c>
      <c r="AD10" s="248">
        <f ca="1">IF($D10&gt;Standings!$Q$27,"",SUM(OFFSET(K10,(-$D10+1),0,1,1):K10))</f>
        <v>940.96</v>
      </c>
      <c r="AE10" s="248">
        <f ca="1">IF($D10&gt;Standings!$Q$27,"",$J10-$K10)</f>
        <v>-29.099999999999994</v>
      </c>
      <c r="AF10" s="248">
        <f ca="1">IF($D10&gt;Standings!$Q$27,"",AC10-AD10)</f>
        <v>-146.04999999999995</v>
      </c>
      <c r="AG10" s="252">
        <f ca="1">IF($D10&gt;Standings!$Q$27,"",(COUNTIFS($D$2:$D$225,$D10,$C$2:$C$225,$C10,$AC$2:$AC$225,"&lt;"&amp;$AC10)+1)*0.01)</f>
        <v>0.01</v>
      </c>
      <c r="AH10" s="252">
        <f ca="1">IF($D10&gt;Standings!$Q$27,"",Z10+AG10)</f>
        <v>2.0099999999999998</v>
      </c>
      <c r="AI10" s="252"/>
      <c r="AJ10" s="172">
        <f t="array" aca="1" ref="AJ10" ca="1">IF($D10&gt;Standings!$Q$27,"",(COUNTIFS($D$2:$D$225,$D10,$C$2:$C$225,$C10,$AM$2:$AM$225,"&gt;"&amp;$AM10)+1))</f>
        <v>8</v>
      </c>
      <c r="AK10" s="172">
        <f t="array" aca="1" ref="AK10" ca="1">IF($D10&gt;Standings!$Q$27,"",IF((COUNTIFS($D$2:$D$225,$D10,$C$2:$C$225,$C10,$AH$2:$AH$225,"&gt;"&amp;$AH10)+1)=2,1,0))</f>
        <v>0</v>
      </c>
      <c r="AL10" s="172">
        <f t="array" aca="1" ref="AL10" ca="1">IF($D10&gt;Standings!$Q$27,"",IF((COUNTIFS($D$2:$D$225,$D10,$C$2:$C$225,$C10,$AH$2:$AH$225,"&gt;"&amp;$AH10)+1)&lt;2,1,0))</f>
        <v>0</v>
      </c>
      <c r="AM10" s="172">
        <f ca="1">IF($D10&gt;Standings!$Q$27,"",IF(AL10=1,200+Z10+(16-AQ10)*0.01+AI10,IF(AK10=1,100+Z10+(16-AQ10)*0.01+AI10,IF(AN10=1,50+Z10+(16-AQ10)*0.01,IF(AO10=1,15+Z10+(16-AQ10)*0.01,Z10+(16-AQ10)*0.01+AI10)))))</f>
        <v>2</v>
      </c>
      <c r="AN10" s="172">
        <f ca="1">IF($D10&gt;Standings!$Q$27,"",IF(OR($AK10=1,$AL10=1),"Conf Playoff Spot",COUNTIFS($AL$2:$AL$225,0,$AK$2:$AK$225,0,$C$2:$C$225,$C10,$D$2:$D$225,$D10,$AC$2:$AC$225,"&gt;"&amp;$AC10)+1))</f>
        <v>6</v>
      </c>
      <c r="AO10" s="172">
        <f t="array" aca="1" ref="AO10" ca="1">IF($D10&gt;Standings!$Q$27,"",IF(OR($AK10=1,$AL10=1),"Conf Playoff Spot",COUNTIFS($AK$2:$AK$225,0,$AL$2:$AL$225,0,$D$2:$D$225,$D10,$Z$2:$Z$225,"&gt;"&amp;$Z10)+1))</f>
        <v>11</v>
      </c>
      <c r="AP10" s="172">
        <f t="array" aca="1" ref="AP10" ca="1">IF($D10&gt;Standings!$Q$27,"",(COUNTIFS($D$2:$D$225,$D10,$J$2:$J$225,"&gt;"&amp;$J10)+1))</f>
        <v>14</v>
      </c>
      <c r="AQ10" s="249">
        <f ca="1">IF($D10&gt;Standings!$Q$27,"",(COUNTIFS($D$2:$D$225,$D10,$AC$2:$AC$225,"&gt;"&amp;$AC10)+1))</f>
        <v>16</v>
      </c>
      <c r="AR10" s="249">
        <f ca="1">IF($D10&gt;Standings!$Q$27,"",(COUNTIFS($D$2:$D$225,$D10,$K$2:$K$225,"&gt;"&amp;$K10)+1))</f>
        <v>6</v>
      </c>
      <c r="AS10" s="249">
        <f ca="1">IF($D10&gt;Standings!$Q$27,"",(COUNTIFS($D$2:$D$225,$D10,$AD$2:$AD$225,"&gt;"&amp;$AD10)+1))</f>
        <v>9</v>
      </c>
      <c r="AT10" s="354">
        <f ca="1">IF($D10&gt;Standings!$Q$27,"",SUMIFS($J$2:$J$225,$D$2:$D$225,$D10,$C$2:$C$225,$C10))</f>
        <v>780.12</v>
      </c>
      <c r="AU10" s="253">
        <f ca="1">IF($D10&gt;Standings!$Q$27,"",SUMIFS($AC$2:$AC$225,$D$2:$D$225,$D10,$C$2:$C$225,$C10))</f>
        <v>7448.3600000000006</v>
      </c>
      <c r="AX10" s="176"/>
      <c r="AY10" s="176"/>
    </row>
    <row r="11" spans="1:51">
      <c r="A11" s="190">
        <v>144</v>
      </c>
      <c r="B11" s="198" t="str">
        <f>'ESPN Data'!$L$4</f>
        <v>Team 1</v>
      </c>
      <c r="C11" s="346" t="str">
        <f>VLOOKUP(B11,'ESPN Data'!$L$4:$M$19,2,FALSE)</f>
        <v>Bone</v>
      </c>
      <c r="D11" s="397">
        <v>10</v>
      </c>
      <c r="E11" s="267" t="str">
        <f t="array" ref="E11">INDEX('ESPN Data'!$C$3:$C$226,MATCH(1,('ESPN Data'!$A$3:$A$226='Point Data'!$D11)*('ESPN Data'!$B$3:$B$226='Point Data'!$B11),0))</f>
        <v>Team 9</v>
      </c>
      <c r="F11" s="250" t="str">
        <f>IF(C11&lt;&gt;VLOOKUP($E11,'ESPN Data'!$L$4:$M$19,2,FALSE),"Non Conf", "Conf")</f>
        <v>Non Conf</v>
      </c>
      <c r="G11" s="246">
        <f t="array" aca="1" ref="G11" ca="1">IF('Point Data'!$D11&gt;Standings!$Q$27,"",(COUNTIFS($D$2:$D$225,$D11,$AM$2:$AM$225,"&gt;"&amp;$AM11)+1))</f>
        <v>16</v>
      </c>
      <c r="H11" s="247">
        <f ca="1">IF('Point Data'!$D11&gt;Standings!$Q$27,"",$G10)</f>
        <v>16</v>
      </c>
      <c r="I11" s="249">
        <f ca="1">IF('Point Data'!D11&gt;Standings!$Q$27,"",H11-G11)</f>
        <v>0</v>
      </c>
      <c r="J11" s="562">
        <f ca="1">IF('Point Data'!D11&gt;Standings!$Q$27,"",OFFSET('ESPN Data'!D$3,$A11,0,1,1))</f>
        <v>73.91</v>
      </c>
      <c r="K11" s="561">
        <f ca="1">IF('Point Data'!D11&gt;Standings!$Q$27,"",OFFSET('ESPN Data'!E$3,$A11,0,1,1))</f>
        <v>124.62</v>
      </c>
      <c r="L11" s="249">
        <f ca="1">IF('Point Data'!D11&gt;Standings!$Q$27,"",OFFSET('ESPN Data'!I$3,$A11,0,1,1))</f>
        <v>15</v>
      </c>
      <c r="M11" s="249">
        <f ca="1">IF('Point Data'!D11&gt;Standings!$Q$27,"",OFFSET('ESPN Data'!I$3,$A11,-2,1,1))</f>
        <v>0</v>
      </c>
      <c r="N11" s="249">
        <f ca="1">IF('Point Data'!D11&gt;Standings!$Q$27,"",SUMIFS($M$2:$M$225,$D$2:$D$225,D11,$C$2:$C$225,C11))</f>
        <v>19</v>
      </c>
      <c r="O11" s="249">
        <f ca="1">IF('Point Data'!D11&gt;Standings!$Q$27,"",SUMIFS($L$2:$L$225,$D$2:$D$225,$D11,$C$2:$C$225,$C11))</f>
        <v>286</v>
      </c>
      <c r="P11" s="249">
        <f ca="1">IF('Point Data'!D11&gt;Standings!$Q$27,"",SUMIFS($M$2:$M$225,$D$2:$D$225,D11))</f>
        <v>32</v>
      </c>
      <c r="Q11" s="249">
        <f ca="1">IF('Point Data'!D11&gt;Standings!$Q$27,"",SUMIFS($L$2:$L$225,$D$2:$D$225,D11))</f>
        <v>513</v>
      </c>
      <c r="R11" s="249">
        <f ca="1">IF($D11&gt;Standings!$Q$27,"",IF(U11="T",(Z11+0.5)/(D11)*100,(Z11/D11)*100))</f>
        <v>20</v>
      </c>
      <c r="S11" s="248">
        <f ca="1">IF($D11&gt;Standings!$Q$27,"",$J11-$K11)</f>
        <v>-50.710000000000008</v>
      </c>
      <c r="T11" s="248">
        <f ca="1">IF($D11&gt;Standings!$Q$27,"",AVERAGE(OFFSET(S11,(-$D11+1),0,1,1):S11))</f>
        <v>-19.675999999999998</v>
      </c>
      <c r="U11" s="172">
        <f ca="1">IF($D11&gt;Standings!$Q$27,"",IF(J11&gt;K11,1,IF(J11=K11,"T",0)))</f>
        <v>0</v>
      </c>
      <c r="V11" s="172">
        <f ca="1">IF($D11&gt;Standings!$Q$27,"",IF(F11="Conf",V10,SUMIFS($U$2:$U$225,$D$2:$D$225,"&lt;="&amp;$D11,$B$2:$B$225,$B11,$F$2:$F$225,"Non Conf")))</f>
        <v>2</v>
      </c>
      <c r="W11" s="172" t="str">
        <f ca="1">IF($D11&gt;Standings!$Q$27,"",$V11&amp;"-"&amp;COUNTIF(OFFSET($F11,(-$D11+1),0,1,1):$F11,"Non Conf")-$V11)</f>
        <v>2-3</v>
      </c>
      <c r="X11" s="172">
        <f ca="1">IF($D11&gt;Standings!$Q$27,"",SUMIFS($U$2:$U$225,$D$2:$D$225,"&lt;="&amp;$D11,$B$2:$B$225,$B11,$F$2:$F$225,"Conf"))</f>
        <v>0</v>
      </c>
      <c r="Y11" s="172" t="str">
        <f ca="1">IF($D11&gt;Standings!$Q$27,"",$X11&amp;"-"&amp;COUNTIF(OFFSET($F11,(-$D11+1),0,1,1):$F11,"Conf")-$X11)</f>
        <v>0-5</v>
      </c>
      <c r="Z11" s="172">
        <f ca="1">IF($D11&gt;Standings!$Q$27,"",SUM(OFFSET(U11,(-$D11+1),0,1,1):U11))</f>
        <v>2</v>
      </c>
      <c r="AA11" s="172">
        <f ca="1">IF($D11&gt;Standings!$Q$27,"",IF(U11=1,1+AA10,0))</f>
        <v>0</v>
      </c>
      <c r="AB11" s="250">
        <f ca="1">IF($D11&gt;Standings!$Q$27,"",IF(AA11=0,1+AB10,0))</f>
        <v>2</v>
      </c>
      <c r="AC11" s="251">
        <f ca="1">IF($D11&gt;Standings!$Q$27,"",SUM(OFFSET(J11,(-$D11+1),0,1,1):J11))</f>
        <v>868.82</v>
      </c>
      <c r="AD11" s="248">
        <f ca="1">IF($D11&gt;Standings!$Q$27,"",SUM(OFFSET(K11,(-$D11+1),0,1,1):K11))</f>
        <v>1065.58</v>
      </c>
      <c r="AE11" s="248">
        <f ca="1">IF($D11&gt;Standings!$Q$27,"",$J11-$K11)</f>
        <v>-50.710000000000008</v>
      </c>
      <c r="AF11" s="248">
        <f ca="1">IF($D11&gt;Standings!$Q$27,"",AC11-AD11)</f>
        <v>-196.75999999999988</v>
      </c>
      <c r="AG11" s="252">
        <f ca="1">IF($D11&gt;Standings!$Q$27,"",(COUNTIFS($D$2:$D$225,$D11,$C$2:$C$225,$C11,$AC$2:$AC$225,"&lt;"&amp;$AC11)+1)*0.01)</f>
        <v>0.01</v>
      </c>
      <c r="AH11" s="252">
        <f ca="1">IF($D11&gt;Standings!$Q$27,"",Z11+AG11)</f>
        <v>2.0099999999999998</v>
      </c>
      <c r="AI11" s="252"/>
      <c r="AJ11" s="172">
        <f t="array" aca="1" ref="AJ11" ca="1">IF($D11&gt;Standings!$Q$27,"",(COUNTIFS($D$2:$D$225,$D11,$C$2:$C$225,$C11,$AM$2:$AM$225,"&gt;"&amp;$AM11)+1))</f>
        <v>8</v>
      </c>
      <c r="AK11" s="172">
        <f t="array" aca="1" ref="AK11" ca="1">IF($D11&gt;Standings!$Q$27,"",IF((COUNTIFS($D$2:$D$225,$D11,$C$2:$C$225,$C11,$AH$2:$AH$225,"&gt;"&amp;$AH11)+1)=2,1,0))</f>
        <v>0</v>
      </c>
      <c r="AL11" s="172">
        <f t="array" aca="1" ref="AL11" ca="1">IF($D11&gt;Standings!$Q$27,"",IF((COUNTIFS($D$2:$D$225,$D11,$C$2:$C$225,$C11,$AH$2:$AH$225,"&gt;"&amp;$AH11)+1)&lt;2,1,0))</f>
        <v>0</v>
      </c>
      <c r="AM11" s="172">
        <f ca="1">IF($D11&gt;Standings!$Q$27,"",IF(AL11=1,200+Z11+(16-AQ11)*0.01+AI11,IF(AK11=1,100+Z11+(16-AQ11)*0.01+AI11,IF(AN11=1,50+Z11+(16-AQ11)*0.01,IF(AO11=1,15+Z11+(16-AQ11)*0.01,Z11+(16-AQ11)*0.01+AI11)))))</f>
        <v>2</v>
      </c>
      <c r="AN11" s="172">
        <f ca="1">IF($D11&gt;Standings!$Q$27,"",IF(OR($AK11=1,$AL11=1),"Conf Playoff Spot",COUNTIFS($AL$2:$AL$225,0,$AK$2:$AK$225,0,$C$2:$C$225,$C11,$D$2:$D$225,$D11,$AC$2:$AC$225,"&gt;"&amp;$AC11)+1))</f>
        <v>6</v>
      </c>
      <c r="AO11" s="172">
        <f t="array" aca="1" ref="AO11" ca="1">IF($D11&gt;Standings!$Q$27,"",IF(OR($AK11=1,$AL11=1),"Conf Playoff Spot",COUNTIFS($AK$2:$AK$225,0,$AL$2:$AL$225,0,$D$2:$D$225,$D11,$Z$2:$Z$225,"&gt;"&amp;$Z11)+1))</f>
        <v>12</v>
      </c>
      <c r="AP11" s="172">
        <f t="array" aca="1" ref="AP11" ca="1">IF($D11&gt;Standings!$Q$27,"",(COUNTIFS($D$2:$D$225,$D11,$J$2:$J$225,"&gt;"&amp;$J11)+1))</f>
        <v>13</v>
      </c>
      <c r="AQ11" s="249">
        <f ca="1">IF($D11&gt;Standings!$Q$27,"",(COUNTIFS($D$2:$D$225,$D11,$AC$2:$AC$225,"&gt;"&amp;$AC11)+1))</f>
        <v>16</v>
      </c>
      <c r="AR11" s="249">
        <f ca="1">IF($D11&gt;Standings!$Q$27,"",(COUNTIFS($D$2:$D$225,$D11,$K$2:$K$225,"&gt;"&amp;$K11)+1))</f>
        <v>3</v>
      </c>
      <c r="AS11" s="249">
        <f ca="1">IF($D11&gt;Standings!$Q$27,"",(COUNTIFS($D$2:$D$225,$D11,$AD$2:$AD$225,"&gt;"&amp;$AD11)+1))</f>
        <v>4</v>
      </c>
      <c r="AT11" s="354">
        <f ca="1">IF($D11&gt;Standings!$Q$27,"",SUMIFS($J$2:$J$225,$D$2:$D$225,$D11,$C$2:$C$225,$C11))</f>
        <v>753.38</v>
      </c>
      <c r="AU11" s="253">
        <f ca="1">IF($D11&gt;Standings!$Q$27,"",SUMIFS($AC$2:$AC$225,$D$2:$D$225,$D11,$C$2:$C$225,$C11))</f>
        <v>8201.74</v>
      </c>
      <c r="AX11" s="176"/>
      <c r="AY11" s="176"/>
    </row>
    <row r="12" spans="1:51">
      <c r="A12" s="190">
        <v>160</v>
      </c>
      <c r="B12" s="198" t="str">
        <f>'ESPN Data'!$L$4</f>
        <v>Team 1</v>
      </c>
      <c r="C12" s="346" t="str">
        <f>VLOOKUP(B12,'ESPN Data'!$L$4:$M$19,2,FALSE)</f>
        <v>Bone</v>
      </c>
      <c r="D12" s="397">
        <v>11</v>
      </c>
      <c r="E12" s="267" t="str">
        <f t="array" ref="E12">INDEX('ESPN Data'!$C$3:$C$226,MATCH(1,('ESPN Data'!$A$3:$A$226='Point Data'!$D12)*('ESPN Data'!$B$3:$B$226='Point Data'!$B12),0))</f>
        <v>Team 5</v>
      </c>
      <c r="F12" s="250" t="str">
        <f>IF(C12&lt;&gt;VLOOKUP($E12,'ESPN Data'!$L$4:$M$19,2,FALSE),"Non Conf", "Conf")</f>
        <v>Conf</v>
      </c>
      <c r="G12" s="246">
        <f t="array" aca="1" ref="G12" ca="1">IF('Point Data'!$D12&gt;Standings!$Q$27,"",(COUNTIFS($D$2:$D$225,$D12,$AM$2:$AM$225,"&gt;"&amp;$AM12)+1))</f>
        <v>16</v>
      </c>
      <c r="H12" s="247">
        <f ca="1">IF('Point Data'!$D12&gt;Standings!$Q$27,"",$G11)</f>
        <v>16</v>
      </c>
      <c r="I12" s="249">
        <f ca="1">IF('Point Data'!D12&gt;Standings!$Q$27,"",H12-G12)</f>
        <v>0</v>
      </c>
      <c r="J12" s="562">
        <f ca="1">IF('Point Data'!D12&gt;Standings!$Q$27,"",OFFSET('ESPN Data'!D$3,$A12,0,1,1))</f>
        <v>100.09</v>
      </c>
      <c r="K12" s="561">
        <f ca="1">IF('Point Data'!D12&gt;Standings!$Q$27,"",OFFSET('ESPN Data'!E$3,$A12,0,1,1))</f>
        <v>127.2</v>
      </c>
      <c r="L12" s="249">
        <f ca="1">IF('Point Data'!D12&gt;Standings!$Q$27,"",OFFSET('ESPN Data'!I$3,$A12,0,1,1))</f>
        <v>7</v>
      </c>
      <c r="M12" s="249">
        <f ca="1">IF('Point Data'!D12&gt;Standings!$Q$27,"",OFFSET('ESPN Data'!I$3,$A12,-2,1,1))</f>
        <v>8</v>
      </c>
      <c r="N12" s="249">
        <f ca="1">IF('Point Data'!D12&gt;Standings!$Q$27,"",SUMIFS($M$2:$M$225,$D$2:$D$225,D12,$C$2:$C$225,C12))</f>
        <v>51</v>
      </c>
      <c r="O12" s="249">
        <f ca="1">IF('Point Data'!D12&gt;Standings!$Q$27,"",SUMIFS($L$2:$L$225,$D$2:$D$225,$D12,$C$2:$C$225,$C12))</f>
        <v>235</v>
      </c>
      <c r="P12" s="249">
        <f ca="1">IF('Point Data'!D12&gt;Standings!$Q$27,"",SUMIFS($M$2:$M$225,$D$2:$D$225,D12))</f>
        <v>61</v>
      </c>
      <c r="Q12" s="249">
        <f ca="1">IF('Point Data'!D12&gt;Standings!$Q$27,"",SUMIFS($L$2:$L$225,$D$2:$D$225,D12))</f>
        <v>452</v>
      </c>
      <c r="R12" s="249">
        <f ca="1">IF($D12&gt;Standings!$Q$27,"",IF(U12="T",(Z12+0.5)/(D12)*100,(Z12/D12)*100))</f>
        <v>18.181818181818183</v>
      </c>
      <c r="S12" s="248">
        <f ca="1">IF($D12&gt;Standings!$Q$27,"",$J12-$K12)</f>
        <v>-27.11</v>
      </c>
      <c r="T12" s="248">
        <f ca="1">IF($D12&gt;Standings!$Q$27,"",AVERAGE(OFFSET(S12,(-$D12+1),0,1,1):S12))</f>
        <v>-20.351818181818182</v>
      </c>
      <c r="U12" s="172">
        <f ca="1">IF($D12&gt;Standings!$Q$27,"",IF(J12&gt;K12,1,IF(J12=K12,"T",0)))</f>
        <v>0</v>
      </c>
      <c r="V12" s="172">
        <f ca="1">IF($D12&gt;Standings!$Q$27,"",IF(F12="Conf",V11,SUMIFS($U$2:$U$225,$D$2:$D$225,"&lt;="&amp;$D12,$B$2:$B$225,$B12,$F$2:$F$225,"Non Conf")))</f>
        <v>2</v>
      </c>
      <c r="W12" s="172" t="str">
        <f ca="1">IF($D12&gt;Standings!$Q$27,"",$V12&amp;"-"&amp;COUNTIF(OFFSET($F12,(-$D12+1),0,1,1):$F12,"Non Conf")-$V12)</f>
        <v>2-3</v>
      </c>
      <c r="X12" s="172">
        <f ca="1">IF($D12&gt;Standings!$Q$27,"",SUMIFS($U$2:$U$225,$D$2:$D$225,"&lt;="&amp;$D12,$B$2:$B$225,$B12,$F$2:$F$225,"Conf"))</f>
        <v>0</v>
      </c>
      <c r="Y12" s="172" t="str">
        <f ca="1">IF($D12&gt;Standings!$Q$27,"",$X12&amp;"-"&amp;COUNTIF(OFFSET($F12,(-$D12+1),0,1,1):$F12,"Conf")-$X12)</f>
        <v>0-6</v>
      </c>
      <c r="Z12" s="172">
        <f ca="1">IF($D12&gt;Standings!$Q$27,"",SUM(OFFSET(U12,(-$D12+1),0,1,1):U12))</f>
        <v>2</v>
      </c>
      <c r="AA12" s="172">
        <f ca="1">IF($D12&gt;Standings!$Q$27,"",IF(U12=1,1+AA11,0))</f>
        <v>0</v>
      </c>
      <c r="AB12" s="250">
        <f ca="1">IF($D12&gt;Standings!$Q$27,"",IF(AA12=0,1+AB11,0))</f>
        <v>3</v>
      </c>
      <c r="AC12" s="251">
        <f ca="1">IF($D12&gt;Standings!$Q$27,"",SUM(OFFSET(J12,(-$D12+1),0,1,1):J12))</f>
        <v>968.91000000000008</v>
      </c>
      <c r="AD12" s="248">
        <f ca="1">IF($D12&gt;Standings!$Q$27,"",SUM(OFFSET(K12,(-$D12+1),0,1,1):K12))</f>
        <v>1192.78</v>
      </c>
      <c r="AE12" s="248">
        <f ca="1">IF($D12&gt;Standings!$Q$27,"",$J12-$K12)</f>
        <v>-27.11</v>
      </c>
      <c r="AF12" s="248">
        <f ca="1">IF($D12&gt;Standings!$Q$27,"",AC12-AD12)</f>
        <v>-223.86999999999989</v>
      </c>
      <c r="AG12" s="252">
        <f ca="1">IF($D12&gt;Standings!$Q$27,"",(COUNTIFS($D$2:$D$225,$D12,$C$2:$C$225,$C12,$AC$2:$AC$225,"&lt;"&amp;$AC12)+1)*0.01)</f>
        <v>0.01</v>
      </c>
      <c r="AH12" s="252">
        <f ca="1">IF($D12&gt;Standings!$Q$27,"",Z12+AG12)</f>
        <v>2.0099999999999998</v>
      </c>
      <c r="AI12" s="252"/>
      <c r="AJ12" s="172">
        <f t="array" aca="1" ref="AJ12" ca="1">IF($D12&gt;Standings!$Q$27,"",(COUNTIFS($D$2:$D$225,$D12,$C$2:$C$225,$C12,$AM$2:$AM$225,"&gt;"&amp;$AM12)+1))</f>
        <v>8</v>
      </c>
      <c r="AK12" s="172">
        <f t="array" aca="1" ref="AK12" ca="1">IF($D12&gt;Standings!$Q$27,"",IF((COUNTIFS($D$2:$D$225,$D12,$C$2:$C$225,$C12,$AH$2:$AH$225,"&gt;"&amp;$AH12)+1)=2,1,0))</f>
        <v>0</v>
      </c>
      <c r="AL12" s="172">
        <f t="array" aca="1" ref="AL12" ca="1">IF($D12&gt;Standings!$Q$27,"",IF((COUNTIFS($D$2:$D$225,$D12,$C$2:$C$225,$C12,$AH$2:$AH$225,"&gt;"&amp;$AH12)+1)&lt;2,1,0))</f>
        <v>0</v>
      </c>
      <c r="AM12" s="172">
        <f ca="1">IF($D12&gt;Standings!$Q$27,"",IF(AL12=1,200+Z12+(16-AQ12)*0.01+AI12,IF(AK12=1,100+Z12+(16-AQ12)*0.01+AI12,IF(AN12=1,50+Z12+(16-AQ12)*0.01,IF(AO12=1,15+Z12+(16-AQ12)*0.01,Z12+(16-AQ12)*0.01+AI12)))))</f>
        <v>2</v>
      </c>
      <c r="AN12" s="172">
        <f ca="1">IF($D12&gt;Standings!$Q$27,"",IF(OR($AK12=1,$AL12=1),"Conf Playoff Spot",COUNTIFS($AL$2:$AL$225,0,$AK$2:$AK$225,0,$C$2:$C$225,$C12,$D$2:$D$225,$D12,$AC$2:$AC$225,"&gt;"&amp;$AC12)+1))</f>
        <v>6</v>
      </c>
      <c r="AO12" s="172">
        <f t="array" aca="1" ref="AO12" ca="1">IF($D12&gt;Standings!$Q$27,"",IF(OR($AK12=1,$AL12=1),"Conf Playoff Spot",COUNTIFS($AK$2:$AK$225,0,$AL$2:$AL$225,0,$D$2:$D$225,$D12,$Z$2:$Z$225,"&gt;"&amp;$Z12)+1))</f>
        <v>12</v>
      </c>
      <c r="AP12" s="172">
        <f t="array" aca="1" ref="AP12" ca="1">IF($D12&gt;Standings!$Q$27,"",(COUNTIFS($D$2:$D$225,$D12,$J$2:$J$225,"&gt;"&amp;$J12)+1))</f>
        <v>8</v>
      </c>
      <c r="AQ12" s="249">
        <f ca="1">IF($D12&gt;Standings!$Q$27,"",(COUNTIFS($D$2:$D$225,$D12,$AC$2:$AC$225,"&gt;"&amp;$AC12)+1))</f>
        <v>16</v>
      </c>
      <c r="AR12" s="249">
        <f ca="1">IF($D12&gt;Standings!$Q$27,"",(COUNTIFS($D$2:$D$225,$D12,$K$2:$K$225,"&gt;"&amp;$K12)+1))</f>
        <v>2</v>
      </c>
      <c r="AS12" s="249">
        <f ca="1">IF($D12&gt;Standings!$Q$27,"",(COUNTIFS($D$2:$D$225,$D12,$AD$2:$AD$225,"&gt;"&amp;$AD12)+1))</f>
        <v>4</v>
      </c>
      <c r="AT12" s="354">
        <f ca="1">IF($D12&gt;Standings!$Q$27,"",SUMIFS($J$2:$J$225,$D$2:$D$225,$D12,$C$2:$C$225,$C12))</f>
        <v>833.56000000000006</v>
      </c>
      <c r="AU12" s="253">
        <f ca="1">IF($D12&gt;Standings!$Q$27,"",SUMIFS($AC$2:$AC$225,$D$2:$D$225,$D12,$C$2:$C$225,$C12))</f>
        <v>9035.3000000000011</v>
      </c>
      <c r="AX12" s="176"/>
      <c r="AY12" s="176"/>
    </row>
    <row r="13" spans="1:51">
      <c r="A13" s="16">
        <v>176</v>
      </c>
      <c r="B13" s="198" t="str">
        <f>'ESPN Data'!$L$4</f>
        <v>Team 1</v>
      </c>
      <c r="C13" s="346" t="str">
        <f>VLOOKUP(B13,'ESPN Data'!$L$4:$M$19,2,FALSE)</f>
        <v>Bone</v>
      </c>
      <c r="D13" s="397">
        <v>12</v>
      </c>
      <c r="E13" s="267" t="str">
        <f t="array" ref="E13">INDEX('ESPN Data'!$C$3:$C$226,MATCH(1,('ESPN Data'!$A$3:$A$226='Point Data'!$D13)*('ESPN Data'!$B$3:$B$226='Point Data'!$B13),0))</f>
        <v>Team 12</v>
      </c>
      <c r="F13" s="250" t="str">
        <f>IF(C13&lt;&gt;VLOOKUP($E13,'ESPN Data'!$L$4:$M$19,2,FALSE),"Non Conf", "Conf")</f>
        <v>Non Conf</v>
      </c>
      <c r="G13" s="246">
        <f t="array" aca="1" ref="G13" ca="1">IF('Point Data'!$D13&gt;Standings!$Q$27,"",(COUNTIFS($D$2:$D$225,$D13,$AM$2:$AM$225,"&gt;"&amp;$AM13)+1))</f>
        <v>16</v>
      </c>
      <c r="H13" s="247">
        <f ca="1">IF('Point Data'!$D13&gt;Standings!$Q$27,"",$G12)</f>
        <v>16</v>
      </c>
      <c r="I13" s="249">
        <f ca="1">IF('Point Data'!D13&gt;Standings!$Q$27,"",H13-G13)</f>
        <v>0</v>
      </c>
      <c r="J13" s="562">
        <f ca="1">IF('Point Data'!D13&gt;Standings!$Q$27,"",OFFSET('ESPN Data'!D$3,$A13,0,1,1))</f>
        <v>98.98</v>
      </c>
      <c r="K13" s="561">
        <f ca="1">IF('Point Data'!D13&gt;Standings!$Q$27,"",OFFSET('ESPN Data'!E$3,$A13,0,1,1))</f>
        <v>85.52</v>
      </c>
      <c r="L13" s="249">
        <f ca="1">IF('Point Data'!D13&gt;Standings!$Q$27,"",OFFSET('ESPN Data'!I$3,$A13,0,1,1))</f>
        <v>7</v>
      </c>
      <c r="M13" s="249">
        <f ca="1">IF('Point Data'!D13&gt;Standings!$Q$27,"",OFFSET('ESPN Data'!I$3,$A13,-2,1,1))</f>
        <v>0</v>
      </c>
      <c r="N13" s="249">
        <f ca="1">IF('Point Data'!D13&gt;Standings!$Q$27,"",SUMIFS($M$2:$M$225,$D$2:$D$225,D13,$C$2:$C$225,C13))</f>
        <v>6</v>
      </c>
      <c r="O13" s="249">
        <f ca="1">IF('Point Data'!D13&gt;Standings!$Q$27,"",SUMIFS($L$2:$L$225,$D$2:$D$225,$D13,$C$2:$C$225,$C13))</f>
        <v>229</v>
      </c>
      <c r="P13" s="249">
        <f ca="1">IF('Point Data'!D13&gt;Standings!$Q$27,"",SUMIFS($M$2:$M$225,$D$2:$D$225,D13))</f>
        <v>41</v>
      </c>
      <c r="Q13" s="249">
        <f ca="1">IF('Point Data'!D13&gt;Standings!$Q$27,"",SUMIFS($L$2:$L$225,$D$2:$D$225,D13))</f>
        <v>411</v>
      </c>
      <c r="R13" s="249">
        <f ca="1">IF($D13&gt;Standings!$Q$27,"",IF(U13="T",(Z13+0.5)/(D13)*100,(Z13/D13)*100))</f>
        <v>25</v>
      </c>
      <c r="S13" s="248">
        <f ca="1">IF($D13&gt;Standings!$Q$27,"",$J13-$K13)</f>
        <v>13.460000000000008</v>
      </c>
      <c r="T13" s="248">
        <f ca="1">IF($D13&gt;Standings!$Q$27,"",AVERAGE(OFFSET(S13,(-$D13+1),0,1,1):S13))</f>
        <v>-17.534166666666668</v>
      </c>
      <c r="U13" s="172">
        <f ca="1">IF($D13&gt;Standings!$Q$27,"",IF(J13&gt;K13,1,IF(J13=K13,"T",0)))</f>
        <v>1</v>
      </c>
      <c r="V13" s="172">
        <f ca="1">IF($D13&gt;Standings!$Q$27,"",IF(F13="Conf",V12,SUMIFS($U$2:$U$225,$D$2:$D$225,"&lt;="&amp;$D13,$B$2:$B$225,$B13,$F$2:$F$225,"Non Conf")))</f>
        <v>3</v>
      </c>
      <c r="W13" s="172" t="str">
        <f ca="1">IF($D13&gt;Standings!$Q$27,"",$V13&amp;"-"&amp;COUNTIF(OFFSET($F13,(-$D13+1),0,1,1):$F13,"Non Conf")-$V13)</f>
        <v>3-3</v>
      </c>
      <c r="X13" s="172">
        <f ca="1">IF($D13&gt;Standings!$Q$27,"",SUMIFS($U$2:$U$225,$D$2:$D$225,"&lt;="&amp;$D13,$B$2:$B$225,$B13,$F$2:$F$225,"Conf"))</f>
        <v>0</v>
      </c>
      <c r="Y13" s="172" t="str">
        <f ca="1">IF($D13&gt;Standings!$Q$27,"",$X13&amp;"-"&amp;COUNTIF(OFFSET($F13,(-$D13+1),0,1,1):$F13,"Conf")-$X13)</f>
        <v>0-6</v>
      </c>
      <c r="Z13" s="172">
        <f ca="1">IF($D13&gt;Standings!$Q$27,"",SUM(OFFSET(U13,(-$D13+1),0,1,1):U13))</f>
        <v>3</v>
      </c>
      <c r="AA13" s="172">
        <f ca="1">IF($D13&gt;Standings!$Q$27,"",IF(U13=1,1+AA12,0))</f>
        <v>1</v>
      </c>
      <c r="AB13" s="250">
        <f ca="1">IF($D13&gt;Standings!$Q$27,"",IF(AA13=0,1+AB12,0))</f>
        <v>0</v>
      </c>
      <c r="AC13" s="251">
        <f ca="1">IF($D13&gt;Standings!$Q$27,"",SUM(OFFSET(J13,(-$D13+1),0,1,1):J13))</f>
        <v>1067.8900000000001</v>
      </c>
      <c r="AD13" s="248">
        <f ca="1">IF($D13&gt;Standings!$Q$27,"",SUM(OFFSET(K13,(-$D13+1),0,1,1):K13))</f>
        <v>1278.3</v>
      </c>
      <c r="AE13" s="248">
        <f ca="1">IF($D13&gt;Standings!$Q$27,"",$J13-$K13)</f>
        <v>13.460000000000008</v>
      </c>
      <c r="AF13" s="248">
        <f ca="1">IF($D13&gt;Standings!$Q$27,"",AC13-AD13)</f>
        <v>-210.40999999999985</v>
      </c>
      <c r="AG13" s="252">
        <f ca="1">IF($D13&gt;Standings!$Q$27,"",(COUNTIFS($D$2:$D$225,$D13,$C$2:$C$225,$C13,$AC$2:$AC$225,"&lt;"&amp;$AC13)+1)*0.01)</f>
        <v>0.01</v>
      </c>
      <c r="AH13" s="252">
        <f ca="1">IF($D13&gt;Standings!$Q$27,"",Z13+AG13)</f>
        <v>3.01</v>
      </c>
      <c r="AI13" s="252"/>
      <c r="AJ13" s="172">
        <f t="array" aca="1" ref="AJ13" ca="1">IF($D13&gt;Standings!$Q$27,"",(COUNTIFS($D$2:$D$225,$D13,$C$2:$C$225,$C13,$AM$2:$AM$225,"&gt;"&amp;$AM13)+1))</f>
        <v>8</v>
      </c>
      <c r="AK13" s="172">
        <f t="array" aca="1" ref="AK13" ca="1">IF($D13&gt;Standings!$Q$27,"",IF((COUNTIFS($D$2:$D$225,$D13,$C$2:$C$225,$C13,$AH$2:$AH$225,"&gt;"&amp;$AH13)+1)=2,1,0))</f>
        <v>0</v>
      </c>
      <c r="AL13" s="172">
        <f t="array" aca="1" ref="AL13" ca="1">IF($D13&gt;Standings!$Q$27,"",IF((COUNTIFS($D$2:$D$225,$D13,$C$2:$C$225,$C13,$AH$2:$AH$225,"&gt;"&amp;$AH13)+1)&lt;2,1,0))</f>
        <v>0</v>
      </c>
      <c r="AM13" s="172">
        <f ca="1">IF($D13&gt;Standings!$Q$27,"",IF(AL13=1,200+Z13+(16-AQ13)*0.01+AI13,IF(AK13=1,100+Z13+(16-AQ13)*0.01+AI13,IF(AN13=1,50+Z13+(16-AQ13)*0.01,IF(AO13=1,15+Z13+(16-AQ13)*0.01,Z13+(16-AQ13)*0.01+AI13)))))</f>
        <v>3.01</v>
      </c>
      <c r="AN13" s="172">
        <f ca="1">IF($D13&gt;Standings!$Q$27,"",IF(OR($AK13=1,$AL13=1),"Conf Playoff Spot",COUNTIFS($AL$2:$AL$225,0,$AK$2:$AK$225,0,$C$2:$C$225,$C13,$D$2:$D$225,$D13,$AC$2:$AC$225,"&gt;"&amp;$AC13)+1))</f>
        <v>6</v>
      </c>
      <c r="AO13" s="172">
        <f t="array" aca="1" ref="AO13" ca="1">IF($D13&gt;Standings!$Q$27,"",IF(OR($AK13=1,$AL13=1),"Conf Playoff Spot",COUNTIFS($AK$2:$AK$225,0,$AL$2:$AL$225,0,$D$2:$D$225,$D13,$Z$2:$Z$225,"&gt;"&amp;$Z13)+1))</f>
        <v>11</v>
      </c>
      <c r="AP13" s="172">
        <f t="array" aca="1" ref="AP13" ca="1">IF($D13&gt;Standings!$Q$27,"",(COUNTIFS($D$2:$D$225,$D13,$J$2:$J$225,"&gt;"&amp;$J13)+1))</f>
        <v>8</v>
      </c>
      <c r="AQ13" s="249">
        <f ca="1">IF($D13&gt;Standings!$Q$27,"",(COUNTIFS($D$2:$D$225,$D13,$AC$2:$AC$225,"&gt;"&amp;$AC13)+1))</f>
        <v>15</v>
      </c>
      <c r="AR13" s="249">
        <f ca="1">IF($D13&gt;Standings!$Q$27,"",(COUNTIFS($D$2:$D$225,$D13,$K$2:$K$225,"&gt;"&amp;$K13)+1))</f>
        <v>13</v>
      </c>
      <c r="AS13" s="249">
        <f ca="1">IF($D13&gt;Standings!$Q$27,"",(COUNTIFS($D$2:$D$225,$D13,$AD$2:$AD$225,"&gt;"&amp;$AD13)+1))</f>
        <v>5</v>
      </c>
      <c r="AT13" s="354">
        <f ca="1">IF($D13&gt;Standings!$Q$27,"",SUMIFS($J$2:$J$225,$D$2:$D$225,$D13,$C$2:$C$225,$C13))</f>
        <v>841.41000000000008</v>
      </c>
      <c r="AU13" s="253">
        <f ca="1">IF($D13&gt;Standings!$Q$27,"",SUMIFS($AC$2:$AC$225,$D$2:$D$225,$D13,$C$2:$C$225,$C13))</f>
        <v>9876.7100000000009</v>
      </c>
      <c r="AX13" s="176"/>
      <c r="AY13" s="176"/>
    </row>
    <row r="14" spans="1:51" s="190" customFormat="1">
      <c r="A14" s="190">
        <v>192</v>
      </c>
      <c r="B14" s="227" t="str">
        <f>'ESPN Data'!$L$4</f>
        <v>Team 1</v>
      </c>
      <c r="C14" s="347" t="str">
        <f>VLOOKUP(B14,'ESPN Data'!$L$4:$M$19,2,FALSE)</f>
        <v>Bone</v>
      </c>
      <c r="D14" s="550">
        <v>13</v>
      </c>
      <c r="E14" s="275" t="str">
        <f t="array" ref="E14">INDEX('ESPN Data'!$C$3:$C$226,MATCH(1,('ESPN Data'!$A$3:$A$226='Point Data'!$D14)*('ESPN Data'!$B$3:$B$226='Point Data'!$B14),0))</f>
        <v>Team 13</v>
      </c>
      <c r="F14" s="274" t="str">
        <f>IF(C14&lt;&gt;VLOOKUP($E14,'ESPN Data'!$L$4:$M$19,2,FALSE),"Non Conf", "Conf")</f>
        <v>Non Conf</v>
      </c>
      <c r="G14" s="246">
        <f t="array" aca="1" ref="G14" ca="1">IF('Point Data'!$D14&gt;Standings!$Q$27,"",(COUNTIFS($D$2:$D$225,$D14,$AM$2:$AM$225,"&gt;"&amp;$AM14)+1))</f>
        <v>16</v>
      </c>
      <c r="H14" s="551">
        <f ca="1">IF('Point Data'!$D14&gt;Standings!$Q$27,"",$G13)</f>
        <v>16</v>
      </c>
      <c r="I14" s="265">
        <f ca="1">IF('Point Data'!D14&gt;Standings!$Q$27,"",H14-G14)</f>
        <v>0</v>
      </c>
      <c r="J14" s="563">
        <f ca="1">IF('Point Data'!D14&gt;Standings!$Q$27,"",OFFSET('ESPN Data'!D$3,$A14,0,1,1))</f>
        <v>95.1</v>
      </c>
      <c r="K14" s="564">
        <f ca="1">IF('Point Data'!D14&gt;Standings!$Q$27,"",OFFSET('ESPN Data'!E$3,$A14,0,1,1))</f>
        <v>72.98</v>
      </c>
      <c r="L14" s="265">
        <f ca="1">IF('Point Data'!D14&gt;Standings!$Q$27,"",OFFSET('ESPN Data'!I$3,$A14,0,1,1))</f>
        <v>4</v>
      </c>
      <c r="M14" s="265">
        <f ca="1">IF('Point Data'!D14&gt;Standings!$Q$27,"",OFFSET('ESPN Data'!I$3,$A14,-2,1,1))</f>
        <v>3</v>
      </c>
      <c r="N14" s="265">
        <f ca="1">IF('Point Data'!D14&gt;Standings!$Q$27,"",SUMIFS($M$2:$M$225,$D$2:$D$225,D14,$C$2:$C$225,C14))</f>
        <v>5</v>
      </c>
      <c r="O14" s="265">
        <f ca="1">IF('Point Data'!D14&gt;Standings!$Q$27,"",SUMIFS($L$2:$L$225,$D$2:$D$225,$D14,$C$2:$C$225,$C14))</f>
        <v>224</v>
      </c>
      <c r="P14" s="265">
        <f ca="1">IF('Point Data'!D14&gt;Standings!$Q$27,"",SUMIFS($M$2:$M$225,$D$2:$D$225,D14))</f>
        <v>41</v>
      </c>
      <c r="Q14" s="265">
        <f ca="1">IF('Point Data'!D14&gt;Standings!$Q$27,"",SUMIFS($L$2:$L$225,$D$2:$D$225,D14))</f>
        <v>370</v>
      </c>
      <c r="R14" s="265">
        <f ca="1">IF($D14&gt;Standings!$Q$27,"",IF(U14="T",(Z14+0.5)/(D14)*100,(Z14/D14)*100))</f>
        <v>30.76923076923077</v>
      </c>
      <c r="S14" s="272">
        <f ca="1">IF($D14&gt;Standings!$Q$27,"",$J14-$K14)</f>
        <v>22.11999999999999</v>
      </c>
      <c r="T14" s="272">
        <f ca="1">IF($D14&gt;Standings!$Q$27,"",AVERAGE(OFFSET(S14,(-$D14+1),0,1,1):S14))</f>
        <v>-14.483846153846155</v>
      </c>
      <c r="U14" s="264">
        <f ca="1">IF($D14&gt;Standings!$Q$27,"",IF(J14&gt;K14,1,IF(J14=K14,"T",0)))</f>
        <v>1</v>
      </c>
      <c r="V14" s="264">
        <f ca="1">IF($D14&gt;Standings!$Q$27,"",IF(F14="Conf",V13,SUMIFS($U$2:$U$225,$D$2:$D$225,"&lt;="&amp;$D14,$B$2:$B$225,$B14,$F$2:$F$225,"Non Conf")))</f>
        <v>4</v>
      </c>
      <c r="W14" s="264" t="str">
        <f ca="1">IF($D14&gt;Standings!$Q$27,"",$V14&amp;"-"&amp;COUNTIF(OFFSET($F14,(-$D14+1),0,1,1):$F14,"Non Conf")-$V14)</f>
        <v>4-3</v>
      </c>
      <c r="X14" s="264">
        <f ca="1">IF($D14&gt;Standings!$Q$27,"",SUMIFS($U$2:$U$225,$D$2:$D$225,"&lt;="&amp;$D14,$B$2:$B$225,$B14,$F$2:$F$225,"Conf"))</f>
        <v>0</v>
      </c>
      <c r="Y14" s="264" t="str">
        <f ca="1">IF($D14&gt;Standings!$Q$27,"",$X14&amp;"-"&amp;COUNTIF(OFFSET($F14,(-$D14+1),0,1,1):$F14,"Conf")-$X14)</f>
        <v>0-6</v>
      </c>
      <c r="Z14" s="264">
        <f ca="1">IF($D14&gt;Standings!$Q$27,"",SUM(OFFSET(U14,(-$D14+1),0,1,1):U14))</f>
        <v>4</v>
      </c>
      <c r="AA14" s="264">
        <f ca="1">IF($D14&gt;Standings!$Q$27,"",IF(U14=1,1+AA13,0))</f>
        <v>2</v>
      </c>
      <c r="AB14" s="274">
        <f ca="1">IF($D14&gt;Standings!$Q$27,"",IF(AA14=0,1+AB13,0))</f>
        <v>0</v>
      </c>
      <c r="AC14" s="273">
        <f ca="1">IF($D14&gt;Standings!$Q$27,"",SUM(OFFSET(J14,(-$D14+1),0,1,1):J14))</f>
        <v>1162.99</v>
      </c>
      <c r="AD14" s="272">
        <f ca="1">IF($D14&gt;Standings!$Q$27,"",SUM(OFFSET(K14,(-$D14+1),0,1,1):K14))</f>
        <v>1351.28</v>
      </c>
      <c r="AE14" s="272">
        <f ca="1">IF($D14&gt;Standings!$Q$27,"",$J14-$K14)</f>
        <v>22.11999999999999</v>
      </c>
      <c r="AF14" s="272">
        <f ca="1">IF($D14&gt;Standings!$Q$27,"",AC14-AD14)</f>
        <v>-188.28999999999996</v>
      </c>
      <c r="AG14" s="263">
        <f ca="1">IF($D14&gt;Standings!$Q$27,"",(COUNTIFS($D$2:$D$225,$D14,$C$2:$C$225,$C14,$AC$2:$AC$225,"&lt;"&amp;$AC14)+1)*0.01)</f>
        <v>0.01</v>
      </c>
      <c r="AH14" s="263">
        <f ca="1">IF($D14&gt;Standings!$Q$27,"",Z14+AG14)</f>
        <v>4.01</v>
      </c>
      <c r="AI14" s="263"/>
      <c r="AJ14" s="264">
        <f t="array" aca="1" ref="AJ14" ca="1">IF($D14&gt;Standings!$Q$27,"",(COUNTIFS($D$2:$D$225,$D14,$C$2:$C$225,$C14,$AM$2:$AM$225,"&gt;"&amp;$AM14)+1))</f>
        <v>8</v>
      </c>
      <c r="AK14" s="264">
        <f t="array" aca="1" ref="AK14" ca="1">IF($D14&gt;Standings!$Q$27,"",IF((COUNTIFS($D$2:$D$225,$D14,$C$2:$C$225,$C14,$AH$2:$AH$225,"&gt;"&amp;$AH14)+1)=2,1,0))</f>
        <v>0</v>
      </c>
      <c r="AL14" s="264">
        <f t="array" aca="1" ref="AL14" ca="1">IF($D14&gt;Standings!$Q$27,"",IF((COUNTIFS($D$2:$D$225,$D14,$C$2:$C$225,$C14,$AH$2:$AH$225,"&gt;"&amp;$AH14)+1)&lt;2,1,0))</f>
        <v>0</v>
      </c>
      <c r="AM14" s="264">
        <f ca="1">IF($D14&gt;Standings!$Q$27,"",IF(AL14=1,200+Z14+(16-AQ14)*0.01+AI14,IF(AK14=1,100+Z14+(16-AQ14)*0.01+AI14,IF(AN14=1,50+Z14+(16-AQ14)*0.01,IF(AO14=1,15+Z14+(16-AQ14)*0.01,Z14+(16-AQ14)*0.01+AI14)))))</f>
        <v>4.01</v>
      </c>
      <c r="AN14" s="264">
        <f ca="1">IF($D14&gt;Standings!$Q$27,"",IF(OR($AK14=1,$AL14=1),"Conf Playoff Spot",COUNTIFS($AL$2:$AL$225,0,$AK$2:$AK$225,0,$C$2:$C$225,$C14,$D$2:$D$225,$D14,$AC$2:$AC$225,"&gt;"&amp;$AC14)+1))</f>
        <v>6</v>
      </c>
      <c r="AO14" s="264">
        <f t="array" aca="1" ref="AO14" ca="1">IF($D14&gt;Standings!$Q$27,"",IF(OR($AK14=1,$AL14=1),"Conf Playoff Spot",COUNTIFS($AK$2:$AK$225,0,$AL$2:$AL$225,0,$D$2:$D$225,$D14,$Z$2:$Z$225,"&gt;"&amp;$Z14)+1))</f>
        <v>10</v>
      </c>
      <c r="AP14" s="264">
        <f t="array" aca="1" ref="AP14" ca="1">IF($D14&gt;Standings!$Q$27,"",(COUNTIFS($D$2:$D$225,$D14,$J$2:$J$225,"&gt;"&amp;$J14)+1))</f>
        <v>9</v>
      </c>
      <c r="AQ14" s="265">
        <f ca="1">IF($D14&gt;Standings!$Q$27,"",(COUNTIFS($D$2:$D$225,$D14,$AC$2:$AC$225,"&gt;"&amp;$AC14)+1))</f>
        <v>15</v>
      </c>
      <c r="AR14" s="265">
        <f ca="1">IF($D14&gt;Standings!$Q$27,"",(COUNTIFS($D$2:$D$225,$D14,$K$2:$K$225,"&gt;"&amp;$K14)+1))</f>
        <v>16</v>
      </c>
      <c r="AS14" s="265">
        <f ca="1">IF($D14&gt;Standings!$Q$27,"",(COUNTIFS($D$2:$D$225,$D14,$AD$2:$AD$225,"&gt;"&amp;$AD14)+1))</f>
        <v>7</v>
      </c>
      <c r="AT14" s="356">
        <f ca="1">IF($D14&gt;Standings!$Q$27,"",SUMIFS($J$2:$J$225,$D$2:$D$225,$D14,$C$2:$C$225,$C14))</f>
        <v>774.50000000000011</v>
      </c>
      <c r="AU14" s="340">
        <f ca="1">IF($D14&gt;Standings!$Q$27,"",SUMIFS($AC$2:$AC$225,$D$2:$D$225,$D14,$C$2:$C$225,$C14))</f>
        <v>10651.210000000001</v>
      </c>
      <c r="AX14" s="176"/>
      <c r="AY14" s="176"/>
    </row>
    <row r="15" spans="1:51" ht="16" thickBot="1">
      <c r="A15" s="190">
        <v>208</v>
      </c>
      <c r="B15" s="199" t="str">
        <f>'ESPN Data'!$L$4</f>
        <v>Team 1</v>
      </c>
      <c r="C15" s="347" t="str">
        <f>VLOOKUP(B15,'ESPN Data'!$L$4:$M$19,2,FALSE)</f>
        <v>Bone</v>
      </c>
      <c r="D15" s="398">
        <v>14</v>
      </c>
      <c r="E15" s="268" t="str">
        <f t="array" ref="E15">INDEX('ESPN Data'!$C$3:$C$226,MATCH(1,('ESPN Data'!$A$3:$A$226='Point Data'!$D15)*('ESPN Data'!$B$3:$B$226='Point Data'!$B15),0))</f>
        <v>Team 13</v>
      </c>
      <c r="F15" s="274" t="str">
        <f>IF(C15&lt;&gt;VLOOKUP($E15,'ESPN Data'!$L$4:$M$19,2,FALSE),"Non Conf", "Conf")</f>
        <v>Non Conf</v>
      </c>
      <c r="G15" s="246" t="str">
        <f t="array" ref="G15">IF('Point Data'!$D15&gt;Standings!$Q$27,"",(COUNTIFS($D$2:$D$225,$D15,$AM$2:$AM$225,"&gt;"&amp;$AM15)+1))</f>
        <v/>
      </c>
      <c r="H15" s="254" t="str">
        <f>IF('Point Data'!$D15&gt;Standings!$Q$27,"",$G13)</f>
        <v/>
      </c>
      <c r="I15" s="256" t="str">
        <f>IF('Point Data'!D15&gt;Standings!$Q$27,"",H15-G15)</f>
        <v/>
      </c>
      <c r="J15" s="565" t="str">
        <f ca="1">IF('Point Data'!D15&gt;Standings!$Q$27,"",OFFSET('ESPN Data'!D$3,$A15,0,1,1))</f>
        <v/>
      </c>
      <c r="K15" s="566" t="str">
        <f ca="1">IF('Point Data'!D15&gt;Standings!$Q$27,"",OFFSET('ESPN Data'!E$3,$A15,0,1,1))</f>
        <v/>
      </c>
      <c r="L15" s="256" t="str">
        <f ca="1">IF('Point Data'!D15&gt;Standings!$Q$27,"",OFFSET('ESPN Data'!I$3,$A15,0,1,1))</f>
        <v/>
      </c>
      <c r="M15" s="256" t="str">
        <f ca="1">IF('Point Data'!D15&gt;Standings!$Q$27,"",OFFSET('ESPN Data'!I$3,$A15,-2,1,1))</f>
        <v/>
      </c>
      <c r="N15" s="256" t="str">
        <f>IF('Point Data'!D15&gt;Standings!$Q$27,"",SUMIFS($M$2:$M$225,$D$2:$D$225,D15,$C$2:$C$225,C15))</f>
        <v/>
      </c>
      <c r="O15" s="256" t="str">
        <f>IF('Point Data'!D15&gt;Standings!$Q$27,"",SUMIFS($L$2:$L$225,$D$2:$D$225,$D15,$C$2:$C$225,$C15))</f>
        <v/>
      </c>
      <c r="P15" s="256" t="str">
        <f>IF('Point Data'!D15&gt;Standings!$Q$27,"",SUMIFS($M$2:$M$225,$D$2:$D$225,D15))</f>
        <v/>
      </c>
      <c r="Q15" s="256" t="str">
        <f>IF('Point Data'!D15&gt;Standings!$Q$27,"",SUMIFS($L$2:$L$225,$D$2:$D$225,D15))</f>
        <v/>
      </c>
      <c r="R15" s="256" t="str">
        <f>IF($D15&gt;Standings!$Q$27,"",IF(U15="T",(Z15+0.5)/(D15)*100,(Z15/D15)*100))</f>
        <v/>
      </c>
      <c r="S15" s="255" t="str">
        <f>IF($D15&gt;Standings!$Q$27,"",$J15-$K15)</f>
        <v/>
      </c>
      <c r="T15" s="255" t="str">
        <f ca="1">IF($D15&gt;Standings!$Q$27,"",AVERAGE(OFFSET(S15,(-$D15+1),0,1,1):S15))</f>
        <v/>
      </c>
      <c r="U15" s="257" t="str">
        <f>IF($D15&gt;Standings!$Q$27,"",IF(J15&gt;K15,1,IF(J15=K15,"T",0)))</f>
        <v/>
      </c>
      <c r="V15" s="257" t="str">
        <f>IF($D15&gt;Standings!$Q$27,"",IF(F15="Conf",V14,SUMIFS($U$2:$U$225,$D$2:$D$225,"&lt;="&amp;$D15,$B$2:$B$225,$B15,$F$2:$F$225,"Non Conf")))</f>
        <v/>
      </c>
      <c r="W15" s="257" t="str">
        <f ca="1">IF($D15&gt;Standings!$Q$27,"",$V15&amp;"-"&amp;COUNTIF(OFFSET($F15,(-$D15+1),0,1,1):$F15,"Non Conf")-$V15)</f>
        <v/>
      </c>
      <c r="X15" s="257" t="str">
        <f>IF($D15&gt;Standings!$Q$27,"",SUMIFS($U$2:$U$225,$D$2:$D$225,"&lt;="&amp;$D15,$B$2:$B$225,$B15,$F$2:$F$225,"Conf"))</f>
        <v/>
      </c>
      <c r="Y15" s="257" t="str">
        <f ca="1">IF($D15&gt;Standings!$Q$27,"",$X15&amp;"-"&amp;COUNTIF(OFFSET($F15,(-$D15+1),0,1,1):$F15,"Conf")-$X15)</f>
        <v/>
      </c>
      <c r="Z15" s="257" t="str">
        <f ca="1">IF($D15&gt;Standings!$Q$27,"",SUM(OFFSET(U15,(-$D15+1),0,1,1):U15))</f>
        <v/>
      </c>
      <c r="AA15" s="257" t="str">
        <f>IF($D15&gt;Standings!$Q$27,"",IF(U15=1,1+AA13,0))</f>
        <v/>
      </c>
      <c r="AB15" s="258" t="str">
        <f>IF($D15&gt;Standings!$Q$27,"",IF(AA15=0,1+AB13,0))</f>
        <v/>
      </c>
      <c r="AC15" s="259" t="str">
        <f ca="1">IF($D15&gt;Standings!$Q$27,"",SUM(OFFSET(J15,(-$D15+1),0,1,1):J15))</f>
        <v/>
      </c>
      <c r="AD15" s="255" t="str">
        <f ca="1">IF($D15&gt;Standings!$Q$27,"",SUM(OFFSET(K15,(-$D15+1),0,1,1):K15))</f>
        <v/>
      </c>
      <c r="AE15" s="255" t="str">
        <f>IF($D15&gt;Standings!$Q$27,"",$J15-$K15)</f>
        <v/>
      </c>
      <c r="AF15" s="255" t="str">
        <f>IF($D15&gt;Standings!$Q$27,"",AC15-AD15)</f>
        <v/>
      </c>
      <c r="AG15" s="260" t="str">
        <f>IF($D15&gt;Standings!$Q$27,"",(COUNTIFS($D$2:$D$225,$D15,$C$2:$C$225,$C15,$AC$2:$AC$225,"&lt;"&amp;$AC15)+1)*0.01)</f>
        <v/>
      </c>
      <c r="AH15" s="260" t="str">
        <f>IF($D15&gt;Standings!$Q$27,"",Z15+AG15)</f>
        <v/>
      </c>
      <c r="AI15" s="260"/>
      <c r="AJ15" s="257" t="str">
        <f t="array" ref="AJ15">IF($D15&gt;Standings!$Q$27,"",(COUNTIFS($D$2:$D$225,$D15,$C$2:$C$225,$C15,$AM$2:$AM$225,"&gt;"&amp;$AM15)+1))</f>
        <v/>
      </c>
      <c r="AK15" s="257" t="str">
        <f t="array" ref="AK15">IF($D15&gt;Standings!$Q$27,"",IF((COUNTIFS($D$2:$D$225,$D15,$C$2:$C$225,$C15,$AH$2:$AH$225,"&gt;"&amp;$AH15)+1)=2,1,0))</f>
        <v/>
      </c>
      <c r="AL15" s="257" t="str">
        <f t="array" ref="AL15">IF($D15&gt;Standings!$Q$27,"",IF((COUNTIFS($D$2:$D$225,$D15,$C$2:$C$225,$C15,$AH$2:$AH$225,"&gt;"&amp;$AH15)+1)&lt;2,1,0))</f>
        <v/>
      </c>
      <c r="AM15" s="257" t="str">
        <f>IF($D15&gt;Standings!$Q$27,"",IF(AL15=1,200+Z15+(16-AQ15)*0.01+AI15,IF(AK15=1,100+Z15+(16-AQ15)*0.01+AI15,IF(AN15=1,50+Z15+(16-AQ15)*0.01,IF(AO15=1,15+Z15+(16-AQ15)*0.01,Z15+(16-AQ15)*0.01+AI15)))))</f>
        <v/>
      </c>
      <c r="AN15" s="257" t="str">
        <f>IF($D15&gt;Standings!$Q$27,"",IF(OR($AK15=1,$AL15=1),"Conf Playoff Spot",COUNTIFS($AL$2:$AL$225,0,$AK$2:$AK$225,0,$C$2:$C$225,$C15,$D$2:$D$225,$D15,$AC$2:$AC$225,"&gt;"&amp;$AC15)+1))</f>
        <v/>
      </c>
      <c r="AO15" s="257" t="str">
        <f t="array" ref="AO15">IF($D15&gt;Standings!$Q$27,"",IF(OR($AK15=1,$AL15=1),"Conf Playoff Spot",COUNTIFS($AK$2:$AK$225,0,$AL$2:$AL$225,0,$D$2:$D$225,$D15,$AH$2:$AH$225,"&gt;"&amp;$AH15)+1))</f>
        <v/>
      </c>
      <c r="AP15" s="257" t="str">
        <f t="array" ref="AP15">IF($D15&gt;Standings!$Q$27,"",(COUNTIFS($D$2:$D$225,$D15,$J$2:$J$225,"&gt;"&amp;$J15)+1))</f>
        <v/>
      </c>
      <c r="AQ15" s="256" t="str">
        <f>IF($D15&gt;Standings!$Q$27,"",(COUNTIFS($D$2:$D$225,$D15,$AC$2:$AC$225,"&gt;"&amp;$AC15)+1))</f>
        <v/>
      </c>
      <c r="AR15" s="256" t="str">
        <f>IF($D15&gt;Standings!$Q$27,"",(COUNTIFS($D$2:$D$225,$D15,$K$2:$K$225,"&gt;"&amp;$K15)+1))</f>
        <v/>
      </c>
      <c r="AS15" s="256" t="str">
        <f>IF($D15&gt;Standings!$Q$27,"",(COUNTIFS($D$2:$D$225,$D15,$AD$2:$AD$225,"&gt;"&amp;$AD15)+1))</f>
        <v/>
      </c>
      <c r="AT15" s="355" t="str">
        <f>IF($D15&gt;Standings!$Q$27,"",SUMIFS($J$2:$J$225,$D$2:$D$225,$D15,$C$2:$C$225,$C15))</f>
        <v/>
      </c>
      <c r="AU15" s="261" t="str">
        <f>IF($D15&gt;Standings!$Q$27,"",SUMIFS($AC$2:$AC$225,$D$2:$D$225,$D15,$C$2:$C$225,$C15))</f>
        <v/>
      </c>
      <c r="AX15" s="169"/>
      <c r="AY15" s="169"/>
    </row>
    <row r="16" spans="1:51">
      <c r="A16" s="190">
        <f t="shared" ref="A16:A79" si="0">A2+1</f>
        <v>1</v>
      </c>
      <c r="B16" s="200" t="str">
        <f>'ESPN Data'!$L$5</f>
        <v>Team 2</v>
      </c>
      <c r="C16" s="345" t="str">
        <f>VLOOKUP(B16,'ESPN Data'!$L$4:$M$19,2,FALSE)</f>
        <v>Bone</v>
      </c>
      <c r="D16" s="396">
        <v>1</v>
      </c>
      <c r="E16" s="266" t="str">
        <f t="array" ref="E16">INDEX('ESPN Data'!$C$3:$C$226,MATCH(1,('ESPN Data'!$A$3:$A$226='Point Data'!$D16)*('ESPN Data'!$B$3:$B$226='Point Data'!$B16),0))</f>
        <v>Team 10</v>
      </c>
      <c r="F16" s="242" t="str">
        <f>IF(C16&lt;&gt;VLOOKUP($E16,'ESPN Data'!$L$4:$M$19,2,FALSE),"Non Conf", "Conf")</f>
        <v>Non Conf</v>
      </c>
      <c r="G16" s="237">
        <f t="array" aca="1" ref="G16" ca="1">IF('Point Data'!$D16&gt;Standings!$Q$27,"",(COUNTIFS($D$2:$D$225,$D16,$AM$2:$AM$225,"&gt;"&amp;$AM16)+1))</f>
        <v>8</v>
      </c>
      <c r="H16" s="238">
        <f>IF('Point Data'!$D16&gt;Standings!$Q$27,"",VLOOKUP($B16,'ESPN Data'!$L$4:$N$19,3,FALSE))</f>
        <v>10</v>
      </c>
      <c r="I16" s="240">
        <f ca="1">IF('Point Data'!$D16&gt;Standings!$Q$27,"",H16-G16)</f>
        <v>2</v>
      </c>
      <c r="J16" s="560">
        <f ca="1">IF('Point Data'!D16&gt;Standings!$Q$27,"",OFFSET('ESPN Data'!D$3,$A16,0,1,1))</f>
        <v>101.04</v>
      </c>
      <c r="K16" s="560">
        <f ca="1">IF('Point Data'!D16&gt;Standings!$Q$27,"",OFFSET('ESPN Data'!E$3,$A16,0,1,1))</f>
        <v>95.97</v>
      </c>
      <c r="L16" s="238">
        <f ca="1">IF('Point Data'!D16&gt;Standings!$Q$27,"",OFFSET('ESPN Data'!I$3,$A16,0,1,1))</f>
        <v>100</v>
      </c>
      <c r="M16" s="238">
        <f ca="1">IF('Point Data'!D16&gt;Standings!$Q$27,"",OFFSET('ESPN Data'!I$3,$A16,-2,1,1))</f>
        <v>0</v>
      </c>
      <c r="N16" s="238">
        <f ca="1">IF('Point Data'!D16&gt;Standings!$Q$27,"",SUMIFS($M$2:$M$225,$D$2:$D$225,D16,$C$2:$C$225,C16))</f>
        <v>3</v>
      </c>
      <c r="O16" s="238">
        <f ca="1">IF('Point Data'!D16&gt;Standings!$Q$27,"",SUMIFS($L$2:$L$225,$D$2:$D$225,$D16,$C$2:$C$225,$C16))</f>
        <v>797</v>
      </c>
      <c r="P16" s="238">
        <f ca="1">IF('Point Data'!D16&gt;Standings!$Q$27,"",SUMIFS($M$2:$M$225,$D$2:$D$225,D16))</f>
        <v>3</v>
      </c>
      <c r="Q16" s="238">
        <f ca="1">IF('Point Data'!D16&gt;Standings!$Q$27,"",SUMIFS($L$2:$L$225,$D$2:$D$225,$D16))</f>
        <v>1597</v>
      </c>
      <c r="R16" s="240">
        <f ca="1">IF($D16&gt;Standings!$Q$27,"",IF(U16="T",(Z16+0.5)/(D16)*100,(Z16/D16)*100))</f>
        <v>100</v>
      </c>
      <c r="S16" s="239">
        <f ca="1">IF($D16&gt;Standings!$Q$27,"",$J16-$K16)</f>
        <v>5.0700000000000074</v>
      </c>
      <c r="T16" s="239">
        <f ca="1">IF($D16&gt;Standings!$Q$27,"",AVERAGE(OFFSET(S16,(-$D16+1),0,1,1):S16))</f>
        <v>5.0700000000000074</v>
      </c>
      <c r="U16" s="241">
        <f ca="1">IF($D16&gt;Standings!$Q$27,"",IF(J16&gt;K16,1,IF(J16=K16,"T",0)))</f>
        <v>1</v>
      </c>
      <c r="V16" s="241">
        <f ca="1">IF($D16&gt;Standings!$Q$27,"",IF(F16="Conf",0,SUMIFS($U$2:$U$225,$D$2:$D$225,"&lt;="&amp;$D16,$B$2:$B$225,$B16,$F$2:$F$225,"Non Conf")))</f>
        <v>1</v>
      </c>
      <c r="W16" s="241" t="str">
        <f ca="1">IF($D16&gt;Standings!$Q$27,"",$V16&amp;"-"&amp;COUNTIF(OFFSET($F16,(-$D16+1),0,1,1):$F16,"Non Conf")-$V16)</f>
        <v>1-0</v>
      </c>
      <c r="X16" s="241">
        <f>IF($D16&gt;Standings!$Q$27,"",SUMIFS($U$2:$U$225,$D$2:$D$225,"&lt;="&amp;$D16,$B$2:$B$225,$B16,$F$2:$F$225,"Conf"))</f>
        <v>0</v>
      </c>
      <c r="Y16" s="241" t="str">
        <f ca="1">IF($D16&gt;Standings!$Q$27,"",$X16&amp;"-"&amp;COUNTIF(OFFSET($F16,(-$D16+1),0,1,1):$F16,"Conf")-$X16)</f>
        <v>0-0</v>
      </c>
      <c r="Z16" s="241">
        <f ca="1">IF($D16&gt;Standings!$Q$27,"",SUM(OFFSET(U16,(-$D16+1),0,1,1):U16))</f>
        <v>1</v>
      </c>
      <c r="AA16" s="241">
        <f ca="1">IF($D16&gt;Standings!$Q$27,"",IF(U16=1,1,0))</f>
        <v>1</v>
      </c>
      <c r="AB16" s="242">
        <f ca="1">IF($D16&gt;Standings!$Q$27,"",IF(AA16=0,1,0))</f>
        <v>0</v>
      </c>
      <c r="AC16" s="243">
        <f ca="1">IF($D16&gt;Standings!$Q$27,"",SUM(OFFSET(J16,(-$D16+1),0,1,1):J16))</f>
        <v>101.04</v>
      </c>
      <c r="AD16" s="239">
        <f ca="1">IF($D16&gt;Standings!$Q$27,"",SUM(OFFSET(K16,(-$D16+1),0,1,1):K16))</f>
        <v>95.97</v>
      </c>
      <c r="AE16" s="239">
        <f ca="1">IF($D16&gt;Standings!$Q$27,"",$J16-$K16)</f>
        <v>5.0700000000000074</v>
      </c>
      <c r="AF16" s="239">
        <f ca="1">IF($D16&gt;Standings!$Q$27,"",AC16-AD16)</f>
        <v>5.0700000000000074</v>
      </c>
      <c r="AG16" s="244">
        <f ca="1">IF($D16&gt;Standings!$Q$27,"",(COUNTIFS($D$2:$D$225,$D16,$C$2:$C$225,$C16,$AC$2:$AC$225,"&lt;"&amp;$AC16)+1)*0.01)</f>
        <v>0.03</v>
      </c>
      <c r="AH16" s="244">
        <f ca="1">IF($D16&gt;Standings!$Q$27,"",Z16+AG16)</f>
        <v>1.03</v>
      </c>
      <c r="AI16" s="244"/>
      <c r="AJ16" s="241">
        <f t="array" aca="1" ref="AJ16" ca="1">IF($D16&gt;Standings!$Q$27,"",(COUNTIFS($D$2:$D$225,$D16,$C$2:$C$225,$C16,$AM$2:$AM$225,"&gt;"&amp;$AM16)+1))</f>
        <v>4</v>
      </c>
      <c r="AK16" s="241">
        <f t="array" aca="1" ref="AK16" ca="1">IF($D16&gt;Standings!$Q$27,"",IF((COUNTIFS($D$2:$D$225,$D16,$C$2:$C$225,$C16,$AH$2:$AH$225,"&gt;"&amp;$AH16)+1)=2,1,0))</f>
        <v>0</v>
      </c>
      <c r="AL16" s="241">
        <f t="array" aca="1" ref="AL16" ca="1">IF($D16&gt;Standings!$Q$27,"",IF((COUNTIFS($D$2:$D$225,$D16,$C$2:$C$225,$C16,$AH$2:$AH$225,"&gt;"&amp;$AH16)+1)&lt;2,1,0))</f>
        <v>0</v>
      </c>
      <c r="AM16" s="241">
        <f ca="1">IF($D16&gt;Standings!$Q$27,"",IF(AL16=1,200+Z16+(16-AQ16)*0.01+AI16,IF(AK16=1,100+Z16+(16-AQ16)*0.01+AI16,IF(AN16=1,50+Z16+(16-AQ16)*0.01,IF(AO16=1,15+Z16+(16-AQ16)*0.01,Z16+(16-AQ16)*0.01+AI16)))))</f>
        <v>16.059999999999999</v>
      </c>
      <c r="AN16" s="241">
        <f ca="1">IF($D16&gt;Standings!$Q$27,"",IF(OR($AK16=1,$AL16=1),"Conf Playoff Spot",COUNTIFS($AL$2:$AL$225,0,$AK$2:$AK$225,0,$C$2:$C$225,$C16,$D$2:$D$225,$D16,$AC$2:$AC$225,"&gt;"&amp;$AC16)+1))</f>
        <v>4</v>
      </c>
      <c r="AO16" s="241">
        <f t="array" aca="1" ref="AO16" ca="1">IF($D16&gt;Standings!$Q$27,"",IF(OR($AK16=1,$AL16=1),"Conf Playoff Spot",COUNTIFS($AK$2:$AK$225,0,$AL$2:$AL$225,0,$D$2:$D$225,$D16,$Z$2:$Z$225,"&gt;"&amp;$Z16)+1))</f>
        <v>1</v>
      </c>
      <c r="AP16" s="241">
        <f t="array" aca="1" ref="AP16" ca="1">IF($D16&gt;Standings!$Q$27,"",(COUNTIFS($D$2:$D$225,$D16,$J$2:$J$225,"&gt;"&amp;$J16)+1))</f>
        <v>10</v>
      </c>
      <c r="AQ16" s="240">
        <f ca="1">IF($D16&gt;Standings!$Q$27,"",(COUNTIFS($D$2:$D$225,$D16,$AC$2:$AC$225,"&gt;"&amp;$AC16)+1))</f>
        <v>10</v>
      </c>
      <c r="AR16" s="240">
        <f ca="1">IF($D16&gt;Standings!$Q$27,"",(COUNTIFS($D$2:$D$225,$D16,$K$2:$K$225,"&gt;"&amp;$K16)+1))</f>
        <v>13</v>
      </c>
      <c r="AS16" s="240">
        <f ca="1">IF($D16&gt;Standings!$Q$27,"",(COUNTIFS($D$2:$D$225,$D16,$AD$2:$AD$225,"&gt;"&amp;$AD16)+1))</f>
        <v>13</v>
      </c>
      <c r="AT16" s="353">
        <f ca="1">IF($D16&gt;Standings!$Q$27,"",SUMIFS($J$2:$J$225,$D$2:$D$225,$D16,$C$2:$C$225,$C16))</f>
        <v>827.09</v>
      </c>
      <c r="AU16" s="245">
        <f ca="1">IF($D16&gt;Standings!$Q$27,"",SUMIFS($AC$2:$AC$225,$D$2:$D$225,$D16,$C$2:$C$225,$C16))</f>
        <v>827.09</v>
      </c>
      <c r="AX16" s="169"/>
      <c r="AY16" s="169"/>
    </row>
    <row r="17" spans="1:51">
      <c r="A17" s="190">
        <f t="shared" si="0"/>
        <v>17</v>
      </c>
      <c r="B17" s="284" t="str">
        <f>'ESPN Data'!$L$5</f>
        <v>Team 2</v>
      </c>
      <c r="C17" s="346" t="str">
        <f>VLOOKUP(B17,'ESPN Data'!$L$4:$M$19,2,FALSE)</f>
        <v>Bone</v>
      </c>
      <c r="D17" s="397">
        <v>2</v>
      </c>
      <c r="E17" s="267" t="str">
        <f t="array" ref="E17">INDEX('ESPN Data'!$C$3:$C$226,MATCH(1,('ESPN Data'!$A$3:$A$226='Point Data'!$D17)*('ESPN Data'!$B$3:$B$226='Point Data'!$B17),0))</f>
        <v>Team 6</v>
      </c>
      <c r="F17" s="250" t="str">
        <f>IF(C17&lt;&gt;VLOOKUP($E17,'ESPN Data'!$L$4:$M$19,2,FALSE),"Non Conf", "Conf")</f>
        <v>Conf</v>
      </c>
      <c r="G17" s="246">
        <f t="array" aca="1" ref="G17" ca="1">IF('Point Data'!$D17&gt;Standings!$Q$27,"",(COUNTIFS($D$2:$D$225,$D17,$AM$2:$AM$225,"&gt;"&amp;$AM17)+1))</f>
        <v>4</v>
      </c>
      <c r="H17" s="247">
        <f ca="1">IF('Point Data'!$D17&gt;Standings!$Q$27,"",$G16)</f>
        <v>8</v>
      </c>
      <c r="I17" s="249">
        <f ca="1">IF('Point Data'!D17&gt;Standings!$Q$27,"",H17-G17)</f>
        <v>4</v>
      </c>
      <c r="J17" s="562">
        <f ca="1">IF('Point Data'!D17&gt;Standings!$Q$27,"",OFFSET('ESPN Data'!D$3,$A17,0,1,1))</f>
        <v>116.04</v>
      </c>
      <c r="K17" s="561">
        <f ca="1">IF('Point Data'!D17&gt;Standings!$Q$27,"",OFFSET('ESPN Data'!E$3,$A17,0,1,1))</f>
        <v>111.23</v>
      </c>
      <c r="L17" s="249">
        <f ca="1">IF('Point Data'!D17&gt;Standings!$Q$27,"",OFFSET('ESPN Data'!I$3,$A17,0,1,1))</f>
        <v>91</v>
      </c>
      <c r="M17" s="249">
        <f ca="1">IF('Point Data'!D17&gt;Standings!$Q$27,"",OFFSET('ESPN Data'!I$3,$A17,-2,1,1))</f>
        <v>9</v>
      </c>
      <c r="N17" s="249">
        <f ca="1">IF('Point Data'!D17&gt;Standings!$Q$27,"",SUMIFS($M$2:$M$225,$D$2:$D$225,D17,$C$2:$C$225,C17))</f>
        <v>44</v>
      </c>
      <c r="O17" s="249">
        <f ca="1">IF('Point Data'!D17&gt;Standings!$Q$27,"",SUMIFS($L$2:$L$225,$D$2:$D$225,$D17,$C$2:$C$225,$C17))</f>
        <v>753</v>
      </c>
      <c r="P17" s="249">
        <f ca="1">IF('Point Data'!D17&gt;Standings!$Q$27,"",SUMIFS($M$2:$M$225,$D$2:$D$225,D17))</f>
        <v>73</v>
      </c>
      <c r="Q17" s="249">
        <f ca="1">IF('Point Data'!D17&gt;Standings!$Q$27,"",SUMIFS($L$2:$L$225,$D$2:$D$225,D17))</f>
        <v>1524</v>
      </c>
      <c r="R17" s="249">
        <f ca="1">IF($D17&gt;Standings!$Q$27,"",IF(U17="T",(Z17+0.5)/(D17)*100,(Z17/D17)*100))</f>
        <v>100</v>
      </c>
      <c r="S17" s="248">
        <f ca="1">IF($D17&gt;Standings!$Q$27,"",$J17-$K17)</f>
        <v>4.8100000000000023</v>
      </c>
      <c r="T17" s="248">
        <f ca="1">IF($D17&gt;Standings!$Q$27,"",AVERAGE(OFFSET(S17,(-$D17+1),0,1,1):S17))</f>
        <v>4.9400000000000048</v>
      </c>
      <c r="U17" s="172">
        <f ca="1">IF($D17&gt;Standings!$Q$27,"",IF(J17&gt;K17,1,IF(J17=K17,"T",0)))</f>
        <v>1</v>
      </c>
      <c r="V17" s="172">
        <f ca="1">IF($D17&gt;Standings!$Q$27,"",IF(F17="Conf",V16,SUMIFS($U$2:$U$225,$D$2:$D$225,"&lt;="&amp;$D17,$B$2:$B$225,$B17,$F$2:$F$225,"Non Conf")))</f>
        <v>1</v>
      </c>
      <c r="W17" s="172" t="str">
        <f ca="1">IF($D17&gt;Standings!$Q$27,"",$V17&amp;"-"&amp;COUNTIF(OFFSET($F17,(-$D17+1),0,1,1):$F17,"Non Conf")-$V17)</f>
        <v>1-0</v>
      </c>
      <c r="X17" s="172">
        <f ca="1">IF($D17&gt;Standings!$Q$27,"",SUMIFS($U$2:$U$225,$D$2:$D$225,"&lt;="&amp;$D17,$B$2:$B$225,$B17,$F$2:$F$225,"Conf"))</f>
        <v>1</v>
      </c>
      <c r="Y17" s="172" t="str">
        <f ca="1">IF($D17&gt;Standings!$Q$27,"",$X17&amp;"-"&amp;COUNTIF(OFFSET($F17,(-$D17+1),0,1,1):$F17,"Conf")-$X17)</f>
        <v>1-0</v>
      </c>
      <c r="Z17" s="172">
        <f ca="1">IF($D17&gt;Standings!$Q$27,"",SUM(OFFSET(U17,(-$D17+1),0,1,1):U17))</f>
        <v>2</v>
      </c>
      <c r="AA17" s="172">
        <f ca="1">IF($D17&gt;Standings!$Q$27,"",IF(U17=1,1+AA16,0))</f>
        <v>2</v>
      </c>
      <c r="AB17" s="250">
        <f ca="1">IF($D17&gt;Standings!$Q$27,"",IF(AA17=0,1+AB16,0))</f>
        <v>0</v>
      </c>
      <c r="AC17" s="251">
        <f ca="1">IF($D17&gt;Standings!$Q$27,"",SUM(OFFSET(J17,(-$D17+1),0,1,1):J17))</f>
        <v>217.08</v>
      </c>
      <c r="AD17" s="248">
        <f ca="1">IF($D17&gt;Standings!$Q$27,"",SUM(OFFSET(K17,(-$D17+1),0,1,1):K17))</f>
        <v>207.2</v>
      </c>
      <c r="AE17" s="248">
        <f ca="1">IF($D17&gt;Standings!$Q$27,"",$J17-$K17)</f>
        <v>4.8100000000000023</v>
      </c>
      <c r="AF17" s="248">
        <f ca="1">IF($D17&gt;Standings!$Q$27,"",AC17-AD17)</f>
        <v>9.8800000000000239</v>
      </c>
      <c r="AG17" s="252">
        <f ca="1">IF($D17&gt;Standings!$Q$27,"",(COUNTIFS($D$2:$D$225,$D17,$C$2:$C$225,$C17,$AC$2:$AC$225,"&lt;"&amp;$AC17)+1)*0.01)</f>
        <v>0.05</v>
      </c>
      <c r="AH17" s="252">
        <f ca="1">IF($D17&gt;Standings!$Q$27,"",Z17+AG17)</f>
        <v>2.0499999999999998</v>
      </c>
      <c r="AI17" s="252"/>
      <c r="AJ17" s="172">
        <f t="array" aca="1" ref="AJ17" ca="1">IF($D17&gt;Standings!$Q$27,"",(COUNTIFS($D$2:$D$225,$D17,$C$2:$C$225,$C17,$AM$2:$AM$225,"&gt;"&amp;$AM17)+1))</f>
        <v>2</v>
      </c>
      <c r="AK17" s="172">
        <f t="array" aca="1" ref="AK17" ca="1">IF($D17&gt;Standings!$Q$27,"",IF((COUNTIFS($D$2:$D$225,$D17,$C$2:$C$225,$C17,$AH$2:$AH$225,"&gt;"&amp;$AH17)+1)=2,1,0))</f>
        <v>1</v>
      </c>
      <c r="AL17" s="172">
        <f t="array" aca="1" ref="AL17" ca="1">IF($D17&gt;Standings!$Q$27,"",IF((COUNTIFS($D$2:$D$225,$D17,$C$2:$C$225,$C17,$AH$2:$AH$225,"&gt;"&amp;$AH17)+1)&lt;2,1,0))</f>
        <v>0</v>
      </c>
      <c r="AM17" s="172">
        <f ca="1">IF($D17&gt;Standings!$Q$27,"",IF(AL17=1,200+Z17+(16-AQ17)*0.01+AI17,IF(AK17=1,100+Z17+(16-AQ17)*0.01+AI17,IF(AN17=1,50+Z17+(16-AQ17)*0.01,IF(AO17=1,15+Z17+(16-AQ17)*0.01,Z17+(16-AQ17)*0.01+AI17)))))</f>
        <v>102.07</v>
      </c>
      <c r="AN17" s="172" t="str">
        <f ca="1">IF($D17&gt;Standings!$Q$27,"",IF(OR($AK17=1,$AL17=1),"Conf Playoff Spot",COUNTIFS($AL$2:$AL$225,0,$AK$2:$AK$225,0,$C$2:$C$225,$C17,$D$2:$D$225,$D17,$AC$2:$AC$225,"&gt;"&amp;$AC17)+1))</f>
        <v>Conf Playoff Spot</v>
      </c>
      <c r="AO17" s="172" t="str">
        <f t="array" aca="1" ref="AO17" ca="1">IF($D17&gt;Standings!$Q$27,"",IF(OR($AK17=1,$AL17=1),"Conf Playoff Spot",COUNTIFS($AK$2:$AK$225,0,$AL$2:$AL$225,0,$D$2:$D$225,$D17,$Z$2:$Z$225,"&gt;"&amp;$Z17)+1))</f>
        <v>Conf Playoff Spot</v>
      </c>
      <c r="AP17" s="172">
        <f t="array" aca="1" ref="AP17" ca="1">IF($D17&gt;Standings!$Q$27,"",(COUNTIFS($D$2:$D$225,$D17,$J$2:$J$225,"&gt;"&amp;$J17)+1))</f>
        <v>6</v>
      </c>
      <c r="AQ17" s="249">
        <f ca="1">IF($D17&gt;Standings!$Q$27,"",(COUNTIFS($D$2:$D$225,$D17,$AC$2:$AC$225,"&gt;"&amp;$AC17)+1))</f>
        <v>9</v>
      </c>
      <c r="AR17" s="249">
        <f ca="1">IF($D17&gt;Standings!$Q$27,"",(COUNTIFS($D$2:$D$225,$D17,$K$2:$K$225,"&gt;"&amp;$K17)+1))</f>
        <v>8</v>
      </c>
      <c r="AS17" s="249">
        <f ca="1">IF($D17&gt;Standings!$Q$27,"",(COUNTIFS($D$2:$D$225,$D17,$AD$2:$AD$225,"&gt;"&amp;$AD17)+1))</f>
        <v>12</v>
      </c>
      <c r="AT17" s="354">
        <f ca="1">IF($D17&gt;Standings!$Q$27,"",SUMIFS($J$2:$J$225,$D$2:$D$225,$D17,$C$2:$C$225,$C17))</f>
        <v>849.17</v>
      </c>
      <c r="AU17" s="253">
        <f ca="1">IF($D17&gt;Standings!$Q$27,"",SUMIFS($AC$2:$AC$225,$D$2:$D$225,$D17,$C$2:$C$225,$C17))</f>
        <v>1676.26</v>
      </c>
      <c r="AX17" s="169"/>
      <c r="AY17" s="169"/>
    </row>
    <row r="18" spans="1:51">
      <c r="A18" s="190">
        <f t="shared" si="0"/>
        <v>33</v>
      </c>
      <c r="B18" s="198" t="str">
        <f>'ESPN Data'!$L$5</f>
        <v>Team 2</v>
      </c>
      <c r="C18" s="346" t="str">
        <f>VLOOKUP(B18,'ESPN Data'!$L$4:$M$19,2,FALSE)</f>
        <v>Bone</v>
      </c>
      <c r="D18" s="397">
        <v>3</v>
      </c>
      <c r="E18" s="267" t="str">
        <f t="array" ref="E18">INDEX('ESPN Data'!$C$3:$C$226,MATCH(1,('ESPN Data'!$A$3:$A$226='Point Data'!$D18)*('ESPN Data'!$B$3:$B$226='Point Data'!$B18),0))</f>
        <v>Team 14</v>
      </c>
      <c r="F18" s="250" t="str">
        <f>IF(C18&lt;&gt;VLOOKUP($E18,'ESPN Data'!$L$4:$M$19,2,FALSE),"Non Conf", "Conf")</f>
        <v>Non Conf</v>
      </c>
      <c r="G18" s="246">
        <f t="array" aca="1" ref="G18" ca="1">IF('Point Data'!$D18&gt;Standings!$Q$27,"",(COUNTIFS($D$2:$D$225,$D18,$AM$2:$AM$225,"&gt;"&amp;$AM18)+1))</f>
        <v>7</v>
      </c>
      <c r="H18" s="247">
        <f ca="1">IF('Point Data'!$D18&gt;Standings!$Q$27,"",$G17)</f>
        <v>4</v>
      </c>
      <c r="I18" s="249">
        <f ca="1">IF('Point Data'!D18&gt;Standings!$Q$27,"",H18-G18)</f>
        <v>-3</v>
      </c>
      <c r="J18" s="562">
        <f ca="1">IF('Point Data'!D18&gt;Standings!$Q$27,"",OFFSET('ESPN Data'!D$3,$A18,0,1,1))</f>
        <v>86.82</v>
      </c>
      <c r="K18" s="561">
        <f ca="1">IF('Point Data'!D18&gt;Standings!$Q$27,"",OFFSET('ESPN Data'!E$3,$A18,0,1,1))</f>
        <v>120.14</v>
      </c>
      <c r="L18" s="249">
        <f ca="1">IF('Point Data'!D18&gt;Standings!$Q$27,"",OFFSET('ESPN Data'!I$3,$A18,0,1,1))</f>
        <v>91</v>
      </c>
      <c r="M18" s="249">
        <f ca="1">IF('Point Data'!D18&gt;Standings!$Q$27,"",OFFSET('ESPN Data'!I$3,$A18,-2,1,1))</f>
        <v>0</v>
      </c>
      <c r="N18" s="249">
        <f ca="1">IF('Point Data'!D18&gt;Standings!$Q$27,"",SUMIFS($M$2:$M$225,$D$2:$D$225,D18,$C$2:$C$225,C18))</f>
        <v>25</v>
      </c>
      <c r="O18" s="249">
        <f ca="1">IF('Point Data'!D18&gt;Standings!$Q$27,"",SUMIFS($L$2:$L$225,$D$2:$D$225,$D18,$C$2:$C$225,$C18))</f>
        <v>728</v>
      </c>
      <c r="P18" s="249">
        <f ca="1">IF('Point Data'!D18&gt;Standings!$Q$27,"",SUMIFS($M$2:$M$225,$D$2:$D$225,D18))</f>
        <v>210</v>
      </c>
      <c r="Q18" s="249">
        <f ca="1">IF('Point Data'!D18&gt;Standings!$Q$27,"",SUMIFS($L$2:$L$225,$D$2:$D$225,D18))</f>
        <v>1314</v>
      </c>
      <c r="R18" s="249">
        <f ca="1">IF($D18&gt;Standings!$Q$27,"",IF(U18="T",(Z18+0.5)/(D18)*100,(Z18/D18)*100))</f>
        <v>66.666666666666657</v>
      </c>
      <c r="S18" s="248">
        <f ca="1">IF($D18&gt;Standings!$Q$27,"",$J18-$K18)</f>
        <v>-33.320000000000007</v>
      </c>
      <c r="T18" s="248">
        <f ca="1">IF($D18&gt;Standings!$Q$27,"",AVERAGE(OFFSET(S18,(-$D18+1),0,1,1):S18))</f>
        <v>-7.8133333333333326</v>
      </c>
      <c r="U18" s="172">
        <f ca="1">IF($D18&gt;Standings!$Q$27,"",IF(J18&gt;K18,1,IF(J18=K18,"T",0)))</f>
        <v>0</v>
      </c>
      <c r="V18" s="172">
        <f ca="1">IF($D18&gt;Standings!$Q$27,"",IF(F18="Conf",V17,SUMIFS($U$2:$U$225,$D$2:$D$225,"&lt;="&amp;$D18,$B$2:$B$225,$B18,$F$2:$F$225,"Non Conf")))</f>
        <v>1</v>
      </c>
      <c r="W18" s="172" t="str">
        <f ca="1">IF($D18&gt;Standings!$Q$27,"",$V18&amp;"-"&amp;COUNTIF(OFFSET($F18,(-$D18+1),0,1,1):$F18,"Non Conf")-$V18)</f>
        <v>1-1</v>
      </c>
      <c r="X18" s="172">
        <f ca="1">IF($D18&gt;Standings!$Q$27,"",SUMIFS($U$2:$U$225,$D$2:$D$225,"&lt;="&amp;$D18,$B$2:$B$225,$B18,$F$2:$F$225,"Conf"))</f>
        <v>1</v>
      </c>
      <c r="Y18" s="172" t="str">
        <f ca="1">IF($D18&gt;Standings!$Q$27,"",$X18&amp;"-"&amp;COUNTIF(OFFSET($F18,(-$D18+1),0,1,1):$F18,"Conf")-$X18)</f>
        <v>1-0</v>
      </c>
      <c r="Z18" s="172">
        <f ca="1">IF($D18&gt;Standings!$Q$27,"",SUM(OFFSET(U18,(-$D18+1),0,1,1):U18))</f>
        <v>2</v>
      </c>
      <c r="AA18" s="172">
        <f ca="1">IF($D18&gt;Standings!$Q$27,"",IF(U18=1,1+AA17,0))</f>
        <v>0</v>
      </c>
      <c r="AB18" s="250">
        <f ca="1">IF($D18&gt;Standings!$Q$27,"",IF(AA18=0,1+AB17,0))</f>
        <v>1</v>
      </c>
      <c r="AC18" s="251">
        <f ca="1">IF($D18&gt;Standings!$Q$27,"",SUM(OFFSET(J18,(-$D18+1),0,1,1):J18))</f>
        <v>303.89999999999998</v>
      </c>
      <c r="AD18" s="248">
        <f ca="1">IF($D18&gt;Standings!$Q$27,"",SUM(OFFSET(K18,(-$D18+1),0,1,1):K18))</f>
        <v>327.33999999999997</v>
      </c>
      <c r="AE18" s="248">
        <f ca="1">IF($D18&gt;Standings!$Q$27,"",$J18-$K18)</f>
        <v>-33.320000000000007</v>
      </c>
      <c r="AF18" s="248">
        <f ca="1">IF($D18&gt;Standings!$Q$27,"",AC18-AD18)</f>
        <v>-23.439999999999998</v>
      </c>
      <c r="AG18" s="252">
        <f ca="1">IF($D18&gt;Standings!$Q$27,"",(COUNTIFS($D$2:$D$225,$D18,$C$2:$C$225,$C18,$AC$2:$AC$225,"&lt;"&amp;$AC18)+1)*0.01)</f>
        <v>0.03</v>
      </c>
      <c r="AH18" s="252">
        <f ca="1">IF($D18&gt;Standings!$Q$27,"",Z18+AG18)</f>
        <v>2.0299999999999998</v>
      </c>
      <c r="AI18" s="252"/>
      <c r="AJ18" s="172">
        <f t="array" aca="1" ref="AJ18" ca="1">IF($D18&gt;Standings!$Q$27,"",(COUNTIFS($D$2:$D$225,$D18,$C$2:$C$225,$C18,$AM$2:$AM$225,"&gt;"&amp;$AM18)+1))</f>
        <v>4</v>
      </c>
      <c r="AK18" s="172">
        <f t="array" aca="1" ref="AK18" ca="1">IF($D18&gt;Standings!$Q$27,"",IF((COUNTIFS($D$2:$D$225,$D18,$C$2:$C$225,$C18,$AH$2:$AH$225,"&gt;"&amp;$AH18)+1)=2,1,0))</f>
        <v>0</v>
      </c>
      <c r="AL18" s="172">
        <f t="array" aca="1" ref="AL18" ca="1">IF($D18&gt;Standings!$Q$27,"",IF((COUNTIFS($D$2:$D$225,$D18,$C$2:$C$225,$C18,$AH$2:$AH$225,"&gt;"&amp;$AH18)+1)&lt;2,1,0))</f>
        <v>0</v>
      </c>
      <c r="AM18" s="172">
        <f ca="1">IF($D18&gt;Standings!$Q$27,"",IF(AL18=1,200+Z18+(16-AQ18)*0.01+AI18,IF(AK18=1,100+Z18+(16-AQ18)*0.01+AI18,IF(AN18=1,50+Z18+(16-AQ18)*0.01,IF(AO18=1,15+Z18+(16-AQ18)*0.01,Z18+(16-AQ18)*0.01+AI18)))))</f>
        <v>17.04</v>
      </c>
      <c r="AN18" s="172">
        <f ca="1">IF($D18&gt;Standings!$Q$27,"",IF(OR($AK18=1,$AL18=1),"Conf Playoff Spot",COUNTIFS($AL$2:$AL$225,0,$AK$2:$AK$225,0,$C$2:$C$225,$C18,$D$2:$D$225,$D18,$AC$2:$AC$225,"&gt;"&amp;$AC18)+1))</f>
        <v>4</v>
      </c>
      <c r="AO18" s="172">
        <f t="array" aca="1" ref="AO18" ca="1">IF($D18&gt;Standings!$Q$27,"",IF(OR($AK18=1,$AL18=1),"Conf Playoff Spot",COUNTIFS($AK$2:$AK$225,0,$AL$2:$AL$225,0,$D$2:$D$225,$D18,$Z$2:$Z$225,"&gt;"&amp;$Z18)+1))</f>
        <v>1</v>
      </c>
      <c r="AP18" s="172">
        <f t="array" aca="1" ref="AP18" ca="1">IF($D18&gt;Standings!$Q$27,"",(COUNTIFS($D$2:$D$225,$D18,$J$2:$J$225,"&gt;"&amp;$J18)+1))</f>
        <v>14</v>
      </c>
      <c r="AQ18" s="249">
        <f ca="1">IF($D18&gt;Standings!$Q$27,"",(COUNTIFS($D$2:$D$225,$D18,$AC$2:$AC$225,"&gt;"&amp;$AC18)+1))</f>
        <v>12</v>
      </c>
      <c r="AR18" s="249">
        <f ca="1">IF($D18&gt;Standings!$Q$27,"",(COUNTIFS($D$2:$D$225,$D18,$K$2:$K$225,"&gt;"&amp;$K18)+1))</f>
        <v>6</v>
      </c>
      <c r="AS18" s="249">
        <f ca="1">IF($D18&gt;Standings!$Q$27,"",(COUNTIFS($D$2:$D$225,$D18,$AD$2:$AD$225,"&gt;"&amp;$AD18)+1))</f>
        <v>8</v>
      </c>
      <c r="AT18" s="354">
        <f ca="1">IF($D18&gt;Standings!$Q$27,"",SUMIFS($J$2:$J$225,$D$2:$D$225,$D18,$C$2:$C$225,$C18))</f>
        <v>927.32</v>
      </c>
      <c r="AU18" s="253">
        <f ca="1">IF($D18&gt;Standings!$Q$27,"",SUMIFS($AC$2:$AC$225,$D$2:$D$225,$D18,$C$2:$C$225,$C18))</f>
        <v>2603.58</v>
      </c>
      <c r="AX18" s="169"/>
      <c r="AY18" s="169"/>
    </row>
    <row r="19" spans="1:51">
      <c r="A19" s="190">
        <f t="shared" si="0"/>
        <v>49</v>
      </c>
      <c r="B19" s="198" t="str">
        <f>'ESPN Data'!$L$5</f>
        <v>Team 2</v>
      </c>
      <c r="C19" s="346" t="str">
        <f>VLOOKUP(B19,'ESPN Data'!$L$4:$M$19,2,FALSE)</f>
        <v>Bone</v>
      </c>
      <c r="D19" s="397">
        <v>4</v>
      </c>
      <c r="E19" s="267" t="str">
        <f t="array" ref="E19">INDEX('ESPN Data'!$C$3:$C$226,MATCH(1,('ESPN Data'!$A$3:$A$226='Point Data'!$D19)*('ESPN Data'!$B$3:$B$226='Point Data'!$B19),0))</f>
        <v>Team 7</v>
      </c>
      <c r="F19" s="250" t="str">
        <f>IF(C19&lt;&gt;VLOOKUP($E19,'ESPN Data'!$L$4:$M$19,2,FALSE),"Non Conf", "Conf")</f>
        <v>Conf</v>
      </c>
      <c r="G19" s="246">
        <f t="array" aca="1" ref="G19" ca="1">IF('Point Data'!$D19&gt;Standings!$Q$27,"",(COUNTIFS($D$2:$D$225,$D19,$AM$2:$AM$225,"&gt;"&amp;$AM19)+1))</f>
        <v>7</v>
      </c>
      <c r="H19" s="247">
        <f ca="1">IF('Point Data'!$D19&gt;Standings!$Q$27,"",$G18)</f>
        <v>7</v>
      </c>
      <c r="I19" s="249">
        <f ca="1">IF('Point Data'!D19&gt;Standings!$Q$27,"",H19-G19)</f>
        <v>0</v>
      </c>
      <c r="J19" s="247">
        <f ca="1">IF('Point Data'!D19&gt;Standings!$Q$27,"",OFFSET('ESPN Data'!D$3,$A19,0,1,1))</f>
        <v>121.29</v>
      </c>
      <c r="K19" s="248">
        <f ca="1">IF('Point Data'!D19&gt;Standings!$Q$27,"",OFFSET('ESPN Data'!E$3,$A19,0,1,1))</f>
        <v>87.35</v>
      </c>
      <c r="L19" s="249">
        <f ca="1">IF('Point Data'!D19&gt;Standings!$Q$27,"",OFFSET('ESPN Data'!I$3,$A19,0,1,1))</f>
        <v>40</v>
      </c>
      <c r="M19" s="249">
        <f ca="1">IF('Point Data'!D19&gt;Standings!$Q$27,"",OFFSET('ESPN Data'!I$3,$A19,-2,1,1))</f>
        <v>51</v>
      </c>
      <c r="N19" s="249">
        <f ca="1">IF('Point Data'!D19&gt;Standings!$Q$27,"",SUMIFS($M$2:$M$225,$D$2:$D$225,D19,$C$2:$C$225,C19))</f>
        <v>161</v>
      </c>
      <c r="O19" s="249">
        <f ca="1">IF('Point Data'!D19&gt;Standings!$Q$27,"",SUMIFS($L$2:$L$225,$D$2:$D$225,$D19,$C$2:$C$225,$C19))</f>
        <v>567</v>
      </c>
      <c r="P19" s="249">
        <f ca="1">IF('Point Data'!D19&gt;Standings!$Q$27,"",SUMIFS($M$2:$M$225,$D$2:$D$225,D19))</f>
        <v>171</v>
      </c>
      <c r="Q19" s="249">
        <f ca="1">IF('Point Data'!D19&gt;Standings!$Q$27,"",SUMIFS($L$2:$L$225,$D$2:$D$225,D19))</f>
        <v>1143</v>
      </c>
      <c r="R19" s="249">
        <f ca="1">IF($D19&gt;Standings!$Q$27,"",IF(U19="T",(Z19+0.5)/(D19)*100,(Z19/D19)*100))</f>
        <v>75</v>
      </c>
      <c r="S19" s="248">
        <f ca="1">IF($D19&gt;Standings!$Q$27,"",$J19-$K19)</f>
        <v>33.940000000000012</v>
      </c>
      <c r="T19" s="248">
        <f ca="1">IF($D19&gt;Standings!$Q$27,"",AVERAGE(OFFSET(S19,(-$D19+1),0,1,1):S19))</f>
        <v>2.6250000000000036</v>
      </c>
      <c r="U19" s="172">
        <f ca="1">IF($D19&gt;Standings!$Q$27,"",IF(J19&gt;K19,1,IF(J19=K19,"T",0)))</f>
        <v>1</v>
      </c>
      <c r="V19" s="172">
        <f ca="1">IF($D19&gt;Standings!$Q$27,"",IF(F19="Conf",V18,SUMIFS($U$2:$U$225,$D$2:$D$225,"&lt;="&amp;$D19,$B$2:$B$225,$B19,$F$2:$F$225,"Non Conf")))</f>
        <v>1</v>
      </c>
      <c r="W19" s="172" t="str">
        <f ca="1">IF($D19&gt;Standings!$Q$27,"",$V19&amp;"-"&amp;COUNTIF(OFFSET($F19,(-$D19+1),0,1,1):$F19,"Non Conf")-$V19)</f>
        <v>1-1</v>
      </c>
      <c r="X19" s="172">
        <f ca="1">IF($D19&gt;Standings!$Q$27,"",SUMIFS($U$2:$U$225,$D$2:$D$225,"&lt;="&amp;$D19,$B$2:$B$225,$B19,$F$2:$F$225,"Conf"))</f>
        <v>2</v>
      </c>
      <c r="Y19" s="172" t="str">
        <f ca="1">IF($D19&gt;Standings!$Q$27,"",$X19&amp;"-"&amp;COUNTIF(OFFSET($F19,(-$D19+1),0,1,1):$F19,"Conf")-$X19)</f>
        <v>2-0</v>
      </c>
      <c r="Z19" s="172">
        <f ca="1">IF($D19&gt;Standings!$Q$27,"",SUM(OFFSET(U19,(-$D19+1),0,1,1):U19))</f>
        <v>3</v>
      </c>
      <c r="AA19" s="172">
        <f ca="1">IF($D19&gt;Standings!$Q$27,"",IF(U19=1,1+AA18,0))</f>
        <v>1</v>
      </c>
      <c r="AB19" s="250">
        <f ca="1">IF($D19&gt;Standings!$Q$27,"",IF(AA19=0,1+AB18,0))</f>
        <v>0</v>
      </c>
      <c r="AC19" s="251">
        <f ca="1">IF($D19&gt;Standings!$Q$27,"",SUM(OFFSET(J19,(-$D19+1),0,1,1):J19))</f>
        <v>425.19</v>
      </c>
      <c r="AD19" s="248">
        <f ca="1">IF($D19&gt;Standings!$Q$27,"",SUM(OFFSET(K19,(-$D19+1),0,1,1):K19))</f>
        <v>414.68999999999994</v>
      </c>
      <c r="AE19" s="248">
        <f ca="1">IF($D19&gt;Standings!$Q$27,"",$J19-$K19)</f>
        <v>33.940000000000012</v>
      </c>
      <c r="AF19" s="248">
        <f ca="1">IF($D19&gt;Standings!$Q$27,"",AC19-AD19)</f>
        <v>10.500000000000057</v>
      </c>
      <c r="AG19" s="252">
        <f ca="1">IF($D19&gt;Standings!$Q$27,"",(COUNTIFS($D$2:$D$225,$D19,$C$2:$C$225,$C19,$AC$2:$AC$225,"&lt;"&amp;$AC19)+1)*0.01)</f>
        <v>0.05</v>
      </c>
      <c r="AH19" s="252">
        <f ca="1">IF($D19&gt;Standings!$Q$27,"",Z19+AG19)</f>
        <v>3.05</v>
      </c>
      <c r="AI19" s="252"/>
      <c r="AJ19" s="172">
        <f t="array" aca="1" ref="AJ19" ca="1">IF($D19&gt;Standings!$Q$27,"",(COUNTIFS($D$2:$D$225,$D19,$C$2:$C$225,$C19,$AM$2:$AM$225,"&gt;"&amp;$AM19)+1))</f>
        <v>4</v>
      </c>
      <c r="AK19" s="172">
        <f t="array" aca="1" ref="AK19" ca="1">IF($D19&gt;Standings!$Q$27,"",IF((COUNTIFS($D$2:$D$225,$D19,$C$2:$C$225,$C19,$AH$2:$AH$225,"&gt;"&amp;$AH19)+1)=2,1,0))</f>
        <v>0</v>
      </c>
      <c r="AL19" s="172">
        <f t="array" aca="1" ref="AL19" ca="1">IF($D19&gt;Standings!$Q$27,"",IF((COUNTIFS($D$2:$D$225,$D19,$C$2:$C$225,$C19,$AH$2:$AH$225,"&gt;"&amp;$AH19)+1)&lt;2,1,0))</f>
        <v>0</v>
      </c>
      <c r="AM19" s="172">
        <f ca="1">IF($D19&gt;Standings!$Q$27,"",IF(AL19=1,200+Z19+(16-AQ19)*0.01+AI19,IF(AK19=1,100+Z19+(16-AQ19)*0.01+AI19,IF(AN19=1,50+Z19+(16-AQ19)*0.01,IF(AO19=1,15+Z19+(16-AQ19)*0.01,Z19+(16-AQ19)*0.01+AI19)))))</f>
        <v>18.079999999999998</v>
      </c>
      <c r="AN19" s="172">
        <f ca="1">IF($D19&gt;Standings!$Q$27,"",IF(OR($AK19=1,$AL19=1),"Conf Playoff Spot",COUNTIFS($AL$2:$AL$225,0,$AK$2:$AK$225,0,$C$2:$C$225,$C19,$D$2:$D$225,$D19,$AC$2:$AC$225,"&gt;"&amp;$AC19)+1))</f>
        <v>2</v>
      </c>
      <c r="AO19" s="172">
        <f t="array" aca="1" ref="AO19" ca="1">IF($D19&gt;Standings!$Q$27,"",IF(OR($AK19=1,$AL19=1),"Conf Playoff Spot",COUNTIFS($AK$2:$AK$225,0,$AL$2:$AL$225,0,$D$2:$D$225,$D19,$Z$2:$Z$225,"&gt;"&amp;$Z19)+1))</f>
        <v>1</v>
      </c>
      <c r="AP19" s="172">
        <f t="array" aca="1" ref="AP19" ca="1">IF($D19&gt;Standings!$Q$27,"",(COUNTIFS($D$2:$D$225,$D19,$J$2:$J$225,"&gt;"&amp;$J19)+1))</f>
        <v>3</v>
      </c>
      <c r="AQ19" s="249">
        <f ca="1">IF($D19&gt;Standings!$Q$27,"",(COUNTIFS($D$2:$D$225,$D19,$AC$2:$AC$225,"&gt;"&amp;$AC19)+1))</f>
        <v>8</v>
      </c>
      <c r="AR19" s="249">
        <f ca="1">IF($D19&gt;Standings!$Q$27,"",(COUNTIFS($D$2:$D$225,$D19,$K$2:$K$225,"&gt;"&amp;$K19)+1))</f>
        <v>14</v>
      </c>
      <c r="AS19" s="249">
        <f ca="1">IF($D19&gt;Standings!$Q$27,"",(COUNTIFS($D$2:$D$225,$D19,$AD$2:$AD$225,"&gt;"&amp;$AD19)+1))</f>
        <v>11</v>
      </c>
      <c r="AT19" s="354">
        <f ca="1">IF($D19&gt;Standings!$Q$27,"",SUMIFS($J$2:$J$225,$D$2:$D$225,$D19,$C$2:$C$225,$C19))</f>
        <v>806.98</v>
      </c>
      <c r="AU19" s="253">
        <f ca="1">IF($D19&gt;Standings!$Q$27,"",SUMIFS($AC$2:$AC$225,$D$2:$D$225,$D19,$C$2:$C$225,$C19))</f>
        <v>3410.56</v>
      </c>
    </row>
    <row r="20" spans="1:51">
      <c r="A20" s="190">
        <f t="shared" si="0"/>
        <v>65</v>
      </c>
      <c r="B20" s="198" t="str">
        <f>'ESPN Data'!$L$5</f>
        <v>Team 2</v>
      </c>
      <c r="C20" s="346" t="str">
        <f>VLOOKUP(B20,'ESPN Data'!$L$4:$M$19,2,FALSE)</f>
        <v>Bone</v>
      </c>
      <c r="D20" s="397">
        <v>5</v>
      </c>
      <c r="E20" s="267" t="str">
        <f t="array" ref="E20">INDEX('ESPN Data'!$C$3:$C$226,MATCH(1,('ESPN Data'!$A$3:$A$226='Point Data'!$D20)*('ESPN Data'!$B$3:$B$226='Point Data'!$B20),0))</f>
        <v>Team 11</v>
      </c>
      <c r="F20" s="250" t="str">
        <f>IF(C20&lt;&gt;VLOOKUP($E20,'ESPN Data'!$L$4:$M$19,2,FALSE),"Non Conf", "Conf")</f>
        <v>Non Conf</v>
      </c>
      <c r="G20" s="246">
        <f t="array" aca="1" ref="G20" ca="1">IF('Point Data'!$D20&gt;Standings!$Q$27,"",(COUNTIFS($D$2:$D$225,$D20,$AM$2:$AM$225,"&gt;"&amp;$AM20)+1))</f>
        <v>3</v>
      </c>
      <c r="H20" s="247">
        <f ca="1">IF('Point Data'!$D20&gt;Standings!$Q$27,"",$G19)</f>
        <v>7</v>
      </c>
      <c r="I20" s="249">
        <f ca="1">IF('Point Data'!D20&gt;Standings!$Q$27,"",H20-G20)</f>
        <v>4</v>
      </c>
      <c r="J20" s="247">
        <f ca="1">IF('Point Data'!D20&gt;Standings!$Q$27,"",OFFSET('ESPN Data'!D$3,$A20,0,1,1))</f>
        <v>138.77000000000001</v>
      </c>
      <c r="K20" s="248">
        <f ca="1">IF('Point Data'!D20&gt;Standings!$Q$27,"",OFFSET('ESPN Data'!E$3,$A20,0,1,1))</f>
        <v>137.59</v>
      </c>
      <c r="L20" s="249">
        <f ca="1">IF('Point Data'!D20&gt;Standings!$Q$27,"",OFFSET('ESPN Data'!I$3,$A20,0,1,1))</f>
        <v>29</v>
      </c>
      <c r="M20" s="249">
        <f ca="1">IF('Point Data'!D20&gt;Standings!$Q$27,"",OFFSET('ESPN Data'!I$3,$A20,-2,1,1))</f>
        <v>11</v>
      </c>
      <c r="N20" s="249">
        <f ca="1">IF('Point Data'!D20&gt;Standings!$Q$27,"",SUMIFS($M$2:$M$225,$D$2:$D$225,D20,$C$2:$C$225,C20))</f>
        <v>65</v>
      </c>
      <c r="O20" s="249">
        <f ca="1">IF('Point Data'!D20&gt;Standings!$Q$27,"",SUMIFS($L$2:$L$225,$D$2:$D$225,$D20,$C$2:$C$225,$C20))</f>
        <v>502</v>
      </c>
      <c r="P20" s="249">
        <f ca="1">IF('Point Data'!D20&gt;Standings!$Q$27,"",SUMIFS($M$2:$M$225,$D$2:$D$225,D20))</f>
        <v>104</v>
      </c>
      <c r="Q20" s="249">
        <f ca="1">IF('Point Data'!D20&gt;Standings!$Q$27,"",SUMIFS($L$2:$L$225,$D$2:$D$225,D20))</f>
        <v>1039</v>
      </c>
      <c r="R20" s="249">
        <f ca="1">IF($D20&gt;Standings!$Q$27,"",IF(U20="T",(Z20+0.5)/(D20)*100,(Z20/D20)*100))</f>
        <v>80</v>
      </c>
      <c r="S20" s="248">
        <f ca="1">IF($D20&gt;Standings!$Q$27,"",$J20-$K20)</f>
        <v>1.1800000000000068</v>
      </c>
      <c r="T20" s="248">
        <f ca="1">IF($D20&gt;Standings!$Q$27,"",AVERAGE(OFFSET(S20,(-$D20+1),0,1,1):S20))</f>
        <v>2.3360000000000043</v>
      </c>
      <c r="U20" s="172">
        <f ca="1">IF($D20&gt;Standings!$Q$27,"",IF(J20&gt;K20,1,IF(J20=K20,"T",0)))</f>
        <v>1</v>
      </c>
      <c r="V20" s="172">
        <f ca="1">IF($D20&gt;Standings!$Q$27,"",IF(F20="Conf",V19,SUMIFS($U$2:$U$225,$D$2:$D$225,"&lt;="&amp;$D20,$B$2:$B$225,$B20,$F$2:$F$225,"Non Conf")))</f>
        <v>2</v>
      </c>
      <c r="W20" s="172" t="str">
        <f ca="1">IF($D20&gt;Standings!$Q$27,"",$V20&amp;"-"&amp;COUNTIF(OFFSET($F20,(-$D20+1),0,1,1):$F20,"Non Conf")-$V20)</f>
        <v>2-1</v>
      </c>
      <c r="X20" s="172">
        <f ca="1">IF($D20&gt;Standings!$Q$27,"",SUMIFS($U$2:$U$225,$D$2:$D$225,"&lt;="&amp;$D20,$B$2:$B$225,$B20,$F$2:$F$225,"Conf"))</f>
        <v>2</v>
      </c>
      <c r="Y20" s="172" t="str">
        <f ca="1">IF($D20&gt;Standings!$Q$27,"",$X20&amp;"-"&amp;COUNTIF(OFFSET($F20,(-$D20+1),0,1,1):$F20,"Conf")-$X20)</f>
        <v>2-0</v>
      </c>
      <c r="Z20" s="172">
        <f ca="1">IF($D20&gt;Standings!$Q$27,"",SUM(OFFSET(U20,(-$D20+1),0,1,1):U20))</f>
        <v>4</v>
      </c>
      <c r="AA20" s="172">
        <f ca="1">IF($D20&gt;Standings!$Q$27,"",IF(U20=1,1+AA19,0))</f>
        <v>2</v>
      </c>
      <c r="AB20" s="250">
        <f ca="1">IF($D20&gt;Standings!$Q$27,"",IF(AA20=0,1+AB19,0))</f>
        <v>0</v>
      </c>
      <c r="AC20" s="251">
        <f ca="1">IF($D20&gt;Standings!$Q$27,"",SUM(OFFSET(J20,(-$D20+1),0,1,1):J20))</f>
        <v>563.96</v>
      </c>
      <c r="AD20" s="248">
        <f ca="1">IF($D20&gt;Standings!$Q$27,"",SUM(OFFSET(K20,(-$D20+1),0,1,1):K20))</f>
        <v>552.28</v>
      </c>
      <c r="AE20" s="248">
        <f ca="1">IF($D20&gt;Standings!$Q$27,"",$J20-$K20)</f>
        <v>1.1800000000000068</v>
      </c>
      <c r="AF20" s="248">
        <f ca="1">IF($D20&gt;Standings!$Q$27,"",AC20-AD20)</f>
        <v>11.680000000000064</v>
      </c>
      <c r="AG20" s="252">
        <f ca="1">IF($D20&gt;Standings!$Q$27,"",(COUNTIFS($D$2:$D$225,$D20,$C$2:$C$225,$C20,$AC$2:$AC$225,"&lt;"&amp;$AC20)+1)*0.01)</f>
        <v>7.0000000000000007E-2</v>
      </c>
      <c r="AH20" s="252">
        <f ca="1">IF($D20&gt;Standings!$Q$27,"",Z20+AG20)</f>
        <v>4.07</v>
      </c>
      <c r="AI20" s="252"/>
      <c r="AJ20" s="172">
        <f t="array" aca="1" ref="AJ20" ca="1">IF($D20&gt;Standings!$Q$27,"",(COUNTIFS($D$2:$D$225,$D20,$C$2:$C$225,$C20,$AM$2:$AM$225,"&gt;"&amp;$AM20)+1))</f>
        <v>2</v>
      </c>
      <c r="AK20" s="172">
        <f t="array" aca="1" ref="AK20" ca="1">IF($D20&gt;Standings!$Q$27,"",IF((COUNTIFS($D$2:$D$225,$D20,$C$2:$C$225,$C20,$AH$2:$AH$225,"&gt;"&amp;$AH20)+1)=2,1,0))</f>
        <v>1</v>
      </c>
      <c r="AL20" s="172">
        <f t="array" aca="1" ref="AL20" ca="1">IF($D20&gt;Standings!$Q$27,"",IF((COUNTIFS($D$2:$D$225,$D20,$C$2:$C$225,$C20,$AH$2:$AH$225,"&gt;"&amp;$AH20)+1)&lt;2,1,0))</f>
        <v>0</v>
      </c>
      <c r="AM20" s="172">
        <f ca="1">IF($D20&gt;Standings!$Q$27,"",IF(AL20=1,200+Z20+(16-AQ20)*0.01+AI20,IF(AK20=1,100+Z20+(16-AQ20)*0.01+AI20,IF(AN20=1,50+Z20+(16-AQ20)*0.01,IF(AO20=1,15+Z20+(16-AQ20)*0.01,Z20+(16-AQ20)*0.01+AI20)))))</f>
        <v>104.11</v>
      </c>
      <c r="AN20" s="172" t="str">
        <f ca="1">IF($D20&gt;Standings!$Q$27,"",IF(OR($AK20=1,$AL20=1),"Conf Playoff Spot",COUNTIFS($AL$2:$AL$225,0,$AK$2:$AK$225,0,$C$2:$C$225,$C20,$D$2:$D$225,$D20,$AC$2:$AC$225,"&gt;"&amp;$AC20)+1))</f>
        <v>Conf Playoff Spot</v>
      </c>
      <c r="AO20" s="172" t="str">
        <f t="array" aca="1" ref="AO20" ca="1">IF($D20&gt;Standings!$Q$27,"",IF(OR($AK20=1,$AL20=1),"Conf Playoff Spot",COUNTIFS($AK$2:$AK$225,0,$AL$2:$AL$225,0,$D$2:$D$225,$D20,$Z$2:$Z$225,"&gt;"&amp;$Z20)+1))</f>
        <v>Conf Playoff Spot</v>
      </c>
      <c r="AP20" s="172">
        <f t="array" aca="1" ref="AP20" ca="1">IF($D20&gt;Standings!$Q$27,"",(COUNTIFS($D$2:$D$225,$D20,$J$2:$J$225,"&gt;"&amp;$J20)+1))</f>
        <v>1</v>
      </c>
      <c r="AQ20" s="249">
        <f ca="1">IF($D20&gt;Standings!$Q$27,"",(COUNTIFS($D$2:$D$225,$D20,$AC$2:$AC$225,"&gt;"&amp;$AC20)+1))</f>
        <v>5</v>
      </c>
      <c r="AR20" s="249">
        <f ca="1">IF($D20&gt;Standings!$Q$27,"",(COUNTIFS($D$2:$D$225,$D20,$K$2:$K$225,"&gt;"&amp;$K20)+1))</f>
        <v>3</v>
      </c>
      <c r="AS20" s="249">
        <f ca="1">IF($D20&gt;Standings!$Q$27,"",(COUNTIFS($D$2:$D$225,$D20,$AD$2:$AD$225,"&gt;"&amp;$AD20)+1))</f>
        <v>5</v>
      </c>
      <c r="AT20" s="354">
        <f ca="1">IF($D20&gt;Standings!$Q$27,"",SUMIFS($J$2:$J$225,$D$2:$D$225,$D20,$C$2:$C$225,$C20))</f>
        <v>811.47</v>
      </c>
      <c r="AU20" s="253">
        <f ca="1">IF($D20&gt;Standings!$Q$27,"",SUMIFS($AC$2:$AC$225,$D$2:$D$225,$D20,$C$2:$C$225,$C20))</f>
        <v>4222.03</v>
      </c>
    </row>
    <row r="21" spans="1:51">
      <c r="A21" s="190">
        <f t="shared" si="0"/>
        <v>81</v>
      </c>
      <c r="B21" s="198" t="str">
        <f>'ESPN Data'!$L$5</f>
        <v>Team 2</v>
      </c>
      <c r="C21" s="346" t="str">
        <f>VLOOKUP(B21,'ESPN Data'!$L$4:$M$19,2,FALSE)</f>
        <v>Bone</v>
      </c>
      <c r="D21" s="397">
        <v>6</v>
      </c>
      <c r="E21" s="267" t="str">
        <f t="array" ref="E21">INDEX('ESPN Data'!$C$3:$C$226,MATCH(1,('ESPN Data'!$A$3:$A$226='Point Data'!$D21)*('ESPN Data'!$B$3:$B$226='Point Data'!$B21),0))</f>
        <v>Team 15</v>
      </c>
      <c r="F21" s="250" t="str">
        <f>IF(C21&lt;&gt;VLOOKUP($E21,'ESPN Data'!$L$4:$M$19,2,FALSE),"Non Conf", "Conf")</f>
        <v>Non Conf</v>
      </c>
      <c r="G21" s="246">
        <f t="array" aca="1" ref="G21" ca="1">IF('Point Data'!$D21&gt;Standings!$Q$27,"",(COUNTIFS($D$2:$D$225,$D21,$AM$2:$AM$225,"&gt;"&amp;$AM21)+1))</f>
        <v>1</v>
      </c>
      <c r="H21" s="247">
        <f ca="1">IF('Point Data'!$D21&gt;Standings!$Q$27,"",$G20)</f>
        <v>3</v>
      </c>
      <c r="I21" s="249">
        <f ca="1">IF('Point Data'!D21&gt;Standings!$Q$27,"",H21-G21)</f>
        <v>2</v>
      </c>
      <c r="J21" s="247">
        <f ca="1">IF('Point Data'!D21&gt;Standings!$Q$27,"",OFFSET('ESPN Data'!D$3,$A21,0,1,1))</f>
        <v>97.96</v>
      </c>
      <c r="K21" s="248">
        <f ca="1">IF('Point Data'!D21&gt;Standings!$Q$27,"",OFFSET('ESPN Data'!E$3,$A21,0,1,1))</f>
        <v>73.25</v>
      </c>
      <c r="L21" s="249">
        <f ca="1">IF('Point Data'!D21&gt;Standings!$Q$27,"",OFFSET('ESPN Data'!I$3,$A21,0,1,1))</f>
        <v>29</v>
      </c>
      <c r="M21" s="249">
        <f ca="1">IF('Point Data'!D21&gt;Standings!$Q$27,"",OFFSET('ESPN Data'!I$3,$A21,-2,1,1))</f>
        <v>0</v>
      </c>
      <c r="N21" s="249">
        <f ca="1">IF('Point Data'!D21&gt;Standings!$Q$27,"",SUMIFS($M$2:$M$225,$D$2:$D$225,D21,$C$2:$C$225,C21))</f>
        <v>116</v>
      </c>
      <c r="O21" s="249">
        <f ca="1">IF('Point Data'!D21&gt;Standings!$Q$27,"",SUMIFS($L$2:$L$225,$D$2:$D$225,$D21,$C$2:$C$225,$C21))</f>
        <v>386</v>
      </c>
      <c r="P21" s="249">
        <f ca="1">IF('Point Data'!D21&gt;Standings!$Q$27,"",SUMIFS($M$2:$M$225,$D$2:$D$225,D21))</f>
        <v>183</v>
      </c>
      <c r="Q21" s="249">
        <f ca="1">IF('Point Data'!D21&gt;Standings!$Q$27,"",SUMIFS($L$2:$L$225,$D$2:$D$225,D21))</f>
        <v>856</v>
      </c>
      <c r="R21" s="249">
        <f ca="1">IF($D21&gt;Standings!$Q$27,"",IF(U21="T",(Z21+0.5)/(D21)*100,(Z21/D21)*100))</f>
        <v>83.333333333333343</v>
      </c>
      <c r="S21" s="248">
        <f ca="1">IF($D21&gt;Standings!$Q$27,"",$J21-$K21)</f>
        <v>24.709999999999994</v>
      </c>
      <c r="T21" s="248">
        <f ca="1">IF($D21&gt;Standings!$Q$27,"",AVERAGE(OFFSET(S21,(-$D21+1),0,1,1):S21))</f>
        <v>6.0650000000000022</v>
      </c>
      <c r="U21" s="172">
        <f ca="1">IF($D21&gt;Standings!$Q$27,"",IF(J21&gt;K21,1,IF(J21=K21,"T",0)))</f>
        <v>1</v>
      </c>
      <c r="V21" s="172">
        <f ca="1">IF($D21&gt;Standings!$Q$27,"",IF(F21="Conf",V20,SUMIFS($U$2:$U$225,$D$2:$D$225,"&lt;="&amp;$D21,$B$2:$B$225,$B21,$F$2:$F$225,"Non Conf")))</f>
        <v>3</v>
      </c>
      <c r="W21" s="172" t="str">
        <f ca="1">IF($D21&gt;Standings!$Q$27,"",$V21&amp;"-"&amp;COUNTIF(OFFSET($F21,(-$D21+1),0,1,1):$F21,"Non Conf")-$V21)</f>
        <v>3-1</v>
      </c>
      <c r="X21" s="172">
        <f ca="1">IF($D21&gt;Standings!$Q$27,"",SUMIFS($U$2:$U$225,$D$2:$D$225,"&lt;="&amp;$D21,$B$2:$B$225,$B21,$F$2:$F$225,"Conf"))</f>
        <v>2</v>
      </c>
      <c r="Y21" s="172" t="str">
        <f ca="1">IF($D21&gt;Standings!$Q$27,"",$X21&amp;"-"&amp;COUNTIF(OFFSET($F21,(-$D21+1),0,1,1):$F21,"Conf")-$X21)</f>
        <v>2-0</v>
      </c>
      <c r="Z21" s="172">
        <f ca="1">IF($D21&gt;Standings!$Q$27,"",SUM(OFFSET(U21,(-$D21+1),0,1,1):U21))</f>
        <v>5</v>
      </c>
      <c r="AA21" s="172">
        <f ca="1">IF($D21&gt;Standings!$Q$27,"",IF(U21=1,1+AA20,0))</f>
        <v>3</v>
      </c>
      <c r="AB21" s="250">
        <f ca="1">IF($D21&gt;Standings!$Q$27,"",IF(AA21=0,1+AB20,0))</f>
        <v>0</v>
      </c>
      <c r="AC21" s="251">
        <f ca="1">IF($D21&gt;Standings!$Q$27,"",SUM(OFFSET(J21,(-$D21+1),0,1,1):J21))</f>
        <v>661.92000000000007</v>
      </c>
      <c r="AD21" s="248">
        <f ca="1">IF($D21&gt;Standings!$Q$27,"",SUM(OFFSET(K21,(-$D21+1),0,1,1):K21))</f>
        <v>625.53</v>
      </c>
      <c r="AE21" s="248">
        <f ca="1">IF($D21&gt;Standings!$Q$27,"",$J21-$K21)</f>
        <v>24.709999999999994</v>
      </c>
      <c r="AF21" s="248">
        <f ca="1">IF($D21&gt;Standings!$Q$27,"",AC21-AD21)</f>
        <v>36.3900000000001</v>
      </c>
      <c r="AG21" s="252">
        <f ca="1">IF($D21&gt;Standings!$Q$27,"",(COUNTIFS($D$2:$D$225,$D21,$C$2:$C$225,$C21,$AC$2:$AC$225,"&lt;"&amp;$AC21)+1)*0.01)</f>
        <v>0.05</v>
      </c>
      <c r="AH21" s="252">
        <f ca="1">IF($D21&gt;Standings!$Q$27,"",Z21+AG21)</f>
        <v>5.05</v>
      </c>
      <c r="AI21" s="252"/>
      <c r="AJ21" s="172">
        <f t="array" aca="1" ref="AJ21" ca="1">IF($D21&gt;Standings!$Q$27,"",(COUNTIFS($D$2:$D$225,$D21,$C$2:$C$225,$C21,$AM$2:$AM$225,"&gt;"&amp;$AM21)+1))</f>
        <v>1</v>
      </c>
      <c r="AK21" s="172">
        <f t="array" aca="1" ref="AK21" ca="1">IF($D21&gt;Standings!$Q$27,"",IF((COUNTIFS($D$2:$D$225,$D21,$C$2:$C$225,$C21,$AH$2:$AH$225,"&gt;"&amp;$AH21)+1)=2,1,0))</f>
        <v>0</v>
      </c>
      <c r="AL21" s="172">
        <f t="array" aca="1" ref="AL21" ca="1">IF($D21&gt;Standings!$Q$27,"",IF((COUNTIFS($D$2:$D$225,$D21,$C$2:$C$225,$C21,$AH$2:$AH$225,"&gt;"&amp;$AH21)+1)&lt;2,1,0))</f>
        <v>1</v>
      </c>
      <c r="AM21" s="172">
        <f ca="1">IF($D21&gt;Standings!$Q$27,"",IF(AL21=1,200+Z21+(16-AQ21)*0.01+AI21,IF(AK21=1,100+Z21+(16-AQ21)*0.01+AI21,IF(AN21=1,50+Z21+(16-AQ21)*0.01,IF(AO21=1,15+Z21+(16-AQ21)*0.01,Z21+(16-AQ21)*0.01+AI21)))))</f>
        <v>205.11</v>
      </c>
      <c r="AN21" s="172" t="str">
        <f ca="1">IF($D21&gt;Standings!$Q$27,"",IF(OR($AK21=1,$AL21=1),"Conf Playoff Spot",COUNTIFS($AL$2:$AL$225,0,$AK$2:$AK$225,0,$C$2:$C$225,$C21,$D$2:$D$225,$D21,$AC$2:$AC$225,"&gt;"&amp;$AC21)+1))</f>
        <v>Conf Playoff Spot</v>
      </c>
      <c r="AO21" s="172" t="str">
        <f t="array" aca="1" ref="AO21" ca="1">IF($D21&gt;Standings!$Q$27,"",IF(OR($AK21=1,$AL21=1),"Conf Playoff Spot",COUNTIFS($AK$2:$AK$225,0,$AL$2:$AL$225,0,$D$2:$D$225,$D21,$Z$2:$Z$225,"&gt;"&amp;$Z21)+1))</f>
        <v>Conf Playoff Spot</v>
      </c>
      <c r="AP21" s="172">
        <f t="array" aca="1" ref="AP21" ca="1">IF($D21&gt;Standings!$Q$27,"",(COUNTIFS($D$2:$D$225,$D21,$J$2:$J$225,"&gt;"&amp;$J21)+1))</f>
        <v>9</v>
      </c>
      <c r="AQ21" s="249">
        <f ca="1">IF($D21&gt;Standings!$Q$27,"",(COUNTIFS($D$2:$D$225,$D21,$AC$2:$AC$225,"&gt;"&amp;$AC21)+1))</f>
        <v>5</v>
      </c>
      <c r="AR21" s="249">
        <f ca="1">IF($D21&gt;Standings!$Q$27,"",(COUNTIFS($D$2:$D$225,$D21,$K$2:$K$225,"&gt;"&amp;$K21)+1))</f>
        <v>14</v>
      </c>
      <c r="AS21" s="249">
        <f ca="1">IF($D21&gt;Standings!$Q$27,"",(COUNTIFS($D$2:$D$225,$D21,$AD$2:$AD$225,"&gt;"&amp;$AD21)+1))</f>
        <v>12</v>
      </c>
      <c r="AT21" s="354">
        <f ca="1">IF($D21&gt;Standings!$Q$27,"",SUMIFS($J$2:$J$225,$D$2:$D$225,$D21,$C$2:$C$225,$C21))</f>
        <v>782.35</v>
      </c>
      <c r="AU21" s="253">
        <f ca="1">IF($D21&gt;Standings!$Q$27,"",SUMIFS($AC$2:$AC$225,$D$2:$D$225,$D21,$C$2:$C$225,$C21))</f>
        <v>5004.38</v>
      </c>
    </row>
    <row r="22" spans="1:51">
      <c r="A22" s="190">
        <f t="shared" si="0"/>
        <v>97</v>
      </c>
      <c r="B22" s="198" t="str">
        <f>'ESPN Data'!$L$5</f>
        <v>Team 2</v>
      </c>
      <c r="C22" s="346" t="str">
        <f>VLOOKUP(B22,'ESPN Data'!$L$4:$M$19,2,FALSE)</f>
        <v>Bone</v>
      </c>
      <c r="D22" s="397">
        <v>7</v>
      </c>
      <c r="E22" s="267" t="str">
        <f t="array" ref="E22">INDEX('ESPN Data'!$C$3:$C$226,MATCH(1,('ESPN Data'!$A$3:$A$226='Point Data'!$D22)*('ESPN Data'!$B$3:$B$226='Point Data'!$B22),0))</f>
        <v>Team 12</v>
      </c>
      <c r="F22" s="250" t="str">
        <f>IF(C22&lt;&gt;VLOOKUP($E22,'ESPN Data'!$L$4:$M$19,2,FALSE),"Non Conf", "Conf")</f>
        <v>Non Conf</v>
      </c>
      <c r="G22" s="246">
        <f t="array" aca="1" ref="G22" ca="1">IF('Point Data'!$D22&gt;Standings!$Q$27,"",(COUNTIFS($D$2:$D$225,$D22,$AM$2:$AM$225,"&gt;"&amp;$AM22)+1))</f>
        <v>1</v>
      </c>
      <c r="H22" s="247">
        <f ca="1">IF('Point Data'!$D22&gt;Standings!$Q$27,"",$G21)</f>
        <v>1</v>
      </c>
      <c r="I22" s="249">
        <f ca="1">IF('Point Data'!D22&gt;Standings!$Q$27,"",H22-G22)</f>
        <v>0</v>
      </c>
      <c r="J22" s="247">
        <f ca="1">IF('Point Data'!D22&gt;Standings!$Q$27,"",OFFSET('ESPN Data'!D$3,$A22,0,1,1))</f>
        <v>90.52</v>
      </c>
      <c r="K22" s="248">
        <f ca="1">IF('Point Data'!D22&gt;Standings!$Q$27,"",OFFSET('ESPN Data'!E$3,$A22,0,1,1))</f>
        <v>75.430000000000007</v>
      </c>
      <c r="L22" s="249">
        <f ca="1">IF('Point Data'!D22&gt;Standings!$Q$27,"",OFFSET('ESPN Data'!I$3,$A22,0,1,1))</f>
        <v>29</v>
      </c>
      <c r="M22" s="249">
        <f ca="1">IF('Point Data'!D22&gt;Standings!$Q$27,"",OFFSET('ESPN Data'!I$3,$A22,-2,1,1))</f>
        <v>0</v>
      </c>
      <c r="N22" s="249">
        <f ca="1">IF('Point Data'!D22&gt;Standings!$Q$27,"",SUMIFS($M$2:$M$225,$D$2:$D$225,D22,$C$2:$C$225,C22))</f>
        <v>28</v>
      </c>
      <c r="O22" s="249">
        <f ca="1">IF('Point Data'!D22&gt;Standings!$Q$27,"",SUMIFS($L$2:$L$225,$D$2:$D$225,$D22,$C$2:$C$225,$C22))</f>
        <v>358</v>
      </c>
      <c r="P22" s="249">
        <f ca="1">IF('Point Data'!D22&gt;Standings!$Q$27,"",SUMIFS($M$2:$M$225,$D$2:$D$225,D22))</f>
        <v>168</v>
      </c>
      <c r="Q22" s="249">
        <f ca="1">IF('Point Data'!D22&gt;Standings!$Q$27,"",SUMIFS($L$2:$L$225,$D$2:$D$225,D22))</f>
        <v>688</v>
      </c>
      <c r="R22" s="249">
        <f ca="1">IF($D22&gt;Standings!$Q$27,"",IF(U22="T",(Z22+0.5)/(D22)*100,(Z22/D22)*100))</f>
        <v>85.714285714285708</v>
      </c>
      <c r="S22" s="248">
        <f ca="1">IF($D22&gt;Standings!$Q$27,"",$J22-$K22)</f>
        <v>15.089999999999989</v>
      </c>
      <c r="T22" s="248">
        <f ca="1">IF($D22&gt;Standings!$Q$27,"",AVERAGE(OFFSET(S22,(-$D22+1),0,1,1):S22))</f>
        <v>7.354285714285715</v>
      </c>
      <c r="U22" s="172">
        <f ca="1">IF($D22&gt;Standings!$Q$27,"",IF(J22&gt;K22,1,IF(J22=K22,"T",0)))</f>
        <v>1</v>
      </c>
      <c r="V22" s="172">
        <f ca="1">IF($D22&gt;Standings!$Q$27,"",IF(F22="Conf",V21,SUMIFS($U$2:$U$225,$D$2:$D$225,"&lt;="&amp;$D22,$B$2:$B$225,$B22,$F$2:$F$225,"Non Conf")))</f>
        <v>4</v>
      </c>
      <c r="W22" s="172" t="str">
        <f ca="1">IF($D22&gt;Standings!$Q$27,"",$V22&amp;"-"&amp;COUNTIF(OFFSET($F22,(-$D22+1),0,1,1):$F22,"Non Conf")-$V22)</f>
        <v>4-1</v>
      </c>
      <c r="X22" s="172">
        <f ca="1">IF($D22&gt;Standings!$Q$27,"",SUMIFS($U$2:$U$225,$D$2:$D$225,"&lt;="&amp;$D22,$B$2:$B$225,$B22,$F$2:$F$225,"Conf"))</f>
        <v>2</v>
      </c>
      <c r="Y22" s="172" t="str">
        <f ca="1">IF($D22&gt;Standings!$Q$27,"",$X22&amp;"-"&amp;COUNTIF(OFFSET($F22,(-$D22+1),0,1,1):$F22,"Conf")-$X22)</f>
        <v>2-0</v>
      </c>
      <c r="Z22" s="172">
        <f ca="1">IF($D22&gt;Standings!$Q$27,"",SUM(OFFSET(U22,(-$D22+1),0,1,1):U22))</f>
        <v>6</v>
      </c>
      <c r="AA22" s="172">
        <f ca="1">IF($D22&gt;Standings!$Q$27,"",IF(U22=1,1+AA21,0))</f>
        <v>4</v>
      </c>
      <c r="AB22" s="250">
        <f ca="1">IF($D22&gt;Standings!$Q$27,"",IF(AA22=0,1+AB21,0))</f>
        <v>0</v>
      </c>
      <c r="AC22" s="251">
        <f ca="1">IF($D22&gt;Standings!$Q$27,"",SUM(OFFSET(J22,(-$D22+1),0,1,1):J22))</f>
        <v>752.44</v>
      </c>
      <c r="AD22" s="248">
        <f ca="1">IF($D22&gt;Standings!$Q$27,"",SUM(OFFSET(K22,(-$D22+1),0,1,1):K22))</f>
        <v>700.96</v>
      </c>
      <c r="AE22" s="248">
        <f ca="1">IF($D22&gt;Standings!$Q$27,"",$J22-$K22)</f>
        <v>15.089999999999989</v>
      </c>
      <c r="AF22" s="248">
        <f ca="1">IF($D22&gt;Standings!$Q$27,"",AC22-AD22)</f>
        <v>51.480000000000018</v>
      </c>
      <c r="AG22" s="252">
        <f ca="1">IF($D22&gt;Standings!$Q$27,"",(COUNTIFS($D$2:$D$225,$D22,$C$2:$C$225,$C22,$AC$2:$AC$225,"&lt;"&amp;$AC22)+1)*0.01)</f>
        <v>0.05</v>
      </c>
      <c r="AH22" s="252">
        <f ca="1">IF($D22&gt;Standings!$Q$27,"",Z22+AG22)</f>
        <v>6.05</v>
      </c>
      <c r="AI22" s="252"/>
      <c r="AJ22" s="172">
        <f t="array" aca="1" ref="AJ22" ca="1">IF($D22&gt;Standings!$Q$27,"",(COUNTIFS($D$2:$D$225,$D22,$C$2:$C$225,$C22,$AM$2:$AM$225,"&gt;"&amp;$AM22)+1))</f>
        <v>1</v>
      </c>
      <c r="AK22" s="172">
        <f t="array" aca="1" ref="AK22" ca="1">IF($D22&gt;Standings!$Q$27,"",IF((COUNTIFS($D$2:$D$225,$D22,$C$2:$C$225,$C22,$AH$2:$AH$225,"&gt;"&amp;$AH22)+1)=2,1,0))</f>
        <v>0</v>
      </c>
      <c r="AL22" s="172">
        <f t="array" aca="1" ref="AL22" ca="1">IF($D22&gt;Standings!$Q$27,"",IF((COUNTIFS($D$2:$D$225,$D22,$C$2:$C$225,$C22,$AH$2:$AH$225,"&gt;"&amp;$AH22)+1)&lt;2,1,0))</f>
        <v>1</v>
      </c>
      <c r="AM22" s="172">
        <f ca="1">IF($D22&gt;Standings!$Q$27,"",IF(AL22=1,200+Z22+(16-AQ22)*0.01+AI22,IF(AK22=1,100+Z22+(16-AQ22)*0.01+AI22,IF(AN22=1,50+Z22+(16-AQ22)*0.01,IF(AO22=1,15+Z22+(16-AQ22)*0.01,Z22+(16-AQ22)*0.01+AI22)))))</f>
        <v>206.1</v>
      </c>
      <c r="AN22" s="172" t="str">
        <f ca="1">IF($D22&gt;Standings!$Q$27,"",IF(OR($AK22=1,$AL22=1),"Conf Playoff Spot",COUNTIFS($AL$2:$AL$225,0,$AK$2:$AK$225,0,$C$2:$C$225,$C22,$D$2:$D$225,$D22,$AC$2:$AC$225,"&gt;"&amp;$AC22)+1))</f>
        <v>Conf Playoff Spot</v>
      </c>
      <c r="AO22" s="172" t="str">
        <f t="array" aca="1" ref="AO22" ca="1">IF($D22&gt;Standings!$Q$27,"",IF(OR($AK22=1,$AL22=1),"Conf Playoff Spot",COUNTIFS($AK$2:$AK$225,0,$AL$2:$AL$225,0,$D$2:$D$225,$D22,$Z$2:$Z$225,"&gt;"&amp;$Z22)+1))</f>
        <v>Conf Playoff Spot</v>
      </c>
      <c r="AP22" s="172">
        <f t="array" aca="1" ref="AP22" ca="1">IF($D22&gt;Standings!$Q$27,"",(COUNTIFS($D$2:$D$225,$D22,$J$2:$J$225,"&gt;"&amp;$J22)+1))</f>
        <v>12</v>
      </c>
      <c r="AQ22" s="249">
        <f ca="1">IF($D22&gt;Standings!$Q$27,"",(COUNTIFS($D$2:$D$225,$D22,$AC$2:$AC$225,"&gt;"&amp;$AC22)+1))</f>
        <v>6</v>
      </c>
      <c r="AR22" s="249">
        <f ca="1">IF($D22&gt;Standings!$Q$27,"",(COUNTIFS($D$2:$D$225,$D22,$K$2:$K$225,"&gt;"&amp;$K22)+1))</f>
        <v>14</v>
      </c>
      <c r="AS22" s="249">
        <f ca="1">IF($D22&gt;Standings!$Q$27,"",(COUNTIFS($D$2:$D$225,$D22,$AD$2:$AD$225,"&gt;"&amp;$AD22)+1))</f>
        <v>13</v>
      </c>
      <c r="AT22" s="354">
        <f ca="1">IF($D22&gt;Standings!$Q$27,"",SUMIFS($J$2:$J$225,$D$2:$D$225,$D22,$C$2:$C$225,$C22))</f>
        <v>939.21999999999991</v>
      </c>
      <c r="AU22" s="253">
        <f ca="1">IF($D22&gt;Standings!$Q$27,"",SUMIFS($AC$2:$AC$225,$D$2:$D$225,$D22,$C$2:$C$225,$C22))</f>
        <v>5943.6</v>
      </c>
    </row>
    <row r="23" spans="1:51">
      <c r="A23" s="190">
        <f t="shared" si="0"/>
        <v>113</v>
      </c>
      <c r="B23" s="198" t="str">
        <f>'ESPN Data'!$L$5</f>
        <v>Team 2</v>
      </c>
      <c r="C23" s="346" t="str">
        <f>VLOOKUP(B23,'ESPN Data'!$L$4:$M$19,2,FALSE)</f>
        <v>Bone</v>
      </c>
      <c r="D23" s="397">
        <v>8</v>
      </c>
      <c r="E23" s="267" t="str">
        <f t="array" ref="E23">INDEX('ESPN Data'!$C$3:$C$226,MATCH(1,('ESPN Data'!$A$3:$A$226='Point Data'!$D23)*('ESPN Data'!$B$3:$B$226='Point Data'!$B23),0))</f>
        <v>Team 5</v>
      </c>
      <c r="F23" s="250" t="str">
        <f>IF(C23&lt;&gt;VLOOKUP($E23,'ESPN Data'!$L$4:$M$19,2,FALSE),"Non Conf", "Conf")</f>
        <v>Conf</v>
      </c>
      <c r="G23" s="246">
        <f t="array" aca="1" ref="G23" ca="1">IF('Point Data'!$D23&gt;Standings!$Q$27,"",(COUNTIFS($D$2:$D$225,$D23,$AM$2:$AM$225,"&gt;"&amp;$AM23)+1))</f>
        <v>3</v>
      </c>
      <c r="H23" s="247">
        <f ca="1">IF('Point Data'!$D23&gt;Standings!$Q$27,"",$G22)</f>
        <v>1</v>
      </c>
      <c r="I23" s="249">
        <f ca="1">IF('Point Data'!D23&gt;Standings!$Q$27,"",H23-G23)</f>
        <v>-2</v>
      </c>
      <c r="J23" s="247">
        <f ca="1">IF('Point Data'!D23&gt;Standings!$Q$27,"",OFFSET('ESPN Data'!D$3,$A23,0,1,1))</f>
        <v>87.31</v>
      </c>
      <c r="K23" s="248">
        <f ca="1">IF('Point Data'!D23&gt;Standings!$Q$27,"",OFFSET('ESPN Data'!E$3,$A23,0,1,1))</f>
        <v>121.81</v>
      </c>
      <c r="L23" s="249">
        <f ca="1">IF('Point Data'!D23&gt;Standings!$Q$27,"",OFFSET('ESPN Data'!I$3,$A23,0,1,1))</f>
        <v>29</v>
      </c>
      <c r="M23" s="249">
        <f ca="1">IF('Point Data'!D23&gt;Standings!$Q$27,"",OFFSET('ESPN Data'!I$3,$A23,-2,1,1))</f>
        <v>0</v>
      </c>
      <c r="N23" s="249">
        <f ca="1">IF('Point Data'!D23&gt;Standings!$Q$27,"",SUMIFS($M$2:$M$225,$D$2:$D$225,D23,$C$2:$C$225,C23))</f>
        <v>18</v>
      </c>
      <c r="O23" s="249">
        <f ca="1">IF('Point Data'!D23&gt;Standings!$Q$27,"",SUMIFS($L$2:$L$225,$D$2:$D$225,$D23,$C$2:$C$225,$C23))</f>
        <v>340</v>
      </c>
      <c r="P23" s="249">
        <f ca="1">IF('Point Data'!D23&gt;Standings!$Q$27,"",SUMIFS($M$2:$M$225,$D$2:$D$225,D23))</f>
        <v>80</v>
      </c>
      <c r="Q23" s="249">
        <f ca="1">IF('Point Data'!D23&gt;Standings!$Q$27,"",SUMIFS($L$2:$L$225,$D$2:$D$225,D23))</f>
        <v>608</v>
      </c>
      <c r="R23" s="249">
        <f ca="1">IF($D23&gt;Standings!$Q$27,"",IF(U23="T",(Z23+0.5)/(D23)*100,(Z23/D23)*100))</f>
        <v>75</v>
      </c>
      <c r="S23" s="248">
        <f ca="1">IF($D23&gt;Standings!$Q$27,"",$J23-$K23)</f>
        <v>-34.5</v>
      </c>
      <c r="T23" s="248">
        <f ca="1">IF($D23&gt;Standings!$Q$27,"",AVERAGE(OFFSET(S23,(-$D23+1),0,1,1):S23))</f>
        <v>2.1225000000000005</v>
      </c>
      <c r="U23" s="172">
        <f ca="1">IF($D23&gt;Standings!$Q$27,"",IF(J23&gt;K23,1,IF(J23=K23,"T",0)))</f>
        <v>0</v>
      </c>
      <c r="V23" s="172">
        <f ca="1">IF($D23&gt;Standings!$Q$27,"",IF(F23="Conf",V22,SUMIFS($U$2:$U$225,$D$2:$D$225,"&lt;="&amp;$D23,$B$2:$B$225,$B23,$F$2:$F$225,"Non Conf")))</f>
        <v>4</v>
      </c>
      <c r="W23" s="172" t="str">
        <f ca="1">IF($D23&gt;Standings!$Q$27,"",$V23&amp;"-"&amp;COUNTIF(OFFSET($F23,(-$D23+1),0,1,1):$F23,"Non Conf")-$V23)</f>
        <v>4-1</v>
      </c>
      <c r="X23" s="172">
        <f ca="1">IF($D23&gt;Standings!$Q$27,"",SUMIFS($U$2:$U$225,$D$2:$D$225,"&lt;="&amp;$D23,$B$2:$B$225,$B23,$F$2:$F$225,"Conf"))</f>
        <v>2</v>
      </c>
      <c r="Y23" s="172" t="str">
        <f ca="1">IF($D23&gt;Standings!$Q$27,"",$X23&amp;"-"&amp;COUNTIF(OFFSET($F23,(-$D23+1),0,1,1):$F23,"Conf")-$X23)</f>
        <v>2-1</v>
      </c>
      <c r="Z23" s="172">
        <f ca="1">IF($D23&gt;Standings!$Q$27,"",SUM(OFFSET(U23,(-$D23+1),0,1,1):U23))</f>
        <v>6</v>
      </c>
      <c r="AA23" s="172">
        <f ca="1">IF($D23&gt;Standings!$Q$27,"",IF(U23=1,1+AA22,0))</f>
        <v>0</v>
      </c>
      <c r="AB23" s="250">
        <f ca="1">IF($D23&gt;Standings!$Q$27,"",IF(AA23=0,1+AB22,0))</f>
        <v>1</v>
      </c>
      <c r="AC23" s="251">
        <f ca="1">IF($D23&gt;Standings!$Q$27,"",SUM(OFFSET(J23,(-$D23+1),0,1,1):J23))</f>
        <v>839.75</v>
      </c>
      <c r="AD23" s="248">
        <f ca="1">IF($D23&gt;Standings!$Q$27,"",SUM(OFFSET(K23,(-$D23+1),0,1,1):K23))</f>
        <v>822.77</v>
      </c>
      <c r="AE23" s="248">
        <f ca="1">IF($D23&gt;Standings!$Q$27,"",$J23-$K23)</f>
        <v>-34.5</v>
      </c>
      <c r="AF23" s="248">
        <f ca="1">IF($D23&gt;Standings!$Q$27,"",AC23-AD23)</f>
        <v>16.980000000000018</v>
      </c>
      <c r="AG23" s="252">
        <f ca="1">IF($D23&gt;Standings!$Q$27,"",(COUNTIFS($D$2:$D$225,$D23,$C$2:$C$225,$C23,$AC$2:$AC$225,"&lt;"&amp;$AC23)+1)*0.01)</f>
        <v>0.05</v>
      </c>
      <c r="AH23" s="252">
        <f ca="1">IF($D23&gt;Standings!$Q$27,"",Z23+AG23)</f>
        <v>6.05</v>
      </c>
      <c r="AI23" s="252"/>
      <c r="AJ23" s="172">
        <f t="array" aca="1" ref="AJ23" ca="1">IF($D23&gt;Standings!$Q$27,"",(COUNTIFS($D$2:$D$225,$D23,$C$2:$C$225,$C23,$AM$2:$AM$225,"&gt;"&amp;$AM23)+1))</f>
        <v>2</v>
      </c>
      <c r="AK23" s="172">
        <f t="array" aca="1" ref="AK23" ca="1">IF($D23&gt;Standings!$Q$27,"",IF((COUNTIFS($D$2:$D$225,$D23,$C$2:$C$225,$C23,$AH$2:$AH$225,"&gt;"&amp;$AH23)+1)=2,1,0))</f>
        <v>1</v>
      </c>
      <c r="AL23" s="172">
        <f t="array" aca="1" ref="AL23" ca="1">IF($D23&gt;Standings!$Q$27,"",IF((COUNTIFS($D$2:$D$225,$D23,$C$2:$C$225,$C23,$AH$2:$AH$225,"&gt;"&amp;$AH23)+1)&lt;2,1,0))</f>
        <v>0</v>
      </c>
      <c r="AM23" s="172">
        <f ca="1">IF($D23&gt;Standings!$Q$27,"",IF(AL23=1,200+Z23+(16-AQ23)*0.01+AI23,IF(AK23=1,100+Z23+(16-AQ23)*0.01+AI23,IF(AN23=1,50+Z23+(16-AQ23)*0.01,IF(AO23=1,15+Z23+(16-AQ23)*0.01,Z23+(16-AQ23)*0.01+AI23)))))</f>
        <v>106.09</v>
      </c>
      <c r="AN23" s="172" t="str">
        <f ca="1">IF($D23&gt;Standings!$Q$27,"",IF(OR($AK23=1,$AL23=1),"Conf Playoff Spot",COUNTIFS($AL$2:$AL$225,0,$AK$2:$AK$225,0,$C$2:$C$225,$C23,$D$2:$D$225,$D23,$AC$2:$AC$225,"&gt;"&amp;$AC23)+1))</f>
        <v>Conf Playoff Spot</v>
      </c>
      <c r="AO23" s="172" t="str">
        <f t="array" aca="1" ref="AO23" ca="1">IF($D23&gt;Standings!$Q$27,"",IF(OR($AK23=1,$AL23=1),"Conf Playoff Spot",COUNTIFS($AK$2:$AK$225,0,$AL$2:$AL$225,0,$D$2:$D$225,$D23,$Z$2:$Z$225,"&gt;"&amp;$Z23)+1))</f>
        <v>Conf Playoff Spot</v>
      </c>
      <c r="AP23" s="172">
        <f t="array" aca="1" ref="AP23" ca="1">IF($D23&gt;Standings!$Q$27,"",(COUNTIFS($D$2:$D$225,$D23,$J$2:$J$225,"&gt;"&amp;$J23)+1))</f>
        <v>9</v>
      </c>
      <c r="AQ23" s="249">
        <f ca="1">IF($D23&gt;Standings!$Q$27,"",(COUNTIFS($D$2:$D$225,$D23,$AC$2:$AC$225,"&gt;"&amp;$AC23)+1))</f>
        <v>7</v>
      </c>
      <c r="AR23" s="249">
        <f ca="1">IF($D23&gt;Standings!$Q$27,"",(COUNTIFS($D$2:$D$225,$D23,$K$2:$K$225,"&gt;"&amp;$K23)+1))</f>
        <v>3</v>
      </c>
      <c r="AS23" s="249">
        <f ca="1">IF($D23&gt;Standings!$Q$27,"",(COUNTIFS($D$2:$D$225,$D23,$AD$2:$AD$225,"&gt;"&amp;$AD23)+1))</f>
        <v>10</v>
      </c>
      <c r="AT23" s="354">
        <f ca="1">IF($D23&gt;Standings!$Q$27,"",SUMIFS($J$2:$J$225,$D$2:$D$225,$D23,$C$2:$C$225,$C23))</f>
        <v>724.6400000000001</v>
      </c>
      <c r="AU23" s="253">
        <f ca="1">IF($D23&gt;Standings!$Q$27,"",SUMIFS($AC$2:$AC$225,$D$2:$D$225,$D23,$C$2:$C$225,$C23))</f>
        <v>6668.24</v>
      </c>
    </row>
    <row r="24" spans="1:51">
      <c r="A24" s="190">
        <f t="shared" si="0"/>
        <v>129</v>
      </c>
      <c r="B24" s="198" t="str">
        <f>'ESPN Data'!$L$5</f>
        <v>Team 2</v>
      </c>
      <c r="C24" s="346" t="str">
        <f>VLOOKUP(B24,'ESPN Data'!$L$4:$M$19,2,FALSE)</f>
        <v>Bone</v>
      </c>
      <c r="D24" s="397">
        <v>9</v>
      </c>
      <c r="E24" s="267" t="str">
        <f t="array" ref="E24">INDEX('ESPN Data'!$C$3:$C$226,MATCH(1,('ESPN Data'!$A$3:$A$226='Point Data'!$D24)*('ESPN Data'!$B$3:$B$226='Point Data'!$B24),0))</f>
        <v>Team 1</v>
      </c>
      <c r="F24" s="250" t="str">
        <f>IF(C24&lt;&gt;VLOOKUP($E24,'ESPN Data'!$L$4:$M$19,2,FALSE),"Non Conf", "Conf")</f>
        <v>Conf</v>
      </c>
      <c r="G24" s="246">
        <f t="array" aca="1" ref="G24" ca="1">IF('Point Data'!$D24&gt;Standings!$Q$27,"",(COUNTIFS($D$2:$D$225,$D24,$AM$2:$AM$225,"&gt;"&amp;$AM24)+1))</f>
        <v>3</v>
      </c>
      <c r="H24" s="247">
        <f ca="1">IF('Point Data'!$D24&gt;Standings!$Q$27,"",$G23)</f>
        <v>3</v>
      </c>
      <c r="I24" s="249">
        <f ca="1">IF('Point Data'!D24&gt;Standings!$Q$27,"",H24-G24)</f>
        <v>0</v>
      </c>
      <c r="J24" s="247">
        <f ca="1">IF('Point Data'!D24&gt;Standings!$Q$27,"",OFFSET('ESPN Data'!D$3,$A24,0,1,1))</f>
        <v>105.85</v>
      </c>
      <c r="K24" s="248">
        <f ca="1">IF('Point Data'!D24&gt;Standings!$Q$27,"",OFFSET('ESPN Data'!E$3,$A24,0,1,1))</f>
        <v>76.75</v>
      </c>
      <c r="L24" s="249">
        <f ca="1">IF('Point Data'!D24&gt;Standings!$Q$27,"",OFFSET('ESPN Data'!I$3,$A24,0,1,1))</f>
        <v>18</v>
      </c>
      <c r="M24" s="249">
        <f ca="1">IF('Point Data'!D24&gt;Standings!$Q$27,"",OFFSET('ESPN Data'!I$3,$A24,-2,1,1))</f>
        <v>11</v>
      </c>
      <c r="N24" s="249">
        <f ca="1">IF('Point Data'!D24&gt;Standings!$Q$27,"",SUMIFS($M$2:$M$225,$D$2:$D$225,D24,$C$2:$C$225,C24))</f>
        <v>35</v>
      </c>
      <c r="O24" s="249">
        <f ca="1">IF('Point Data'!D24&gt;Standings!$Q$27,"",SUMIFS($L$2:$L$225,$D$2:$D$225,$D24,$C$2:$C$225,$C24))</f>
        <v>305</v>
      </c>
      <c r="P24" s="249">
        <f ca="1">IF('Point Data'!D24&gt;Standings!$Q$27,"",SUMIFS($M$2:$M$225,$D$2:$D$225,D24))</f>
        <v>63</v>
      </c>
      <c r="Q24" s="249">
        <f ca="1">IF('Point Data'!D24&gt;Standings!$Q$27,"",SUMIFS($L$2:$L$225,$D$2:$D$225,D24))</f>
        <v>545</v>
      </c>
      <c r="R24" s="249">
        <f ca="1">IF($D24&gt;Standings!$Q$27,"",IF(U24="T",(Z24+0.5)/(D24)*100,(Z24/D24)*100))</f>
        <v>77.777777777777786</v>
      </c>
      <c r="S24" s="248">
        <f ca="1">IF($D24&gt;Standings!$Q$27,"",$J24-$K24)</f>
        <v>29.099999999999994</v>
      </c>
      <c r="T24" s="248">
        <f ca="1">IF($D24&gt;Standings!$Q$27,"",AVERAGE(OFFSET(S24,(-$D24+1),0,1,1):S24))</f>
        <v>5.12</v>
      </c>
      <c r="U24" s="172">
        <f ca="1">IF($D24&gt;Standings!$Q$27,"",IF(J24&gt;K24,1,IF(J24=K24,"T",0)))</f>
        <v>1</v>
      </c>
      <c r="V24" s="172">
        <f ca="1">IF($D24&gt;Standings!$Q$27,"",IF(F24="Conf",V23,SUMIFS($U$2:$U$225,$D$2:$D$225,"&lt;="&amp;$D24,$B$2:$B$225,$B24,$F$2:$F$225,"Non Conf")))</f>
        <v>4</v>
      </c>
      <c r="W24" s="172" t="str">
        <f ca="1">IF($D24&gt;Standings!$Q$27,"",$V24&amp;"-"&amp;COUNTIF(OFFSET($F24,(-$D24+1),0,1,1):$F24,"Non Conf")-$V24)</f>
        <v>4-1</v>
      </c>
      <c r="X24" s="172">
        <f ca="1">IF($D24&gt;Standings!$Q$27,"",SUMIFS($U$2:$U$225,$D$2:$D$225,"&lt;="&amp;$D24,$B$2:$B$225,$B24,$F$2:$F$225,"Conf"))</f>
        <v>3</v>
      </c>
      <c r="Y24" s="172" t="str">
        <f ca="1">IF($D24&gt;Standings!$Q$27,"",$X24&amp;"-"&amp;COUNTIF(OFFSET($F24,(-$D24+1),0,1,1):$F24,"Conf")-$X24)</f>
        <v>3-1</v>
      </c>
      <c r="Z24" s="172">
        <f ca="1">IF($D24&gt;Standings!$Q$27,"",SUM(OFFSET(U24,(-$D24+1),0,1,1):U24))</f>
        <v>7</v>
      </c>
      <c r="AA24" s="172">
        <f ca="1">IF($D24&gt;Standings!$Q$27,"",IF(U24=1,1+AA23,0))</f>
        <v>1</v>
      </c>
      <c r="AB24" s="250">
        <f ca="1">IF($D24&gt;Standings!$Q$27,"",IF(AA24=0,1+AB23,0))</f>
        <v>0</v>
      </c>
      <c r="AC24" s="251">
        <f ca="1">IF($D24&gt;Standings!$Q$27,"",SUM(OFFSET(J24,(-$D24+1),0,1,1):J24))</f>
        <v>945.6</v>
      </c>
      <c r="AD24" s="248">
        <f ca="1">IF($D24&gt;Standings!$Q$27,"",SUM(OFFSET(K24,(-$D24+1),0,1,1):K24))</f>
        <v>899.52</v>
      </c>
      <c r="AE24" s="248">
        <f ca="1">IF($D24&gt;Standings!$Q$27,"",$J24-$K24)</f>
        <v>29.099999999999994</v>
      </c>
      <c r="AF24" s="248">
        <f ca="1">IF($D24&gt;Standings!$Q$27,"",AC24-AD24)</f>
        <v>46.080000000000041</v>
      </c>
      <c r="AG24" s="252">
        <f ca="1">IF($D24&gt;Standings!$Q$27,"",(COUNTIFS($D$2:$D$225,$D24,$C$2:$C$225,$C24,$AC$2:$AC$225,"&lt;"&amp;$AC24)+1)*0.01)</f>
        <v>0.05</v>
      </c>
      <c r="AH24" s="252">
        <f ca="1">IF($D24&gt;Standings!$Q$27,"",Z24+AG24)</f>
        <v>7.05</v>
      </c>
      <c r="AI24" s="252"/>
      <c r="AJ24" s="172">
        <f t="array" aca="1" ref="AJ24" ca="1">IF($D24&gt;Standings!$Q$27,"",(COUNTIFS($D$2:$D$225,$D24,$C$2:$C$225,$C24,$AM$2:$AM$225,"&gt;"&amp;$AM24)+1))</f>
        <v>2</v>
      </c>
      <c r="AK24" s="172">
        <f t="array" aca="1" ref="AK24" ca="1">IF($D24&gt;Standings!$Q$27,"",IF((COUNTIFS($D$2:$D$225,$D24,$C$2:$C$225,$C24,$AH$2:$AH$225,"&gt;"&amp;$AH24)+1)=2,1,0))</f>
        <v>1</v>
      </c>
      <c r="AL24" s="172">
        <f t="array" aca="1" ref="AL24" ca="1">IF($D24&gt;Standings!$Q$27,"",IF((COUNTIFS($D$2:$D$225,$D24,$C$2:$C$225,$C24,$AH$2:$AH$225,"&gt;"&amp;$AH24)+1)&lt;2,1,0))</f>
        <v>0</v>
      </c>
      <c r="AM24" s="172">
        <f ca="1">IF($D24&gt;Standings!$Q$27,"",IF(AL24=1,200+Z24+(16-AQ24)*0.01+AI24,IF(AK24=1,100+Z24+(16-AQ24)*0.01+AI24,IF(AN24=1,50+Z24+(16-AQ24)*0.01,IF(AO24=1,15+Z24+(16-AQ24)*0.01,Z24+(16-AQ24)*0.01+AI24)))))</f>
        <v>107.09</v>
      </c>
      <c r="AN24" s="172" t="str">
        <f ca="1">IF($D24&gt;Standings!$Q$27,"",IF(OR($AK24=1,$AL24=1),"Conf Playoff Spot",COUNTIFS($AL$2:$AL$225,0,$AK$2:$AK$225,0,$C$2:$C$225,$C24,$D$2:$D$225,$D24,$AC$2:$AC$225,"&gt;"&amp;$AC24)+1))</f>
        <v>Conf Playoff Spot</v>
      </c>
      <c r="AO24" s="172" t="str">
        <f t="array" aca="1" ref="AO24" ca="1">IF($D24&gt;Standings!$Q$27,"",IF(OR($AK24=1,$AL24=1),"Conf Playoff Spot",COUNTIFS($AK$2:$AK$225,0,$AL$2:$AL$225,0,$D$2:$D$225,$D24,$Z$2:$Z$225,"&gt;"&amp;$Z24)+1))</f>
        <v>Conf Playoff Spot</v>
      </c>
      <c r="AP24" s="172">
        <f t="array" aca="1" ref="AP24" ca="1">IF($D24&gt;Standings!$Q$27,"",(COUNTIFS($D$2:$D$225,$D24,$J$2:$J$225,"&gt;"&amp;$J24)+1))</f>
        <v>6</v>
      </c>
      <c r="AQ24" s="249">
        <f ca="1">IF($D24&gt;Standings!$Q$27,"",(COUNTIFS($D$2:$D$225,$D24,$AC$2:$AC$225,"&gt;"&amp;$AC24)+1))</f>
        <v>7</v>
      </c>
      <c r="AR24" s="249">
        <f ca="1">IF($D24&gt;Standings!$Q$27,"",(COUNTIFS($D$2:$D$225,$D24,$K$2:$K$225,"&gt;"&amp;$K24)+1))</f>
        <v>14</v>
      </c>
      <c r="AS24" s="249">
        <f ca="1">IF($D24&gt;Standings!$Q$27,"",(COUNTIFS($D$2:$D$225,$D24,$AD$2:$AD$225,"&gt;"&amp;$AD24)+1))</f>
        <v>12</v>
      </c>
      <c r="AT24" s="354">
        <f ca="1">IF($D24&gt;Standings!$Q$27,"",SUMIFS($J$2:$J$225,$D$2:$D$225,$D24,$C$2:$C$225,$C24))</f>
        <v>780.12</v>
      </c>
      <c r="AU24" s="253">
        <f ca="1">IF($D24&gt;Standings!$Q$27,"",SUMIFS($AC$2:$AC$225,$D$2:$D$225,$D24,$C$2:$C$225,$C24))</f>
        <v>7448.3600000000006</v>
      </c>
    </row>
    <row r="25" spans="1:51">
      <c r="A25" s="190">
        <f t="shared" si="0"/>
        <v>145</v>
      </c>
      <c r="B25" s="198" t="str">
        <f>'ESPN Data'!$L$5</f>
        <v>Team 2</v>
      </c>
      <c r="C25" s="346" t="str">
        <f>VLOOKUP(B25,'ESPN Data'!$L$4:$M$19,2,FALSE)</f>
        <v>Bone</v>
      </c>
      <c r="D25" s="397">
        <v>10</v>
      </c>
      <c r="E25" s="267" t="str">
        <f t="array" ref="E25">INDEX('ESPN Data'!$C$3:$C$226,MATCH(1,('ESPN Data'!$A$3:$A$226='Point Data'!$D25)*('ESPN Data'!$B$3:$B$226='Point Data'!$B25),0))</f>
        <v>Team 13</v>
      </c>
      <c r="F25" s="250" t="str">
        <f>IF(C25&lt;&gt;VLOOKUP($E25,'ESPN Data'!$L$4:$M$19,2,FALSE),"Non Conf", "Conf")</f>
        <v>Non Conf</v>
      </c>
      <c r="G25" s="246">
        <f t="array" aca="1" ref="G25" ca="1">IF('Point Data'!$D25&gt;Standings!$Q$27,"",(COUNTIFS($D$2:$D$225,$D25,$AM$2:$AM$225,"&gt;"&amp;$AM25)+1))</f>
        <v>3</v>
      </c>
      <c r="H25" s="247">
        <f ca="1">IF('Point Data'!$D25&gt;Standings!$Q$27,"",$G24)</f>
        <v>3</v>
      </c>
      <c r="I25" s="249">
        <f ca="1">IF('Point Data'!D25&gt;Standings!$Q$27,"",H25-G25)</f>
        <v>0</v>
      </c>
      <c r="J25" s="247">
        <f ca="1">IF('Point Data'!D25&gt;Standings!$Q$27,"",OFFSET('ESPN Data'!D$3,$A25,0,1,1))</f>
        <v>72.900000000000006</v>
      </c>
      <c r="K25" s="248">
        <f ca="1">IF('Point Data'!D25&gt;Standings!$Q$27,"",OFFSET('ESPN Data'!E$3,$A25,0,1,1))</f>
        <v>85.59</v>
      </c>
      <c r="L25" s="249">
        <f ca="1">IF('Point Data'!D25&gt;Standings!$Q$27,"",OFFSET('ESPN Data'!I$3,$A25,0,1,1))</f>
        <v>12</v>
      </c>
      <c r="M25" s="249">
        <f ca="1">IF('Point Data'!D25&gt;Standings!$Q$27,"",OFFSET('ESPN Data'!I$3,$A25,-2,1,1))</f>
        <v>6</v>
      </c>
      <c r="N25" s="249">
        <f ca="1">IF('Point Data'!D25&gt;Standings!$Q$27,"",SUMIFS($M$2:$M$225,$D$2:$D$225,D25,$C$2:$C$225,C25))</f>
        <v>19</v>
      </c>
      <c r="O25" s="249">
        <f ca="1">IF('Point Data'!D25&gt;Standings!$Q$27,"",SUMIFS($L$2:$L$225,$D$2:$D$225,$D25,$C$2:$C$225,$C25))</f>
        <v>286</v>
      </c>
      <c r="P25" s="249">
        <f ca="1">IF('Point Data'!D25&gt;Standings!$Q$27,"",SUMIFS($M$2:$M$225,$D$2:$D$225,D25))</f>
        <v>32</v>
      </c>
      <c r="Q25" s="249">
        <f ca="1">IF('Point Data'!D25&gt;Standings!$Q$27,"",SUMIFS($L$2:$L$225,$D$2:$D$225,D25))</f>
        <v>513</v>
      </c>
      <c r="R25" s="249">
        <f ca="1">IF($D25&gt;Standings!$Q$27,"",IF(U25="T",(Z25+0.5)/(D25)*100,(Z25/D25)*100))</f>
        <v>70</v>
      </c>
      <c r="S25" s="248">
        <f ca="1">IF($D25&gt;Standings!$Q$27,"",$J25-$K25)</f>
        <v>-12.689999999999998</v>
      </c>
      <c r="T25" s="248">
        <f ca="1">IF($D25&gt;Standings!$Q$27,"",AVERAGE(OFFSET(S25,(-$D25+1),0,1,1):S25))</f>
        <v>3.339</v>
      </c>
      <c r="U25" s="172">
        <f ca="1">IF($D25&gt;Standings!$Q$27,"",IF(J25&gt;K25,1,IF(J25=K25,"T",0)))</f>
        <v>0</v>
      </c>
      <c r="V25" s="172">
        <f ca="1">IF($D25&gt;Standings!$Q$27,"",IF(F25="Conf",V24,SUMIFS($U$2:$U$225,$D$2:$D$225,"&lt;="&amp;$D25,$B$2:$B$225,$B25,$F$2:$F$225,"Non Conf")))</f>
        <v>4</v>
      </c>
      <c r="W25" s="172" t="str">
        <f ca="1">IF($D25&gt;Standings!$Q$27,"",$V25&amp;"-"&amp;COUNTIF(OFFSET($F25,(-$D25+1),0,1,1):$F25,"Non Conf")-$V25)</f>
        <v>4-2</v>
      </c>
      <c r="X25" s="172">
        <f ca="1">IF($D25&gt;Standings!$Q$27,"",SUMIFS($U$2:$U$225,$D$2:$D$225,"&lt;="&amp;$D25,$B$2:$B$225,$B25,$F$2:$F$225,"Conf"))</f>
        <v>3</v>
      </c>
      <c r="Y25" s="172" t="str">
        <f ca="1">IF($D25&gt;Standings!$Q$27,"",$X25&amp;"-"&amp;COUNTIF(OFFSET($F25,(-$D25+1),0,1,1):$F25,"Conf")-$X25)</f>
        <v>3-1</v>
      </c>
      <c r="Z25" s="172">
        <f ca="1">IF($D25&gt;Standings!$Q$27,"",SUM(OFFSET(U25,(-$D25+1),0,1,1):U25))</f>
        <v>7</v>
      </c>
      <c r="AA25" s="172">
        <f ca="1">IF($D25&gt;Standings!$Q$27,"",IF(U25=1,1+AA24,0))</f>
        <v>0</v>
      </c>
      <c r="AB25" s="250">
        <f ca="1">IF($D25&gt;Standings!$Q$27,"",IF(AA25=0,1+AB24,0))</f>
        <v>1</v>
      </c>
      <c r="AC25" s="251">
        <f ca="1">IF($D25&gt;Standings!$Q$27,"",SUM(OFFSET(J25,(-$D25+1),0,1,1):J25))</f>
        <v>1018.5</v>
      </c>
      <c r="AD25" s="248">
        <f ca="1">IF($D25&gt;Standings!$Q$27,"",SUM(OFFSET(K25,(-$D25+1),0,1,1):K25))</f>
        <v>985.11</v>
      </c>
      <c r="AE25" s="248">
        <f ca="1">IF($D25&gt;Standings!$Q$27,"",$J25-$K25)</f>
        <v>-12.689999999999998</v>
      </c>
      <c r="AF25" s="248">
        <f ca="1">IF($D25&gt;Standings!$Q$27,"",AC25-AD25)</f>
        <v>33.389999999999986</v>
      </c>
      <c r="AG25" s="252">
        <f ca="1">IF($D25&gt;Standings!$Q$27,"",(COUNTIFS($D$2:$D$225,$D25,$C$2:$C$225,$C25,$AC$2:$AC$225,"&lt;"&amp;$AC25)+1)*0.01)</f>
        <v>0.05</v>
      </c>
      <c r="AH25" s="252">
        <f ca="1">IF($D25&gt;Standings!$Q$27,"",Z25+AG25)</f>
        <v>7.05</v>
      </c>
      <c r="AI25" s="252"/>
      <c r="AJ25" s="172">
        <f t="array" aca="1" ref="AJ25" ca="1">IF($D25&gt;Standings!$Q$27,"",(COUNTIFS($D$2:$D$225,$D25,$C$2:$C$225,$C25,$AM$2:$AM$225,"&gt;"&amp;$AM25)+1))</f>
        <v>2</v>
      </c>
      <c r="AK25" s="172">
        <f t="array" aca="1" ref="AK25" ca="1">IF($D25&gt;Standings!$Q$27,"",IF((COUNTIFS($D$2:$D$225,$D25,$C$2:$C$225,$C25,$AH$2:$AH$225,"&gt;"&amp;$AH25)+1)=2,1,0))</f>
        <v>1</v>
      </c>
      <c r="AL25" s="172">
        <f t="array" aca="1" ref="AL25" ca="1">IF($D25&gt;Standings!$Q$27,"",IF((COUNTIFS($D$2:$D$225,$D25,$C$2:$C$225,$C25,$AH$2:$AH$225,"&gt;"&amp;$AH25)+1)&lt;2,1,0))</f>
        <v>0</v>
      </c>
      <c r="AM25" s="172">
        <f ca="1">IF($D25&gt;Standings!$Q$27,"",IF(AL25=1,200+Z25+(16-AQ25)*0.01+AI25,IF(AK25=1,100+Z25+(16-AQ25)*0.01+AI25,IF(AN25=1,50+Z25+(16-AQ25)*0.01,IF(AO25=1,15+Z25+(16-AQ25)*0.01,Z25+(16-AQ25)*0.01+AI25)))))</f>
        <v>107.09</v>
      </c>
      <c r="AN25" s="172" t="str">
        <f ca="1">IF($D25&gt;Standings!$Q$27,"",IF(OR($AK25=1,$AL25=1),"Conf Playoff Spot",COUNTIFS($AL$2:$AL$225,0,$AK$2:$AK$225,0,$C$2:$C$225,$C25,$D$2:$D$225,$D25,$AC$2:$AC$225,"&gt;"&amp;$AC25)+1))</f>
        <v>Conf Playoff Spot</v>
      </c>
      <c r="AO25" s="172" t="str">
        <f t="array" aca="1" ref="AO25" ca="1">IF($D25&gt;Standings!$Q$27,"",IF(OR($AK25=1,$AL25=1),"Conf Playoff Spot",COUNTIFS($AK$2:$AK$225,0,$AL$2:$AL$225,0,$D$2:$D$225,$D25,$Z$2:$Z$225,"&gt;"&amp;$Z25)+1))</f>
        <v>Conf Playoff Spot</v>
      </c>
      <c r="AP25" s="172">
        <f t="array" aca="1" ref="AP25" ca="1">IF($D25&gt;Standings!$Q$27,"",(COUNTIFS($D$2:$D$225,$D25,$J$2:$J$225,"&gt;"&amp;$J25)+1))</f>
        <v>14</v>
      </c>
      <c r="AQ25" s="249">
        <f ca="1">IF($D25&gt;Standings!$Q$27,"",(COUNTIFS($D$2:$D$225,$D25,$AC$2:$AC$225,"&gt;"&amp;$AC25)+1))</f>
        <v>7</v>
      </c>
      <c r="AR25" s="249">
        <f ca="1">IF($D25&gt;Standings!$Q$27,"",(COUNTIFS($D$2:$D$225,$D25,$K$2:$K$225,"&gt;"&amp;$K25)+1))</f>
        <v>9</v>
      </c>
      <c r="AS25" s="249">
        <f ca="1">IF($D25&gt;Standings!$Q$27,"",(COUNTIFS($D$2:$D$225,$D25,$AD$2:$AD$225,"&gt;"&amp;$AD25)+1))</f>
        <v>11</v>
      </c>
      <c r="AT25" s="354">
        <f ca="1">IF($D25&gt;Standings!$Q$27,"",SUMIFS($J$2:$J$225,$D$2:$D$225,$D25,$C$2:$C$225,$C25))</f>
        <v>753.38</v>
      </c>
      <c r="AU25" s="253">
        <f ca="1">IF($D25&gt;Standings!$Q$27,"",SUMIFS($AC$2:$AC$225,$D$2:$D$225,$D25,$C$2:$C$225,$C25))</f>
        <v>8201.74</v>
      </c>
    </row>
    <row r="26" spans="1:51">
      <c r="A26" s="190">
        <f t="shared" si="0"/>
        <v>161</v>
      </c>
      <c r="B26" s="198" t="str">
        <f>'ESPN Data'!$L$5</f>
        <v>Team 2</v>
      </c>
      <c r="C26" s="346" t="str">
        <f>VLOOKUP(B26,'ESPN Data'!$L$4:$M$19,2,FALSE)</f>
        <v>Bone</v>
      </c>
      <c r="D26" s="397">
        <v>11</v>
      </c>
      <c r="E26" s="267" t="str">
        <f t="array" ref="E26">INDEX('ESPN Data'!$C$3:$C$226,MATCH(1,('ESPN Data'!$A$3:$A$226='Point Data'!$D26)*('ESPN Data'!$B$3:$B$226='Point Data'!$B26),0))</f>
        <v>Team 16</v>
      </c>
      <c r="F26" s="250" t="str">
        <f>IF(C26&lt;&gt;VLOOKUP($E26,'ESPN Data'!$L$4:$M$19,2,FALSE),"Non Conf", "Conf")</f>
        <v>Non Conf</v>
      </c>
      <c r="G26" s="246">
        <f t="array" aca="1" ref="G26" ca="1">IF('Point Data'!$D26&gt;Standings!$Q$27,"",(COUNTIFS($D$2:$D$225,$D26,$AM$2:$AM$225,"&gt;"&amp;$AM26)+1))</f>
        <v>7</v>
      </c>
      <c r="H26" s="247">
        <f ca="1">IF('Point Data'!$D26&gt;Standings!$Q$27,"",$G25)</f>
        <v>3</v>
      </c>
      <c r="I26" s="249">
        <f ca="1">IF('Point Data'!D26&gt;Standings!$Q$27,"",H26-G26)</f>
        <v>-4</v>
      </c>
      <c r="J26" s="247">
        <f ca="1">IF('Point Data'!D26&gt;Standings!$Q$27,"",OFFSET('ESPN Data'!D$3,$A26,0,1,1))</f>
        <v>92.94</v>
      </c>
      <c r="K26" s="248">
        <f ca="1">IF('Point Data'!D26&gt;Standings!$Q$27,"",OFFSET('ESPN Data'!E$3,$A26,0,1,1))</f>
        <v>99.54</v>
      </c>
      <c r="L26" s="249">
        <f ca="1">IF('Point Data'!D26&gt;Standings!$Q$27,"",OFFSET('ESPN Data'!I$3,$A26,0,1,1))</f>
        <v>2</v>
      </c>
      <c r="M26" s="249">
        <f ca="1">IF('Point Data'!D26&gt;Standings!$Q$27,"",OFFSET('ESPN Data'!I$3,$A26,-2,1,1))</f>
        <v>10</v>
      </c>
      <c r="N26" s="249">
        <f ca="1">IF('Point Data'!D26&gt;Standings!$Q$27,"",SUMIFS($M$2:$M$225,$D$2:$D$225,D26,$C$2:$C$225,C26))</f>
        <v>51</v>
      </c>
      <c r="O26" s="249">
        <f ca="1">IF('Point Data'!D26&gt;Standings!$Q$27,"",SUMIFS($L$2:$L$225,$D$2:$D$225,$D26,$C$2:$C$225,$C26))</f>
        <v>235</v>
      </c>
      <c r="P26" s="249">
        <f ca="1">IF('Point Data'!D26&gt;Standings!$Q$27,"",SUMIFS($M$2:$M$225,$D$2:$D$225,D26))</f>
        <v>61</v>
      </c>
      <c r="Q26" s="249">
        <f ca="1">IF('Point Data'!D26&gt;Standings!$Q$27,"",SUMIFS($L$2:$L$225,$D$2:$D$225,D26))</f>
        <v>452</v>
      </c>
      <c r="R26" s="249">
        <f ca="1">IF($D26&gt;Standings!$Q$27,"",IF(U26="T",(Z26+0.5)/(D26)*100,(Z26/D26)*100))</f>
        <v>63.636363636363633</v>
      </c>
      <c r="S26" s="248">
        <f ca="1">IF($D26&gt;Standings!$Q$27,"",$J26-$K26)</f>
        <v>-6.6000000000000085</v>
      </c>
      <c r="T26" s="248">
        <f ca="1">IF($D26&gt;Standings!$Q$27,"",AVERAGE(OFFSET(S26,(-$D26+1),0,1,1):S26))</f>
        <v>2.4354545454545447</v>
      </c>
      <c r="U26" s="172">
        <f ca="1">IF($D26&gt;Standings!$Q$27,"",IF(J26&gt;K26,1,IF(J26=K26,"T",0)))</f>
        <v>0</v>
      </c>
      <c r="V26" s="172">
        <f ca="1">IF($D26&gt;Standings!$Q$27,"",IF(F26="Conf",V25,SUMIFS($U$2:$U$225,$D$2:$D$225,"&lt;="&amp;$D26,$B$2:$B$225,$B26,$F$2:$F$225,"Non Conf")))</f>
        <v>4</v>
      </c>
      <c r="W26" s="172" t="str">
        <f ca="1">IF($D26&gt;Standings!$Q$27,"",$V26&amp;"-"&amp;COUNTIF(OFFSET($F26,(-$D26+1),0,1,1):$F26,"Non Conf")-$V26)</f>
        <v>4-3</v>
      </c>
      <c r="X26" s="172">
        <f ca="1">IF($D26&gt;Standings!$Q$27,"",SUMIFS($U$2:$U$225,$D$2:$D$225,"&lt;="&amp;$D26,$B$2:$B$225,$B26,$F$2:$F$225,"Conf"))</f>
        <v>3</v>
      </c>
      <c r="Y26" s="172" t="str">
        <f ca="1">IF($D26&gt;Standings!$Q$27,"",$X26&amp;"-"&amp;COUNTIF(OFFSET($F26,(-$D26+1),0,1,1):$F26,"Conf")-$X26)</f>
        <v>3-1</v>
      </c>
      <c r="Z26" s="172">
        <f ca="1">IF($D26&gt;Standings!$Q$27,"",SUM(OFFSET(U26,(-$D26+1),0,1,1):U26))</f>
        <v>7</v>
      </c>
      <c r="AA26" s="172">
        <f ca="1">IF($D26&gt;Standings!$Q$27,"",IF(U26=1,1+AA25,0))</f>
        <v>0</v>
      </c>
      <c r="AB26" s="250">
        <f ca="1">IF($D26&gt;Standings!$Q$27,"",IF(AA26=0,1+AB25,0))</f>
        <v>2</v>
      </c>
      <c r="AC26" s="251">
        <f ca="1">IF($D26&gt;Standings!$Q$27,"",SUM(OFFSET(J26,(-$D26+1),0,1,1):J26))</f>
        <v>1111.44</v>
      </c>
      <c r="AD26" s="248">
        <f ca="1">IF($D26&gt;Standings!$Q$27,"",SUM(OFFSET(K26,(-$D26+1),0,1,1):K26))</f>
        <v>1084.6500000000001</v>
      </c>
      <c r="AE26" s="248">
        <f ca="1">IF($D26&gt;Standings!$Q$27,"",$J26-$K26)</f>
        <v>-6.6000000000000085</v>
      </c>
      <c r="AF26" s="248">
        <f ca="1">IF($D26&gt;Standings!$Q$27,"",AC26-AD26)</f>
        <v>26.789999999999964</v>
      </c>
      <c r="AG26" s="252">
        <f ca="1">IF($D26&gt;Standings!$Q$27,"",(COUNTIFS($D$2:$D$225,$D26,$C$2:$C$225,$C26,$AC$2:$AC$225,"&lt;"&amp;$AC26)+1)*0.01)</f>
        <v>0.05</v>
      </c>
      <c r="AH26" s="252">
        <f ca="1">IF($D26&gt;Standings!$Q$27,"",Z26+AG26)</f>
        <v>7.05</v>
      </c>
      <c r="AI26" s="252"/>
      <c r="AJ26" s="172">
        <f t="array" aca="1" ref="AJ26" ca="1">IF($D26&gt;Standings!$Q$27,"",(COUNTIFS($D$2:$D$225,$D26,$C$2:$C$225,$C26,$AM$2:$AM$225,"&gt;"&amp;$AM26)+1))</f>
        <v>4</v>
      </c>
      <c r="AK26" s="172">
        <f t="array" aca="1" ref="AK26" ca="1">IF($D26&gt;Standings!$Q$27,"",IF((COUNTIFS($D$2:$D$225,$D26,$C$2:$C$225,$C26,$AH$2:$AH$225,"&gt;"&amp;$AH26)+1)=2,1,0))</f>
        <v>0</v>
      </c>
      <c r="AL26" s="172">
        <f t="array" aca="1" ref="AL26" ca="1">IF($D26&gt;Standings!$Q$27,"",IF((COUNTIFS($D$2:$D$225,$D26,$C$2:$C$225,$C26,$AH$2:$AH$225,"&gt;"&amp;$AH26)+1)&lt;2,1,0))</f>
        <v>0</v>
      </c>
      <c r="AM26" s="172">
        <f ca="1">IF($D26&gt;Standings!$Q$27,"",IF(AL26=1,200+Z26+(16-AQ26)*0.01+AI26,IF(AK26=1,100+Z26+(16-AQ26)*0.01+AI26,IF(AN26=1,50+Z26+(16-AQ26)*0.01,IF(AO26=1,15+Z26+(16-AQ26)*0.01,Z26+(16-AQ26)*0.01+AI26)))))</f>
        <v>22.09</v>
      </c>
      <c r="AN26" s="172">
        <f ca="1">IF($D26&gt;Standings!$Q$27,"",IF(OR($AK26=1,$AL26=1),"Conf Playoff Spot",COUNTIFS($AL$2:$AL$225,0,$AK$2:$AK$225,0,$C$2:$C$225,$C26,$D$2:$D$225,$D26,$AC$2:$AC$225,"&gt;"&amp;$AC26)+1))</f>
        <v>2</v>
      </c>
      <c r="AO26" s="172">
        <f t="array" aca="1" ref="AO26" ca="1">IF($D26&gt;Standings!$Q$27,"",IF(OR($AK26=1,$AL26=1),"Conf Playoff Spot",COUNTIFS($AK$2:$AK$225,0,$AL$2:$AL$225,0,$D$2:$D$225,$D26,$Z$2:$Z$225,"&gt;"&amp;$Z26)+1))</f>
        <v>1</v>
      </c>
      <c r="AP26" s="172">
        <f t="array" aca="1" ref="AP26" ca="1">IF($D26&gt;Standings!$Q$27,"",(COUNTIFS($D$2:$D$225,$D26,$J$2:$J$225,"&gt;"&amp;$J26)+1))</f>
        <v>10</v>
      </c>
      <c r="AQ26" s="249">
        <f ca="1">IF($D26&gt;Standings!$Q$27,"",(COUNTIFS($D$2:$D$225,$D26,$AC$2:$AC$225,"&gt;"&amp;$AC26)+1))</f>
        <v>7</v>
      </c>
      <c r="AR26" s="249">
        <f ca="1">IF($D26&gt;Standings!$Q$27,"",(COUNTIFS($D$2:$D$225,$D26,$K$2:$K$225,"&gt;"&amp;$K26)+1))</f>
        <v>9</v>
      </c>
      <c r="AS26" s="249">
        <f ca="1">IF($D26&gt;Standings!$Q$27,"",(COUNTIFS($D$2:$D$225,$D26,$AD$2:$AD$225,"&gt;"&amp;$AD26)+1))</f>
        <v>11</v>
      </c>
      <c r="AT26" s="354">
        <f ca="1">IF($D26&gt;Standings!$Q$27,"",SUMIFS($J$2:$J$225,$D$2:$D$225,$D26,$C$2:$C$225,$C26))</f>
        <v>833.56000000000006</v>
      </c>
      <c r="AU26" s="253">
        <f ca="1">IF($D26&gt;Standings!$Q$27,"",SUMIFS($AC$2:$AC$225,$D$2:$D$225,$D26,$C$2:$C$225,$C26))</f>
        <v>9035.3000000000011</v>
      </c>
    </row>
    <row r="27" spans="1:51">
      <c r="A27" s="190">
        <f t="shared" si="0"/>
        <v>177</v>
      </c>
      <c r="B27" s="198" t="str">
        <f>'ESPN Data'!$L$5</f>
        <v>Team 2</v>
      </c>
      <c r="C27" s="346" t="str">
        <f>VLOOKUP(B27,'ESPN Data'!$L$4:$M$19,2,FALSE)</f>
        <v>Bone</v>
      </c>
      <c r="D27" s="397">
        <v>12</v>
      </c>
      <c r="E27" s="267" t="str">
        <f t="array" ref="E27">INDEX('ESPN Data'!$C$3:$C$226,MATCH(1,('ESPN Data'!$A$3:$A$226='Point Data'!$D27)*('ESPN Data'!$B$3:$B$226='Point Data'!$B27),0))</f>
        <v>Team 3</v>
      </c>
      <c r="F27" s="250" t="str">
        <f>IF(C27&lt;&gt;VLOOKUP($E27,'ESPN Data'!$L$4:$M$19,2,FALSE),"Non Conf", "Conf")</f>
        <v>Conf</v>
      </c>
      <c r="G27" s="246">
        <f t="array" aca="1" ref="G27" ca="1">IF('Point Data'!$D27&gt;Standings!$Q$27,"",(COUNTIFS($D$2:$D$225,$D27,$AM$2:$AM$225,"&gt;"&amp;$AM27)+1))</f>
        <v>7</v>
      </c>
      <c r="H27" s="247">
        <f ca="1">IF('Point Data'!$D27&gt;Standings!$Q$27,"",$G26)</f>
        <v>7</v>
      </c>
      <c r="I27" s="249">
        <f ca="1">IF('Point Data'!D27&gt;Standings!$Q$27,"",H27-G27)</f>
        <v>0</v>
      </c>
      <c r="J27" s="247">
        <f ca="1">IF('Point Data'!D27&gt;Standings!$Q$27,"",OFFSET('ESPN Data'!D$3,$A27,0,1,1))</f>
        <v>97.24</v>
      </c>
      <c r="K27" s="248">
        <f ca="1">IF('Point Data'!D27&gt;Standings!$Q$27,"",OFFSET('ESPN Data'!E$3,$A27,0,1,1))</f>
        <v>87.75</v>
      </c>
      <c r="L27" s="249">
        <f ca="1">IF('Point Data'!D27&gt;Standings!$Q$27,"",OFFSET('ESPN Data'!I$3,$A27,0,1,1))</f>
        <v>2</v>
      </c>
      <c r="M27" s="249">
        <f ca="1">IF('Point Data'!D27&gt;Standings!$Q$27,"",OFFSET('ESPN Data'!I$3,$A27,-2,1,1))</f>
        <v>0</v>
      </c>
      <c r="N27" s="249">
        <f ca="1">IF('Point Data'!D27&gt;Standings!$Q$27,"",SUMIFS($M$2:$M$225,$D$2:$D$225,D27,$C$2:$C$225,C27))</f>
        <v>6</v>
      </c>
      <c r="O27" s="249">
        <f ca="1">IF('Point Data'!D27&gt;Standings!$Q$27,"",SUMIFS($L$2:$L$225,$D$2:$D$225,$D27,$C$2:$C$225,$C27))</f>
        <v>229</v>
      </c>
      <c r="P27" s="249">
        <f ca="1">IF('Point Data'!D27&gt;Standings!$Q$27,"",SUMIFS($M$2:$M$225,$D$2:$D$225,D27))</f>
        <v>41</v>
      </c>
      <c r="Q27" s="249">
        <f ca="1">IF('Point Data'!D27&gt;Standings!$Q$27,"",SUMIFS($L$2:$L$225,$D$2:$D$225,D27))</f>
        <v>411</v>
      </c>
      <c r="R27" s="249">
        <f ca="1">IF($D27&gt;Standings!$Q$27,"",IF(U27="T",(Z27+0.5)/(D27)*100,(Z27/D27)*100))</f>
        <v>66.666666666666657</v>
      </c>
      <c r="S27" s="248">
        <f ca="1">IF($D27&gt;Standings!$Q$27,"",$J27-$K27)</f>
        <v>9.4899999999999949</v>
      </c>
      <c r="T27" s="248">
        <f ca="1">IF($D27&gt;Standings!$Q$27,"",AVERAGE(OFFSET(S27,(-$D27+1),0,1,1):S27))</f>
        <v>3.0233333333333321</v>
      </c>
      <c r="U27" s="172">
        <f ca="1">IF($D27&gt;Standings!$Q$27,"",IF(J27&gt;K27,1,IF(J27=K27,"T",0)))</f>
        <v>1</v>
      </c>
      <c r="V27" s="172">
        <f ca="1">IF($D27&gt;Standings!$Q$27,"",IF(F27="Conf",V26,SUMIFS($U$2:$U$225,$D$2:$D$225,"&lt;="&amp;$D27,$B$2:$B$225,$B27,$F$2:$F$225,"Non Conf")))</f>
        <v>4</v>
      </c>
      <c r="W27" s="172" t="str">
        <f ca="1">IF($D27&gt;Standings!$Q$27,"",$V27&amp;"-"&amp;COUNTIF(OFFSET($F27,(-$D27+1),0,1,1):$F27,"Non Conf")-$V27)</f>
        <v>4-3</v>
      </c>
      <c r="X27" s="172">
        <f ca="1">IF($D27&gt;Standings!$Q$27,"",SUMIFS($U$2:$U$225,$D$2:$D$225,"&lt;="&amp;$D27,$B$2:$B$225,$B27,$F$2:$F$225,"Conf"))</f>
        <v>4</v>
      </c>
      <c r="Y27" s="172" t="str">
        <f ca="1">IF($D27&gt;Standings!$Q$27,"",$X27&amp;"-"&amp;COUNTIF(OFFSET($F27,(-$D27+1),0,1,1):$F27,"Conf")-$X27)</f>
        <v>4-1</v>
      </c>
      <c r="Z27" s="172">
        <f ca="1">IF($D27&gt;Standings!$Q$27,"",SUM(OFFSET(U27,(-$D27+1),0,1,1):U27))</f>
        <v>8</v>
      </c>
      <c r="AA27" s="172">
        <f ca="1">IF($D27&gt;Standings!$Q$27,"",IF(U27=1,1+AA26,0))</f>
        <v>1</v>
      </c>
      <c r="AB27" s="250">
        <f ca="1">IF($D27&gt;Standings!$Q$27,"",IF(AA27=0,1+AB26,0))</f>
        <v>0</v>
      </c>
      <c r="AC27" s="251">
        <f ca="1">IF($D27&gt;Standings!$Q$27,"",SUM(OFFSET(J27,(-$D27+1),0,1,1):J27))</f>
        <v>1208.68</v>
      </c>
      <c r="AD27" s="248">
        <f ca="1">IF($D27&gt;Standings!$Q$27,"",SUM(OFFSET(K27,(-$D27+1),0,1,1):K27))</f>
        <v>1172.4000000000001</v>
      </c>
      <c r="AE27" s="248">
        <f ca="1">IF($D27&gt;Standings!$Q$27,"",$J27-$K27)</f>
        <v>9.4899999999999949</v>
      </c>
      <c r="AF27" s="248">
        <f ca="1">IF($D27&gt;Standings!$Q$27,"",AC27-AD27)</f>
        <v>36.279999999999973</v>
      </c>
      <c r="AG27" s="252">
        <f ca="1">IF($D27&gt;Standings!$Q$27,"",(COUNTIFS($D$2:$D$225,$D27,$C$2:$C$225,$C27,$AC$2:$AC$225,"&lt;"&amp;$AC27)+1)*0.01)</f>
        <v>0.04</v>
      </c>
      <c r="AH27" s="252">
        <f ca="1">IF($D27&gt;Standings!$Q$27,"",Z27+AG27)</f>
        <v>8.0399999999999991</v>
      </c>
      <c r="AI27" s="252"/>
      <c r="AJ27" s="172">
        <f t="array" aca="1" ref="AJ27" ca="1">IF($D27&gt;Standings!$Q$27,"",(COUNTIFS($D$2:$D$225,$D27,$C$2:$C$225,$C27,$AM$2:$AM$225,"&gt;"&amp;$AM27)+1))</f>
        <v>4</v>
      </c>
      <c r="AK27" s="172">
        <f t="array" aca="1" ref="AK27" ca="1">IF($D27&gt;Standings!$Q$27,"",IF((COUNTIFS($D$2:$D$225,$D27,$C$2:$C$225,$C27,$AH$2:$AH$225,"&gt;"&amp;$AH27)+1)=2,1,0))</f>
        <v>0</v>
      </c>
      <c r="AL27" s="172">
        <f t="array" aca="1" ref="AL27" ca="1">IF($D27&gt;Standings!$Q$27,"",IF((COUNTIFS($D$2:$D$225,$D27,$C$2:$C$225,$C27,$AH$2:$AH$225,"&gt;"&amp;$AH27)+1)&lt;2,1,0))</f>
        <v>0</v>
      </c>
      <c r="AM27" s="172">
        <f ca="1">IF($D27&gt;Standings!$Q$27,"",IF(AL27=1,200+Z27+(16-AQ27)*0.01+AI27,IF(AK27=1,100+Z27+(16-AQ27)*0.01+AI27,IF(AN27=1,50+Z27+(16-AQ27)*0.01,IF(AO27=1,15+Z27+(16-AQ27)*0.01,Z27+(16-AQ27)*0.01+AI27)))))</f>
        <v>23.08</v>
      </c>
      <c r="AN27" s="172">
        <f ca="1">IF($D27&gt;Standings!$Q$27,"",IF(OR($AK27=1,$AL27=1),"Conf Playoff Spot",COUNTIFS($AL$2:$AL$225,0,$AK$2:$AK$225,0,$C$2:$C$225,$C27,$D$2:$D$225,$D27,$AC$2:$AC$225,"&gt;"&amp;$AC27)+1))</f>
        <v>3</v>
      </c>
      <c r="AO27" s="172">
        <f t="array" aca="1" ref="AO27" ca="1">IF($D27&gt;Standings!$Q$27,"",IF(OR($AK27=1,$AL27=1),"Conf Playoff Spot",COUNTIFS($AK$2:$AK$225,0,$AL$2:$AL$225,0,$D$2:$D$225,$D27,$Z$2:$Z$225,"&gt;"&amp;$Z27)+1))</f>
        <v>1</v>
      </c>
      <c r="AP27" s="172">
        <f t="array" aca="1" ref="AP27" ca="1">IF($D27&gt;Standings!$Q$27,"",(COUNTIFS($D$2:$D$225,$D27,$J$2:$J$225,"&gt;"&amp;$J27)+1))</f>
        <v>10</v>
      </c>
      <c r="AQ27" s="249">
        <f ca="1">IF($D27&gt;Standings!$Q$27,"",(COUNTIFS($D$2:$D$225,$D27,$AC$2:$AC$225,"&gt;"&amp;$AC27)+1))</f>
        <v>8</v>
      </c>
      <c r="AR27" s="249">
        <f ca="1">IF($D27&gt;Standings!$Q$27,"",(COUNTIFS($D$2:$D$225,$D27,$K$2:$K$225,"&gt;"&amp;$K27)+1))</f>
        <v>12</v>
      </c>
      <c r="AS27" s="249">
        <f ca="1">IF($D27&gt;Standings!$Q$27,"",(COUNTIFS($D$2:$D$225,$D27,$AD$2:$AD$225,"&gt;"&amp;$AD27)+1))</f>
        <v>12</v>
      </c>
      <c r="AT27" s="354">
        <f ca="1">IF($D27&gt;Standings!$Q$27,"",SUMIFS($J$2:$J$225,$D$2:$D$225,$D27,$C$2:$C$225,$C27))</f>
        <v>841.41000000000008</v>
      </c>
      <c r="AU27" s="253">
        <f ca="1">IF($D27&gt;Standings!$Q$27,"",SUMIFS($AC$2:$AC$225,$D$2:$D$225,$D27,$C$2:$C$225,$C27))</f>
        <v>9876.7100000000009</v>
      </c>
    </row>
    <row r="28" spans="1:51" s="190" customFormat="1">
      <c r="A28" s="190">
        <f t="shared" si="0"/>
        <v>193</v>
      </c>
      <c r="B28" s="227" t="str">
        <f>'ESPN Data'!$L$5</f>
        <v>Team 2</v>
      </c>
      <c r="C28" s="347" t="str">
        <f>VLOOKUP(B28,'ESPN Data'!$L$4:$M$19,2,FALSE)</f>
        <v>Bone</v>
      </c>
      <c r="D28" s="550">
        <v>13</v>
      </c>
      <c r="E28" s="275" t="str">
        <f t="array" ref="E28">INDEX('ESPN Data'!$C$3:$C$226,MATCH(1,('ESPN Data'!$A$3:$A$226='Point Data'!$D28)*('ESPN Data'!$B$3:$B$226='Point Data'!$B28),0))</f>
        <v>Team 9</v>
      </c>
      <c r="F28" s="274" t="str">
        <f>IF(C28&lt;&gt;VLOOKUP($E28,'ESPN Data'!$L$4:$M$19,2,FALSE),"Non Conf", "Conf")</f>
        <v>Non Conf</v>
      </c>
      <c r="G28" s="271">
        <f t="array" aca="1" ref="G28" ca="1">IF('Point Data'!$D28&gt;Standings!$Q$27,"",(COUNTIFS($D$2:$D$225,$D28,$AM$2:$AM$225,"&gt;"&amp;$AM28)+1))</f>
        <v>7</v>
      </c>
      <c r="H28" s="551">
        <f ca="1">IF('Point Data'!$D28&gt;Standings!$Q$27,"",$G27)</f>
        <v>7</v>
      </c>
      <c r="I28" s="265">
        <f ca="1">IF('Point Data'!D28&gt;Standings!$Q$27,"",H28-G28)</f>
        <v>0</v>
      </c>
      <c r="J28" s="551">
        <f ca="1">IF('Point Data'!D28&gt;Standings!$Q$27,"",OFFSET('ESPN Data'!D$3,$A28,0,1,1))</f>
        <v>90.75</v>
      </c>
      <c r="K28" s="272">
        <f ca="1">IF('Point Data'!D28&gt;Standings!$Q$27,"",OFFSET('ESPN Data'!E$3,$A28,0,1,1))</f>
        <v>144.69</v>
      </c>
      <c r="L28" s="265">
        <f ca="1">IF('Point Data'!D28&gt;Standings!$Q$27,"",OFFSET('ESPN Data'!I$3,$A28,0,1,1))</f>
        <v>2</v>
      </c>
      <c r="M28" s="265">
        <f ca="1">IF('Point Data'!D28&gt;Standings!$Q$27,"",OFFSET('ESPN Data'!I$3,$A28,-2,1,1))</f>
        <v>0</v>
      </c>
      <c r="N28" s="265">
        <f ca="1">IF('Point Data'!D28&gt;Standings!$Q$27,"",SUMIFS($M$2:$M$225,$D$2:$D$225,D28,$C$2:$C$225,C28))</f>
        <v>5</v>
      </c>
      <c r="O28" s="265">
        <f ca="1">IF('Point Data'!D28&gt;Standings!$Q$27,"",SUMIFS($L$2:$L$225,$D$2:$D$225,$D28,$C$2:$C$225,$C28))</f>
        <v>224</v>
      </c>
      <c r="P28" s="265">
        <f ca="1">IF('Point Data'!D28&gt;Standings!$Q$27,"",SUMIFS($M$2:$M$225,$D$2:$D$225,D28))</f>
        <v>41</v>
      </c>
      <c r="Q28" s="265">
        <f ca="1">IF('Point Data'!D28&gt;Standings!$Q$27,"",SUMIFS($L$2:$L$225,$D$2:$D$225,D28))</f>
        <v>370</v>
      </c>
      <c r="R28" s="265">
        <f ca="1">IF($D28&gt;Standings!$Q$27,"",IF(U28="T",(Z28+0.5)/(D28)*100,(Z28/D28)*100))</f>
        <v>61.53846153846154</v>
      </c>
      <c r="S28" s="272">
        <f ca="1">IF($D28&gt;Standings!$Q$27,"",$J28-$K28)</f>
        <v>-53.94</v>
      </c>
      <c r="T28" s="272">
        <f ca="1">IF($D28&gt;Standings!$Q$27,"",AVERAGE(OFFSET(S28,(-$D28+1),0,1,1):S28))</f>
        <v>-1.3584615384615393</v>
      </c>
      <c r="U28" s="264">
        <f ca="1">IF($D28&gt;Standings!$Q$27,"",IF(J28&gt;K28,1,IF(J28=K28,"T",0)))</f>
        <v>0</v>
      </c>
      <c r="V28" s="264">
        <f ca="1">IF($D28&gt;Standings!$Q$27,"",IF(F28="Conf",V27,SUMIFS($U$2:$U$225,$D$2:$D$225,"&lt;="&amp;$D28,$B$2:$B$225,$B28,$F$2:$F$225,"Non Conf")))</f>
        <v>4</v>
      </c>
      <c r="W28" s="264" t="str">
        <f ca="1">IF($D28&gt;Standings!$Q$27,"",$V28&amp;"-"&amp;COUNTIF(OFFSET($F28,(-$D28+1),0,1,1):$F28,"Non Conf")-$V28)</f>
        <v>4-4</v>
      </c>
      <c r="X28" s="264">
        <f ca="1">IF($D28&gt;Standings!$Q$27,"",SUMIFS($U$2:$U$225,$D$2:$D$225,"&lt;="&amp;$D28,$B$2:$B$225,$B28,$F$2:$F$225,"Conf"))</f>
        <v>4</v>
      </c>
      <c r="Y28" s="264" t="str">
        <f ca="1">IF($D28&gt;Standings!$Q$27,"",$X28&amp;"-"&amp;COUNTIF(OFFSET($F28,(-$D28+1),0,1,1):$F28,"Conf")-$X28)</f>
        <v>4-1</v>
      </c>
      <c r="Z28" s="264">
        <f ca="1">IF($D28&gt;Standings!$Q$27,"",SUM(OFFSET(U28,(-$D28+1),0,1,1):U28))</f>
        <v>8</v>
      </c>
      <c r="AA28" s="264">
        <f ca="1">IF($D28&gt;Standings!$Q$27,"",IF(U28=1,1+AA27,0))</f>
        <v>0</v>
      </c>
      <c r="AB28" s="274">
        <f ca="1">IF($D28&gt;Standings!$Q$27,"",IF(AA28=0,1+AB27,0))</f>
        <v>1</v>
      </c>
      <c r="AC28" s="273">
        <f ca="1">IF($D28&gt;Standings!$Q$27,"",SUM(OFFSET(J28,(-$D28+1),0,1,1):J28))</f>
        <v>1299.43</v>
      </c>
      <c r="AD28" s="272">
        <f ca="1">IF($D28&gt;Standings!$Q$27,"",SUM(OFFSET(K28,(-$D28+1),0,1,1):K28))</f>
        <v>1317.0900000000001</v>
      </c>
      <c r="AE28" s="272">
        <f ca="1">IF($D28&gt;Standings!$Q$27,"",$J28-$K28)</f>
        <v>-53.94</v>
      </c>
      <c r="AF28" s="272">
        <f ca="1">IF($D28&gt;Standings!$Q$27,"",AC28-AD28)</f>
        <v>-17.660000000000082</v>
      </c>
      <c r="AG28" s="263">
        <f ca="1">IF($D28&gt;Standings!$Q$27,"",(COUNTIFS($D$2:$D$225,$D28,$C$2:$C$225,$C28,$AC$2:$AC$225,"&lt;"&amp;$AC28)+1)*0.01)</f>
        <v>0.04</v>
      </c>
      <c r="AH28" s="263">
        <f ca="1">IF($D28&gt;Standings!$Q$27,"",Z28+AG28)</f>
        <v>8.0399999999999991</v>
      </c>
      <c r="AI28" s="263"/>
      <c r="AJ28" s="264">
        <f t="array" aca="1" ref="AJ28" ca="1">IF($D28&gt;Standings!$Q$27,"",(COUNTIFS($D$2:$D$225,$D28,$C$2:$C$225,$C28,$AM$2:$AM$225,"&gt;"&amp;$AM28)+1))</f>
        <v>4</v>
      </c>
      <c r="AK28" s="264">
        <f t="array" aca="1" ref="AK28" ca="1">IF($D28&gt;Standings!$Q$27,"",IF((COUNTIFS($D$2:$D$225,$D28,$C$2:$C$225,$C28,$AH$2:$AH$225,"&gt;"&amp;$AH28)+1)=2,1,0))</f>
        <v>0</v>
      </c>
      <c r="AL28" s="264">
        <f t="array" aca="1" ref="AL28" ca="1">IF($D28&gt;Standings!$Q$27,"",IF((COUNTIFS($D$2:$D$225,$D28,$C$2:$C$225,$C28,$AH$2:$AH$225,"&gt;"&amp;$AH28)+1)&lt;2,1,0))</f>
        <v>0</v>
      </c>
      <c r="AM28" s="264">
        <f ca="1">IF($D28&gt;Standings!$Q$27,"",IF(AL28=1,200+Z28+(16-AQ28)*0.01+AI28,IF(AK28=1,100+Z28+(16-AQ28)*0.01+AI28,IF(AN28=1,50+Z28+(16-AQ28)*0.01,IF(AO28=1,15+Z28+(16-AQ28)*0.01,Z28+(16-AQ28)*0.01+AI28)))))</f>
        <v>23.08</v>
      </c>
      <c r="AN28" s="264">
        <f ca="1">IF($D28&gt;Standings!$Q$27,"",IF(OR($AK28=1,$AL28=1),"Conf Playoff Spot",COUNTIFS($AL$2:$AL$225,0,$AK$2:$AK$225,0,$C$2:$C$225,$C28,$D$2:$D$225,$D28,$AC$2:$AC$225,"&gt;"&amp;$AC28)+1))</f>
        <v>3</v>
      </c>
      <c r="AO28" s="264">
        <f t="array" aca="1" ref="AO28" ca="1">IF($D28&gt;Standings!$Q$27,"",IF(OR($AK28=1,$AL28=1),"Conf Playoff Spot",COUNTIFS($AK$2:$AK$225,0,$AL$2:$AL$225,0,$D$2:$D$225,$D28,$Z$2:$Z$225,"&gt;"&amp;$Z28)+1))</f>
        <v>1</v>
      </c>
      <c r="AP28" s="264">
        <f t="array" aca="1" ref="AP28" ca="1">IF($D28&gt;Standings!$Q$27,"",(COUNTIFS($D$2:$D$225,$D28,$J$2:$J$225,"&gt;"&amp;$J28)+1))</f>
        <v>11</v>
      </c>
      <c r="AQ28" s="265">
        <f ca="1">IF($D28&gt;Standings!$Q$27,"",(COUNTIFS($D$2:$D$225,$D28,$AC$2:$AC$225,"&gt;"&amp;$AC28)+1))</f>
        <v>8</v>
      </c>
      <c r="AR28" s="265">
        <f ca="1">IF($D28&gt;Standings!$Q$27,"",(COUNTIFS($D$2:$D$225,$D28,$K$2:$K$225,"&gt;"&amp;$K28)+1))</f>
        <v>2</v>
      </c>
      <c r="AS28" s="265">
        <f ca="1">IF($D28&gt;Standings!$Q$27,"",(COUNTIFS($D$2:$D$225,$D28,$AD$2:$AD$225,"&gt;"&amp;$AD28)+1))</f>
        <v>10</v>
      </c>
      <c r="AT28" s="356">
        <f ca="1">IF($D28&gt;Standings!$Q$27,"",SUMIFS($J$2:$J$225,$D$2:$D$225,$D28,$C$2:$C$225,$C28))</f>
        <v>774.50000000000011</v>
      </c>
      <c r="AU28" s="340">
        <f ca="1">IF($D28&gt;Standings!$Q$27,"",SUMIFS($AC$2:$AC$225,$D$2:$D$225,$D28,$C$2:$C$225,$C28))</f>
        <v>10651.210000000001</v>
      </c>
    </row>
    <row r="29" spans="1:51" ht="16" thickBot="1">
      <c r="A29" s="190">
        <f t="shared" si="0"/>
        <v>209</v>
      </c>
      <c r="B29" s="199" t="str">
        <f>'ESPN Data'!$L$5</f>
        <v>Team 2</v>
      </c>
      <c r="C29" s="348" t="str">
        <f>VLOOKUP(B29,'ESPN Data'!$L$4:$M$19,2,FALSE)</f>
        <v>Bone</v>
      </c>
      <c r="D29" s="398">
        <v>14</v>
      </c>
      <c r="E29" s="268" t="str">
        <f t="array" ref="E29">INDEX('ESPN Data'!$C$3:$C$226,MATCH(1,('ESPN Data'!$A$3:$A$226='Point Data'!$D29)*('ESPN Data'!$B$3:$B$226='Point Data'!$B29),0))</f>
        <v>Team 9</v>
      </c>
      <c r="F29" s="258" t="str">
        <f>IF(C29&lt;&gt;VLOOKUP($E29,'ESPN Data'!$L$4:$M$19,2,FALSE),"Non Conf", "Conf")</f>
        <v>Non Conf</v>
      </c>
      <c r="G29" s="262" t="str">
        <f t="array" ref="G29">IF('Point Data'!$D29&gt;Standings!$Q$27,"",(COUNTIFS($D$2:$D$225,$D29,$AM$2:$AM$225,"&gt;"&amp;$AM29)+1))</f>
        <v/>
      </c>
      <c r="H29" s="254" t="str">
        <f>IF('Point Data'!$D29&gt;Standings!$Q$27,"",$G27)</f>
        <v/>
      </c>
      <c r="I29" s="256" t="str">
        <f>IF('Point Data'!D29&gt;Standings!$Q$27,"",H29-G29)</f>
        <v/>
      </c>
      <c r="J29" s="254" t="str">
        <f ca="1">IF('Point Data'!D29&gt;Standings!$Q$27,"",OFFSET('ESPN Data'!D$3,$A29,0,1,1))</f>
        <v/>
      </c>
      <c r="K29" s="255" t="str">
        <f ca="1">IF('Point Data'!D29&gt;Standings!$Q$27,"",OFFSET('ESPN Data'!E$3,$A29,0,1,1))</f>
        <v/>
      </c>
      <c r="L29" s="256" t="str">
        <f ca="1">IF('Point Data'!D29&gt;Standings!$Q$27,"",OFFSET('ESPN Data'!I$3,$A29,0,1,1))</f>
        <v/>
      </c>
      <c r="M29" s="256" t="str">
        <f ca="1">IF('Point Data'!D29&gt;Standings!$Q$27,"",OFFSET('ESPN Data'!I$3,$A29,-2,1,1))</f>
        <v/>
      </c>
      <c r="N29" s="256" t="str">
        <f>IF('Point Data'!D29&gt;Standings!$Q$27,"",SUMIFS($M$2:$M$225,$D$2:$D$225,D29,$C$2:$C$225,C29))</f>
        <v/>
      </c>
      <c r="O29" s="256" t="str">
        <f>IF('Point Data'!D29&gt;Standings!$Q$27,"",SUMIFS($L$2:$L$225,$D$2:$D$225,$D29,$C$2:$C$225,$C29))</f>
        <v/>
      </c>
      <c r="P29" s="256" t="str">
        <f>IF('Point Data'!D29&gt;Standings!$Q$27,"",SUMIFS($M$2:$M$225,$D$2:$D$225,D29))</f>
        <v/>
      </c>
      <c r="Q29" s="256" t="str">
        <f>IF('Point Data'!D29&gt;Standings!$Q$27,"",SUMIFS($L$2:$L$225,$D$2:$D$225,D29))</f>
        <v/>
      </c>
      <c r="R29" s="256" t="str">
        <f>IF($D29&gt;Standings!$Q$27,"",IF(U29="T",(Z29+0.5)/(D29)*100,(Z29/D29)*100))</f>
        <v/>
      </c>
      <c r="S29" s="255" t="str">
        <f>IF($D29&gt;Standings!$Q$27,"",$J29-$K29)</f>
        <v/>
      </c>
      <c r="T29" s="255" t="str">
        <f ca="1">IF($D29&gt;Standings!$Q$27,"",AVERAGE(OFFSET(S29,(-$D29+1),0,1,1):S29))</f>
        <v/>
      </c>
      <c r="U29" s="257" t="str">
        <f>IF($D29&gt;Standings!$Q$27,"",IF(J29&gt;K29,1,IF(J29=K29,"T",0)))</f>
        <v/>
      </c>
      <c r="V29" s="257" t="str">
        <f>IF($D29&gt;Standings!$Q$27,"",SUMIFS($U$2:$U$225,$D$2:$D$225,"&lt;="&amp;$D29,$B$2:$B$225,$B29,$F$2:$F$225,"Non Conf"))</f>
        <v/>
      </c>
      <c r="W29" s="257" t="str">
        <f ca="1">IF($D29&gt;Standings!$Q$27,"",$V29&amp;"-"&amp;COUNTIF(OFFSET($F29,(-$D29+1),0,1,1):$F29,"Non Conf")-$V29)</f>
        <v/>
      </c>
      <c r="X29" s="257" t="str">
        <f>IF($D29&gt;Standings!$Q$27,"",SUMIFS($U$2:$U$225,$D$2:$D$225,"&lt;="&amp;$D29,$B$2:$B$225,$B29,$F$2:$F$225,"Conf"))</f>
        <v/>
      </c>
      <c r="Y29" s="257" t="str">
        <f ca="1">IF($D29&gt;Standings!$Q$27,"",$X29&amp;"-"&amp;COUNTIF(OFFSET($F29,(-$D29+1),0,1,1):$F29,"Conf")-$X29)</f>
        <v/>
      </c>
      <c r="Z29" s="257" t="str">
        <f ca="1">IF($D29&gt;Standings!$Q$27,"",SUM(OFFSET(U29,(-$D29+1),0,1,1):U29))</f>
        <v/>
      </c>
      <c r="AA29" s="257" t="str">
        <f>IF($D29&gt;Standings!$Q$27,"",IF(U29=1,1+AA27,0))</f>
        <v/>
      </c>
      <c r="AB29" s="258" t="str">
        <f>IF($D29&gt;Standings!$Q$27,"",IF(AA29=0,1+AB27,0))</f>
        <v/>
      </c>
      <c r="AC29" s="259" t="str">
        <f ca="1">IF($D29&gt;Standings!$Q$27,"",SUM(OFFSET(J29,(-$D29+1),0,1,1):J29))</f>
        <v/>
      </c>
      <c r="AD29" s="255" t="str">
        <f ca="1">IF($D29&gt;Standings!$Q$27,"",SUM(OFFSET(K29,(-$D29+1),0,1,1):K29))</f>
        <v/>
      </c>
      <c r="AE29" s="255" t="str">
        <f>IF($D29&gt;Standings!$Q$27,"",$J29-$K29)</f>
        <v/>
      </c>
      <c r="AF29" s="255" t="str">
        <f>IF($D29&gt;Standings!$Q$27,"",AC29-AD29)</f>
        <v/>
      </c>
      <c r="AG29" s="260" t="str">
        <f>IF($D29&gt;Standings!$Q$27,"",(COUNTIFS($D$2:$D$225,$D29,$C$2:$C$225,$C29,$AC$2:$AC$225,"&lt;"&amp;$AC29)+1)*0.01)</f>
        <v/>
      </c>
      <c r="AH29" s="260" t="str">
        <f>IF($D29&gt;Standings!$Q$27,"",Z29+AG29)</f>
        <v/>
      </c>
      <c r="AI29" s="260"/>
      <c r="AJ29" s="257" t="str">
        <f t="array" ref="AJ29">IF($D29&gt;Standings!$Q$27,"",(COUNTIFS($D$2:$D$225,$D29,$C$2:$C$225,$C29,$AM$2:$AM$225,"&gt;"&amp;$AM29)+1))</f>
        <v/>
      </c>
      <c r="AK29" s="257" t="str">
        <f t="array" ref="AK29">IF($D29&gt;Standings!$Q$27,"",IF((COUNTIFS($D$2:$D$225,$D29,$C$2:$C$225,$C29,$AH$2:$AH$225,"&gt;"&amp;$AH29)+1)=2,1,0))</f>
        <v/>
      </c>
      <c r="AL29" s="257" t="str">
        <f t="array" ref="AL29">IF($D29&gt;Standings!$Q$27,"",IF((COUNTIFS($D$2:$D$225,$D29,$C$2:$C$225,$C29,$AH$2:$AH$225,"&gt;"&amp;$AH29)+1)&lt;2,1,0))</f>
        <v/>
      </c>
      <c r="AM29" s="257" t="str">
        <f>IF($D29&gt;Standings!$Q$27,"",IF(AL29=1,200+Z29+(16-AQ29)*0.01+AI29,IF(AK29=1,100+Z29+(16-AQ29)*0.01+AI29,IF(AN29=1,50+Z29+(16-AQ29)*0.01,IF(AO29=1,15+Z29+(16-AQ29)*0.01,Z29+(16-AQ29)*0.01+AI29)))))</f>
        <v/>
      </c>
      <c r="AN29" s="257" t="str">
        <f>IF($D29&gt;Standings!$Q$27,"",IF(OR($AK29=1,$AL29=1),"Conf Playoff Spot",COUNTIFS($AL$2:$AL$225,0,$AK$2:$AK$225,0,$C$2:$C$225,$C29,$D$2:$D$225,$D29,$AC$2:$AC$225,"&gt;"&amp;$AC29)+1))</f>
        <v/>
      </c>
      <c r="AO29" s="257" t="str">
        <f t="array" ref="AO29">IF($D29&gt;Standings!$Q$27,"",IF(OR($AK29=1,$AL29=1),"Conf Playoff Spot",COUNTIFS($AK$2:$AK$225,0,$AL$2:$AL$225,0,$D$2:$D$225,$D29,$AH$2:$AH$225,"&gt;"&amp;$AH29)+1))</f>
        <v/>
      </c>
      <c r="AP29" s="257" t="str">
        <f t="array" ref="AP29">IF($D29&gt;Standings!$Q$27,"",(COUNTIFS($D$2:$D$225,$D29,$J$2:$J$225,"&gt;"&amp;$J29)+1))</f>
        <v/>
      </c>
      <c r="AQ29" s="256" t="str">
        <f>IF($D29&gt;Standings!$Q$27,"",(COUNTIFS($D$2:$D$225,$D29,$AC$2:$AC$225,"&gt;"&amp;$AC29)+1))</f>
        <v/>
      </c>
      <c r="AR29" s="256" t="str">
        <f>IF($D29&gt;Standings!$Q$27,"",(COUNTIFS($D$2:$D$225,$D29,$K$2:$K$225,"&gt;"&amp;$K29)+1))</f>
        <v/>
      </c>
      <c r="AS29" s="256" t="str">
        <f>IF($D29&gt;Standings!$Q$27,"",(COUNTIFS($D$2:$D$225,$D29,$AD$2:$AD$225,"&gt;"&amp;$AD29)+1))</f>
        <v/>
      </c>
      <c r="AT29" s="355" t="str">
        <f>IF($D29&gt;Standings!$Q$27,"",SUMIFS($J$2:$J$225,$D$2:$D$225,$D29,$C$2:$C$225,$C29))</f>
        <v/>
      </c>
      <c r="AU29" s="261" t="str">
        <f>IF($D29&gt;Standings!$Q$27,"",SUMIFS($AC$2:$AC$225,$D$2:$D$225,$D29,$C$2:$C$225,$C29))</f>
        <v/>
      </c>
    </row>
    <row r="30" spans="1:51">
      <c r="A30" s="190">
        <f t="shared" si="0"/>
        <v>2</v>
      </c>
      <c r="B30" s="197" t="str">
        <f>'ESPN Data'!$L$6</f>
        <v>Team 3</v>
      </c>
      <c r="C30" s="345" t="str">
        <f>VLOOKUP(B30,'ESPN Data'!$L$4:$M$19,2,FALSE)</f>
        <v>Bone</v>
      </c>
      <c r="D30" s="396">
        <v>1</v>
      </c>
      <c r="E30" s="266" t="str">
        <f t="array" ref="E30">INDEX('ESPN Data'!$C$3:$C$226,MATCH(1,('ESPN Data'!$A$3:$A$226='Point Data'!$D30)*('ESPN Data'!$B$3:$B$226='Point Data'!$B30),0))</f>
        <v>Team 8</v>
      </c>
      <c r="F30" s="242" t="str">
        <f>IF(C30&lt;&gt;VLOOKUP($E30,'ESPN Data'!$L$4:$M$19,2,FALSE),"Non Conf", "Conf")</f>
        <v>Conf</v>
      </c>
      <c r="G30" s="237">
        <f t="array" aca="1" ref="G30" ca="1">IF('Point Data'!$D30&gt;Standings!$Q$27,"",(COUNTIFS($D$2:$D$225,$D30,$AM$2:$AM$225,"&gt;"&amp;$AM30)+1))</f>
        <v>11</v>
      </c>
      <c r="H30" s="238">
        <f>IF('Point Data'!$D30&gt;Standings!$Q$27,"",VLOOKUP($B30,'ESPN Data'!$L$4:$N$19,3,FALSE))</f>
        <v>5</v>
      </c>
      <c r="I30" s="240">
        <f ca="1">IF('Point Data'!$D30&gt;Standings!$Q$27,"",H30-G30)</f>
        <v>-6</v>
      </c>
      <c r="J30" s="238">
        <f ca="1">IF('Point Data'!D30&gt;Standings!$Q$27,"",OFFSET('ESPN Data'!D$3,$A30,0,1,1))</f>
        <v>103.84</v>
      </c>
      <c r="K30" s="239">
        <f ca="1">IF('Point Data'!D30&gt;Standings!$Q$27,"",OFFSET('ESPN Data'!E$3,$A30,0,1,1))</f>
        <v>115.37</v>
      </c>
      <c r="L30" s="240">
        <f ca="1">IF('Point Data'!D30&gt;Standings!$Q$27,"",OFFSET('ESPN Data'!I$3,$A30,0,1,1))</f>
        <v>100</v>
      </c>
      <c r="M30" s="240">
        <f ca="1">IF('Point Data'!D30&gt;Standings!$Q$27,"",OFFSET('ESPN Data'!I$3,$A30,-2,1,1))</f>
        <v>0</v>
      </c>
      <c r="N30" s="240">
        <f ca="1">IF('Point Data'!D30&gt;Standings!$Q$27,"",SUMIFS($M$2:$M$225,$D$2:$D$225,D30,$C$2:$C$225,C30))</f>
        <v>3</v>
      </c>
      <c r="O30" s="240">
        <f ca="1">IF('Point Data'!D30&gt;Standings!$Q$27,"",SUMIFS($L$2:$L$225,$D$2:$D$225,$D30,$C$2:$C$225,$C30))</f>
        <v>797</v>
      </c>
      <c r="P30" s="240">
        <f ca="1">IF('Point Data'!D30&gt;Standings!$Q$27,"",SUMIFS($M$2:$M$225,$D$2:$D$225,D30))</f>
        <v>3</v>
      </c>
      <c r="Q30" s="240">
        <f ca="1">IF('Point Data'!D30&gt;Standings!$Q$27,"",SUMIFS($L$2:$L$225,$D$2:$D$225,$D30))</f>
        <v>1597</v>
      </c>
      <c r="R30" s="240">
        <f ca="1">IF($D30&gt;Standings!$Q$27,"",IF(U30="T",(Z30+0.5)/(D30)*100,(Z30/D30)*100))</f>
        <v>0</v>
      </c>
      <c r="S30" s="239">
        <f ca="1">IF($D30&gt;Standings!$Q$27,"",$J30-$K30)</f>
        <v>-11.530000000000001</v>
      </c>
      <c r="T30" s="239">
        <f ca="1">IF($D30&gt;Standings!$Q$27,"",AVERAGE(OFFSET(S30,(-$D30+1),0,1,1):S30))</f>
        <v>-11.530000000000001</v>
      </c>
      <c r="U30" s="241">
        <f ca="1">IF($D30&gt;Standings!$Q$27,"",IF(J30&gt;K30,1,IF(J30=K30,"T",0)))</f>
        <v>0</v>
      </c>
      <c r="V30" s="241">
        <f>IF($D30&gt;Standings!$Q$27,"",IF(F30="Conf",0,SUMIFS($U$2:$U$225,$D$2:$D$225,"&lt;="&amp;$D30,$B$2:$B$225,$B30,$F$2:$F$225,"Non Conf")))</f>
        <v>0</v>
      </c>
      <c r="W30" s="241" t="str">
        <f ca="1">IF($D30&gt;Standings!$Q$27,"",$V30&amp;"-"&amp;COUNTIF(OFFSET($F30,(-$D30+1),0,1,1):$F30,"Non Conf")-$V30)</f>
        <v>0-0</v>
      </c>
      <c r="X30" s="241">
        <f ca="1">IF($D30&gt;Standings!$Q$27,"",SUMIFS($U$2:$U$225,$D$2:$D$225,"&lt;="&amp;$D30,$B$2:$B$225,$B30,$F$2:$F$225,"Conf"))</f>
        <v>0</v>
      </c>
      <c r="Y30" s="241" t="str">
        <f ca="1">IF($D30&gt;Standings!$Q$27,"",$X30&amp;"-"&amp;COUNTIF(OFFSET($F30,(-$D30+1),0,1,1):$F30,"Conf")-$X30)</f>
        <v>0-1</v>
      </c>
      <c r="Z30" s="241">
        <f ca="1">IF($D30&gt;Standings!$Q$27,"",SUM(OFFSET(U30,(-$D30+1),0,1,1):U30))</f>
        <v>0</v>
      </c>
      <c r="AA30" s="241">
        <f ca="1">IF($D30&gt;Standings!$Q$27,"",IF(U30=1,1,0))</f>
        <v>0</v>
      </c>
      <c r="AB30" s="242">
        <f ca="1">IF($D30&gt;Standings!$Q$27,"",IF(AA30=0,1,0))</f>
        <v>1</v>
      </c>
      <c r="AC30" s="243">
        <f ca="1">IF($D30&gt;Standings!$Q$27,"",SUM(OFFSET(J30,(-$D30+1),0,1,1):J30))</f>
        <v>103.84</v>
      </c>
      <c r="AD30" s="239">
        <f ca="1">IF($D30&gt;Standings!$Q$27,"",SUM(OFFSET(K30,(-$D30+1),0,1,1):K30))</f>
        <v>115.37</v>
      </c>
      <c r="AE30" s="239">
        <f ca="1">IF($D30&gt;Standings!$Q$27,"",$J30-$K30)</f>
        <v>-11.530000000000001</v>
      </c>
      <c r="AF30" s="239">
        <f ca="1">IF($D30&gt;Standings!$Q$27,"",AC30-AD30)</f>
        <v>-11.530000000000001</v>
      </c>
      <c r="AG30" s="244">
        <f ca="1">IF($D30&gt;Standings!$Q$27,"",(COUNTIFS($D$2:$D$225,$D30,$C$2:$C$225,$C30,$AC$2:$AC$225,"&lt;"&amp;$AC30)+1)*0.01)</f>
        <v>0.05</v>
      </c>
      <c r="AH30" s="244">
        <f ca="1">IF($D30&gt;Standings!$Q$27,"",Z30+AG30)</f>
        <v>0.05</v>
      </c>
      <c r="AI30" s="244"/>
      <c r="AJ30" s="241">
        <f t="array" aca="1" ref="AJ30" ca="1">IF($D30&gt;Standings!$Q$27,"",(COUNTIFS($D$2:$D$225,$D30,$C$2:$C$225,$C30,$AM$2:$AM$225,"&gt;"&amp;$AM30)+1))</f>
        <v>7</v>
      </c>
      <c r="AK30" s="241">
        <f t="array" aca="1" ref="AK30" ca="1">IF($D30&gt;Standings!$Q$27,"",IF((COUNTIFS($D$2:$D$225,$D30,$C$2:$C$225,$C30,$AH$2:$AH$225,"&gt;"&amp;$AH30)+1)=2,1,0))</f>
        <v>0</v>
      </c>
      <c r="AL30" s="241">
        <f t="array" aca="1" ref="AL30" ca="1">IF($D30&gt;Standings!$Q$27,"",IF((COUNTIFS($D$2:$D$225,$D30,$C$2:$C$225,$C30,$AH$2:$AH$225,"&gt;"&amp;$AH30)+1)&lt;2,1,0))</f>
        <v>0</v>
      </c>
      <c r="AM30" s="241">
        <f ca="1">IF($D30&gt;Standings!$Q$27,"",IF(AL30=1,200+Z30+(16-AQ30)*0.01+AI30,IF(AK30=1,100+Z30+(16-AQ30)*0.01+AI30,IF(AN30=1,50+Z30+(16-AQ30)*0.01,IF(AO30=1,15+Z30+(16-AQ30)*0.01,Z30+(16-AQ30)*0.01+AI30)))))</f>
        <v>0.08</v>
      </c>
      <c r="AN30" s="241">
        <f ca="1">IF($D30&gt;Standings!$Q$27,"",IF(OR($AK30=1,$AL30=1),"Conf Playoff Spot",COUNTIFS($AL$2:$AL$225,0,$AK$2:$AK$225,0,$C$2:$C$225,$C30,$D$2:$D$225,$D30,$AC$2:$AC$225,"&gt;"&amp;$AC30)+1))</f>
        <v>2</v>
      </c>
      <c r="AO30" s="241">
        <f t="array" aca="1" ref="AO30" ca="1">IF($D30&gt;Standings!$Q$27,"",IF(OR($AK30=1,$AL30=1),"Conf Playoff Spot",COUNTIFS($AK$2:$AK$225,0,$AL$2:$AL$225,0,$D$2:$D$225,$D30,$Z$2:$Z$225,"&gt;"&amp;$Z30)+1))</f>
        <v>5</v>
      </c>
      <c r="AP30" s="241">
        <f t="array" aca="1" ref="AP30" ca="1">IF($D30&gt;Standings!$Q$27,"",(COUNTIFS($D$2:$D$225,$D30,$J$2:$J$225,"&gt;"&amp;$J30)+1))</f>
        <v>8</v>
      </c>
      <c r="AQ30" s="240">
        <f ca="1">IF($D30&gt;Standings!$Q$27,"",(COUNTIFS($D$2:$D$225,$D30,$AC$2:$AC$225,"&gt;"&amp;$AC30)+1))</f>
        <v>8</v>
      </c>
      <c r="AR30" s="240">
        <f ca="1">IF($D30&gt;Standings!$Q$27,"",(COUNTIFS($D$2:$D$225,$D30,$K$2:$K$225,"&gt;"&amp;$K30)+1))</f>
        <v>3</v>
      </c>
      <c r="AS30" s="240">
        <f ca="1">IF($D30&gt;Standings!$Q$27,"",(COUNTIFS($D$2:$D$225,$D30,$AD$2:$AD$225,"&gt;"&amp;$AD30)+1))</f>
        <v>3</v>
      </c>
      <c r="AT30" s="353">
        <f ca="1">IF($D30&gt;Standings!$Q$27,"",SUMIFS($J$2:$J$225,$D$2:$D$225,$D30,$C$2:$C$225,$C30))</f>
        <v>827.09</v>
      </c>
      <c r="AU30" s="245">
        <f ca="1">IF($D30&gt;Standings!$Q$27,"",SUMIFS($AC$2:$AC$225,$D$2:$D$225,$D30,$C$2:$C$225,$C30))</f>
        <v>827.09</v>
      </c>
    </row>
    <row r="31" spans="1:51">
      <c r="A31" s="190">
        <f t="shared" si="0"/>
        <v>18</v>
      </c>
      <c r="B31" s="198" t="str">
        <f>'ESPN Data'!$L$6</f>
        <v>Team 3</v>
      </c>
      <c r="C31" s="346" t="str">
        <f>VLOOKUP(B31,'ESPN Data'!$L$4:$M$19,2,FALSE)</f>
        <v>Bone</v>
      </c>
      <c r="D31" s="397">
        <v>2</v>
      </c>
      <c r="E31" s="267" t="str">
        <f t="array" ref="E31">INDEX('ESPN Data'!$C$3:$C$226,MATCH(1,('ESPN Data'!$A$3:$A$226='Point Data'!$D31)*('ESPN Data'!$B$3:$B$226='Point Data'!$B31),0))</f>
        <v>Team 7</v>
      </c>
      <c r="F31" s="250" t="str">
        <f>IF(C31&lt;&gt;VLOOKUP($E31,'ESPN Data'!$L$4:$M$19,2,FALSE),"Non Conf", "Conf")</f>
        <v>Conf</v>
      </c>
      <c r="G31" s="246">
        <f t="array" aca="1" ref="G31" ca="1">IF('Point Data'!$D31&gt;Standings!$Q$27,"",(COUNTIFS($D$2:$D$225,$D31,$AM$2:$AM$225,"&gt;"&amp;$AM31)+1))</f>
        <v>12</v>
      </c>
      <c r="H31" s="247">
        <f ca="1">IF('Point Data'!$D31&gt;Standings!$Q$27,"",$G30)</f>
        <v>11</v>
      </c>
      <c r="I31" s="249">
        <f ca="1">IF('Point Data'!D31&gt;Standings!$Q$27,"",H31-G31)</f>
        <v>-1</v>
      </c>
      <c r="J31" s="247">
        <f ca="1">IF('Point Data'!D31&gt;Standings!$Q$27,"",OFFSET('ESPN Data'!D$3,$A31,0,1,1))</f>
        <v>110.03</v>
      </c>
      <c r="K31" s="248">
        <f ca="1">IF('Point Data'!D31&gt;Standings!$Q$27,"",OFFSET('ESPN Data'!E$3,$A31,0,1,1))</f>
        <v>117.67</v>
      </c>
      <c r="L31" s="249">
        <f ca="1">IF('Point Data'!D31&gt;Standings!$Q$27,"",OFFSET('ESPN Data'!I$3,$A31,0,1,1))</f>
        <v>100</v>
      </c>
      <c r="M31" s="249">
        <f ca="1">IF('Point Data'!D31&gt;Standings!$Q$27,"",OFFSET('ESPN Data'!I$3,$A31,-2,1,1))</f>
        <v>0</v>
      </c>
      <c r="N31" s="249">
        <f ca="1">IF('Point Data'!D31&gt;Standings!$Q$27,"",SUMIFS($M$2:$M$225,$D$2:$D$225,D31,$C$2:$C$225,C31))</f>
        <v>44</v>
      </c>
      <c r="O31" s="249">
        <f ca="1">IF('Point Data'!D31&gt;Standings!$Q$27,"",SUMIFS($L$2:$L$225,$D$2:$D$225,$D31,$C$2:$C$225,$C31))</f>
        <v>753</v>
      </c>
      <c r="P31" s="249">
        <f ca="1">IF('Point Data'!D31&gt;Standings!$Q$27,"",SUMIFS($M$2:$M$225,$D$2:$D$225,D31))</f>
        <v>73</v>
      </c>
      <c r="Q31" s="249">
        <f ca="1">IF('Point Data'!D31&gt;Standings!$Q$27,"",SUMIFS($L$2:$L$225,$D$2:$D$225,D31))</f>
        <v>1524</v>
      </c>
      <c r="R31" s="249">
        <f ca="1">IF($D31&gt;Standings!$Q$27,"",IF(U31="T",(Z31+0.5)/(D31)*100,(Z31/D31)*100))</f>
        <v>0</v>
      </c>
      <c r="S31" s="248">
        <f ca="1">IF($D31&gt;Standings!$Q$27,"",$J31-$K31)</f>
        <v>-7.6400000000000006</v>
      </c>
      <c r="T31" s="248">
        <f ca="1">IF($D31&gt;Standings!$Q$27,"",AVERAGE(OFFSET(S31,(-$D31+1),0,1,1):S31))</f>
        <v>-9.5850000000000009</v>
      </c>
      <c r="U31" s="172">
        <f ca="1">IF($D31&gt;Standings!$Q$27,"",IF(J31&gt;K31,1,IF(J31=K31,"T",0)))</f>
        <v>0</v>
      </c>
      <c r="V31" s="172">
        <f>IF($D31&gt;Standings!$Q$27,"",IF(F31="Conf",V30,SUMIFS($U$2:$U$225,$D$2:$D$225,"&lt;="&amp;$D31,$B$2:$B$225,$B31,$F$2:$F$225,"Non Conf")))</f>
        <v>0</v>
      </c>
      <c r="W31" s="172" t="str">
        <f ca="1">IF($D31&gt;Standings!$Q$27,"",$V31&amp;"-"&amp;COUNTIF(OFFSET($F31,(-$D31+1),0,1,1):$F31,"Non Conf")-$V31)</f>
        <v>0-0</v>
      </c>
      <c r="X31" s="172">
        <f ca="1">IF($D31&gt;Standings!$Q$27,"",SUMIFS($U$2:$U$225,$D$2:$D$225,"&lt;="&amp;$D31,$B$2:$B$225,$B31,$F$2:$F$225,"Conf"))</f>
        <v>0</v>
      </c>
      <c r="Y31" s="172" t="str">
        <f ca="1">IF($D31&gt;Standings!$Q$27,"",$X31&amp;"-"&amp;COUNTIF(OFFSET($F31,(-$D31+1),0,1,1):$F31,"Conf")-$X31)</f>
        <v>0-2</v>
      </c>
      <c r="Z31" s="172">
        <f ca="1">IF($D31&gt;Standings!$Q$27,"",SUM(OFFSET(U31,(-$D31+1),0,1,1):U31))</f>
        <v>0</v>
      </c>
      <c r="AA31" s="172">
        <f ca="1">IF($D31&gt;Standings!$Q$27,"",IF(U31=1,1+AA30,0))</f>
        <v>0</v>
      </c>
      <c r="AB31" s="250">
        <f ca="1">IF($D31&gt;Standings!$Q$27,"",IF(AA31=0,1+AB30,0))</f>
        <v>2</v>
      </c>
      <c r="AC31" s="251">
        <f ca="1">IF($D31&gt;Standings!$Q$27,"",SUM(OFFSET(J31,(-$D31+1),0,1,1):J31))</f>
        <v>213.87</v>
      </c>
      <c r="AD31" s="248">
        <f ca="1">IF($D31&gt;Standings!$Q$27,"",SUM(OFFSET(K31,(-$D31+1),0,1,1):K31))</f>
        <v>233.04000000000002</v>
      </c>
      <c r="AE31" s="248">
        <f ca="1">IF($D31&gt;Standings!$Q$27,"",$J31-$K31)</f>
        <v>-7.6400000000000006</v>
      </c>
      <c r="AF31" s="248">
        <f ca="1">IF($D31&gt;Standings!$Q$27,"",AC31-AD31)</f>
        <v>-19.170000000000016</v>
      </c>
      <c r="AG31" s="252">
        <f ca="1">IF($D31&gt;Standings!$Q$27,"",(COUNTIFS($D$2:$D$225,$D31,$C$2:$C$225,$C31,$AC$2:$AC$225,"&lt;"&amp;$AC31)+1)*0.01)</f>
        <v>0.04</v>
      </c>
      <c r="AH31" s="252">
        <f ca="1">IF($D31&gt;Standings!$Q$27,"",Z31+AG31)</f>
        <v>0.04</v>
      </c>
      <c r="AI31" s="252"/>
      <c r="AJ31" s="172">
        <f t="array" aca="1" ref="AJ31" ca="1">IF($D31&gt;Standings!$Q$27,"",(COUNTIFS($D$2:$D$225,$D31,$C$2:$C$225,$C31,$AM$2:$AM$225,"&gt;"&amp;$AM31)+1))</f>
        <v>7</v>
      </c>
      <c r="AK31" s="172">
        <f t="array" aca="1" ref="AK31" ca="1">IF($D31&gt;Standings!$Q$27,"",IF((COUNTIFS($D$2:$D$225,$D31,$C$2:$C$225,$C31,$AH$2:$AH$225,"&gt;"&amp;$AH31)+1)=2,1,0))</f>
        <v>0</v>
      </c>
      <c r="AL31" s="172">
        <f t="array" aca="1" ref="AL31" ca="1">IF($D31&gt;Standings!$Q$27,"",IF((COUNTIFS($D$2:$D$225,$D31,$C$2:$C$225,$C31,$AH$2:$AH$225,"&gt;"&amp;$AH31)+1)&lt;2,1,0))</f>
        <v>0</v>
      </c>
      <c r="AM31" s="172">
        <f ca="1">IF($D31&gt;Standings!$Q$27,"",IF(AL31=1,200+Z31+(16-AQ31)*0.01+AI31,IF(AK31=1,100+Z31+(16-AQ31)*0.01+AI31,IF(AN31=1,50+Z31+(16-AQ31)*0.01,IF(AO31=1,15+Z31+(16-AQ31)*0.01,Z31+(16-AQ31)*0.01+AI31)))))</f>
        <v>0.06</v>
      </c>
      <c r="AN31" s="172">
        <f ca="1">IF($D31&gt;Standings!$Q$27,"",IF(OR($AK31=1,$AL31=1),"Conf Playoff Spot",COUNTIFS($AL$2:$AL$225,0,$AK$2:$AK$225,0,$C$2:$C$225,$C31,$D$2:$D$225,$D31,$AC$2:$AC$225,"&gt;"&amp;$AC31)+1))</f>
        <v>3</v>
      </c>
      <c r="AO31" s="172">
        <f t="array" aca="1" ref="AO31" ca="1">IF($D31&gt;Standings!$Q$27,"",IF(OR($AK31=1,$AL31=1),"Conf Playoff Spot",COUNTIFS($AK$2:$AK$225,0,$AL$2:$AL$225,0,$D$2:$D$225,$D31,$Z$2:$Z$225,"&gt;"&amp;$Z31)+1))</f>
        <v>8</v>
      </c>
      <c r="AP31" s="172">
        <f t="array" aca="1" ref="AP31" ca="1">IF($D31&gt;Standings!$Q$27,"",(COUNTIFS($D$2:$D$225,$D31,$J$2:$J$225,"&gt;"&amp;$J31)+1))</f>
        <v>9</v>
      </c>
      <c r="AQ31" s="249">
        <f ca="1">IF($D31&gt;Standings!$Q$27,"",(COUNTIFS($D$2:$D$225,$D31,$AC$2:$AC$225,"&gt;"&amp;$AC31)+1))</f>
        <v>10</v>
      </c>
      <c r="AR31" s="249">
        <f ca="1">IF($D31&gt;Standings!$Q$27,"",(COUNTIFS($D$2:$D$225,$D31,$K$2:$K$225,"&gt;"&amp;$K31)+1))</f>
        <v>5</v>
      </c>
      <c r="AS31" s="249">
        <f ca="1">IF($D31&gt;Standings!$Q$27,"",(COUNTIFS($D$2:$D$225,$D31,$AD$2:$AD$225,"&gt;"&amp;$AD31)+1))</f>
        <v>3</v>
      </c>
      <c r="AT31" s="354">
        <f ca="1">IF($D31&gt;Standings!$Q$27,"",SUMIFS($J$2:$J$225,$D$2:$D$225,$D31,$C$2:$C$225,$C31))</f>
        <v>849.17</v>
      </c>
      <c r="AU31" s="253">
        <f ca="1">IF($D31&gt;Standings!$Q$27,"",SUMIFS($AC$2:$AC$225,$D$2:$D$225,$D31,$C$2:$C$225,$C31))</f>
        <v>1676.26</v>
      </c>
    </row>
    <row r="32" spans="1:51">
      <c r="A32" s="190">
        <f t="shared" si="0"/>
        <v>34</v>
      </c>
      <c r="B32" s="198" t="str">
        <f>'ESPN Data'!$L$6</f>
        <v>Team 3</v>
      </c>
      <c r="C32" s="346" t="str">
        <f>VLOOKUP(B32,'ESPN Data'!$L$4:$M$19,2,FALSE)</f>
        <v>Bone</v>
      </c>
      <c r="D32" s="397">
        <v>3</v>
      </c>
      <c r="E32" s="267" t="str">
        <f t="array" ref="E32">INDEX('ESPN Data'!$C$3:$C$226,MATCH(1,('ESPN Data'!$A$3:$A$226='Point Data'!$D32)*('ESPN Data'!$B$3:$B$226='Point Data'!$B32),0))</f>
        <v>Team 11</v>
      </c>
      <c r="F32" s="250" t="str">
        <f>IF(C32&lt;&gt;VLOOKUP($E32,'ESPN Data'!$L$4:$M$19,2,FALSE),"Non Conf", "Conf")</f>
        <v>Non Conf</v>
      </c>
      <c r="G32" s="246">
        <f t="array" aca="1" ref="G32" ca="1">IF('Point Data'!$D32&gt;Standings!$Q$27,"",(COUNTIFS($D$2:$D$225,$D32,$AM$2:$AM$225,"&gt;"&amp;$AM32)+1))</f>
        <v>15</v>
      </c>
      <c r="H32" s="247">
        <f ca="1">IF('Point Data'!$D32&gt;Standings!$Q$27,"",$G31)</f>
        <v>12</v>
      </c>
      <c r="I32" s="249">
        <f ca="1">IF('Point Data'!D32&gt;Standings!$Q$27,"",H32-G32)</f>
        <v>-3</v>
      </c>
      <c r="J32" s="247">
        <f ca="1">IF('Point Data'!D32&gt;Standings!$Q$27,"",OFFSET('ESPN Data'!D$3,$A32,0,1,1))</f>
        <v>75.260000000000005</v>
      </c>
      <c r="K32" s="248">
        <f ca="1">IF('Point Data'!D32&gt;Standings!$Q$27,"",OFFSET('ESPN Data'!E$3,$A32,0,1,1))</f>
        <v>107.92</v>
      </c>
      <c r="L32" s="249">
        <f ca="1">IF('Point Data'!D32&gt;Standings!$Q$27,"",OFFSET('ESPN Data'!I$3,$A32,0,1,1))</f>
        <v>100</v>
      </c>
      <c r="M32" s="249">
        <f ca="1">IF('Point Data'!D32&gt;Standings!$Q$27,"",OFFSET('ESPN Data'!I$3,$A32,-2,1,1))</f>
        <v>0</v>
      </c>
      <c r="N32" s="249">
        <f ca="1">IF('Point Data'!D32&gt;Standings!$Q$27,"",SUMIFS($M$2:$M$225,$D$2:$D$225,D32,$C$2:$C$225,C32))</f>
        <v>25</v>
      </c>
      <c r="O32" s="249">
        <f ca="1">IF('Point Data'!D32&gt;Standings!$Q$27,"",SUMIFS($L$2:$L$225,$D$2:$D$225,$D32,$C$2:$C$225,$C32))</f>
        <v>728</v>
      </c>
      <c r="P32" s="249">
        <f ca="1">IF('Point Data'!D32&gt;Standings!$Q$27,"",SUMIFS($M$2:$M$225,$D$2:$D$225,D32))</f>
        <v>210</v>
      </c>
      <c r="Q32" s="249">
        <f ca="1">IF('Point Data'!D32&gt;Standings!$Q$27,"",SUMIFS($L$2:$L$225,$D$2:$D$225,D32))</f>
        <v>1314</v>
      </c>
      <c r="R32" s="249">
        <f ca="1">IF($D32&gt;Standings!$Q$27,"",IF(U32="T",(Z32+0.5)/(D32)*100,(Z32/D32)*100))</f>
        <v>0</v>
      </c>
      <c r="S32" s="248">
        <f ca="1">IF($D32&gt;Standings!$Q$27,"",$J32-$K32)</f>
        <v>-32.659999999999997</v>
      </c>
      <c r="T32" s="248">
        <f ca="1">IF($D32&gt;Standings!$Q$27,"",AVERAGE(OFFSET(S32,(-$D32+1),0,1,1):S32))</f>
        <v>-17.276666666666667</v>
      </c>
      <c r="U32" s="172">
        <f ca="1">IF($D32&gt;Standings!$Q$27,"",IF(J32&gt;K32,1,IF(J32=K32,"T",0)))</f>
        <v>0</v>
      </c>
      <c r="V32" s="172">
        <f ca="1">IF($D32&gt;Standings!$Q$27,"",IF(F32="Conf",V31,SUMIFS($U$2:$U$225,$D$2:$D$225,"&lt;="&amp;$D32,$B$2:$B$225,$B32,$F$2:$F$225,"Non Conf")))</f>
        <v>0</v>
      </c>
      <c r="W32" s="172" t="str">
        <f ca="1">IF($D32&gt;Standings!$Q$27,"",$V32&amp;"-"&amp;COUNTIF(OFFSET($F32,(-$D32+1),0,1,1):$F32,"Non Conf")-$V32)</f>
        <v>0-1</v>
      </c>
      <c r="X32" s="172">
        <f ca="1">IF($D32&gt;Standings!$Q$27,"",SUMIFS($U$2:$U$225,$D$2:$D$225,"&lt;="&amp;$D32,$B$2:$B$225,$B32,$F$2:$F$225,"Conf"))</f>
        <v>0</v>
      </c>
      <c r="Y32" s="172" t="str">
        <f ca="1">IF($D32&gt;Standings!$Q$27,"",$X32&amp;"-"&amp;COUNTIF(OFFSET($F32,(-$D32+1),0,1,1):$F32,"Conf")-$X32)</f>
        <v>0-2</v>
      </c>
      <c r="Z32" s="172">
        <f ca="1">IF($D32&gt;Standings!$Q$27,"",SUM(OFFSET(U32,(-$D32+1),0,1,1):U32))</f>
        <v>0</v>
      </c>
      <c r="AA32" s="172">
        <f ca="1">IF($D32&gt;Standings!$Q$27,"",IF(U32=1,1+AA31,0))</f>
        <v>0</v>
      </c>
      <c r="AB32" s="250">
        <f ca="1">IF($D32&gt;Standings!$Q$27,"",IF(AA32=0,1+AB31,0))</f>
        <v>3</v>
      </c>
      <c r="AC32" s="251">
        <f ca="1">IF($D32&gt;Standings!$Q$27,"",SUM(OFFSET(J32,(-$D32+1),0,1,1):J32))</f>
        <v>289.13</v>
      </c>
      <c r="AD32" s="248">
        <f ca="1">IF($D32&gt;Standings!$Q$27,"",SUM(OFFSET(K32,(-$D32+1),0,1,1):K32))</f>
        <v>340.96000000000004</v>
      </c>
      <c r="AE32" s="248">
        <f ca="1">IF($D32&gt;Standings!$Q$27,"",$J32-$K32)</f>
        <v>-32.659999999999997</v>
      </c>
      <c r="AF32" s="248">
        <f ca="1">IF($D32&gt;Standings!$Q$27,"",AC32-AD32)</f>
        <v>-51.830000000000041</v>
      </c>
      <c r="AG32" s="252">
        <f ca="1">IF($D32&gt;Standings!$Q$27,"",(COUNTIFS($D$2:$D$225,$D32,$C$2:$C$225,$C32,$AC$2:$AC$225,"&lt;"&amp;$AC32)+1)*0.01)</f>
        <v>0.01</v>
      </c>
      <c r="AH32" s="252">
        <f ca="1">IF($D32&gt;Standings!$Q$27,"",Z32+AG32)</f>
        <v>0.01</v>
      </c>
      <c r="AI32" s="252"/>
      <c r="AJ32" s="172">
        <f t="array" aca="1" ref="AJ32" ca="1">IF($D32&gt;Standings!$Q$27,"",(COUNTIFS($D$2:$D$225,$D32,$C$2:$C$225,$C32,$AM$2:$AM$225,"&gt;"&amp;$AM32)+1))</f>
        <v>8</v>
      </c>
      <c r="AK32" s="172">
        <f t="array" aca="1" ref="AK32" ca="1">IF($D32&gt;Standings!$Q$27,"",IF((COUNTIFS($D$2:$D$225,$D32,$C$2:$C$225,$C32,$AH$2:$AH$225,"&gt;"&amp;$AH32)+1)=2,1,0))</f>
        <v>0</v>
      </c>
      <c r="AL32" s="172">
        <f t="array" aca="1" ref="AL32" ca="1">IF($D32&gt;Standings!$Q$27,"",IF((COUNTIFS($D$2:$D$225,$D32,$C$2:$C$225,$C32,$AH$2:$AH$225,"&gt;"&amp;$AH32)+1)&lt;2,1,0))</f>
        <v>0</v>
      </c>
      <c r="AM32" s="172">
        <f ca="1">IF($D32&gt;Standings!$Q$27,"",IF(AL32=1,200+Z32+(16-AQ32)*0.01+AI32,IF(AK32=1,100+Z32+(16-AQ32)*0.01+AI32,IF(AN32=1,50+Z32+(16-AQ32)*0.01,IF(AO32=1,15+Z32+(16-AQ32)*0.01,Z32+(16-AQ32)*0.01+AI32)))))</f>
        <v>0.01</v>
      </c>
      <c r="AN32" s="172">
        <f ca="1">IF($D32&gt;Standings!$Q$27,"",IF(OR($AK32=1,$AL32=1),"Conf Playoff Spot",COUNTIFS($AL$2:$AL$225,0,$AK$2:$AK$225,0,$C$2:$C$225,$C32,$D$2:$D$225,$D32,$AC$2:$AC$225,"&gt;"&amp;$AC32)+1))</f>
        <v>6</v>
      </c>
      <c r="AO32" s="172">
        <f t="array" aca="1" ref="AO32" ca="1">IF($D32&gt;Standings!$Q$27,"",IF(OR($AK32=1,$AL32=1),"Conf Playoff Spot",COUNTIFS($AK$2:$AK$225,0,$AL$2:$AL$225,0,$D$2:$D$225,$D32,$Z$2:$Z$225,"&gt;"&amp;$Z32)+1))</f>
        <v>10</v>
      </c>
      <c r="AP32" s="172">
        <f t="array" aca="1" ref="AP32" ca="1">IF($D32&gt;Standings!$Q$27,"",(COUNTIFS($D$2:$D$225,$D32,$J$2:$J$225,"&gt;"&amp;$J32)+1))</f>
        <v>16</v>
      </c>
      <c r="AQ32" s="249">
        <f ca="1">IF($D32&gt;Standings!$Q$27,"",(COUNTIFS($D$2:$D$225,$D32,$AC$2:$AC$225,"&gt;"&amp;$AC32)+1))</f>
        <v>15</v>
      </c>
      <c r="AR32" s="249">
        <f ca="1">IF($D32&gt;Standings!$Q$27,"",(COUNTIFS($D$2:$D$225,$D32,$K$2:$K$225,"&gt;"&amp;$K32)+1))</f>
        <v>9</v>
      </c>
      <c r="AS32" s="249">
        <f ca="1">IF($D32&gt;Standings!$Q$27,"",(COUNTIFS($D$2:$D$225,$D32,$AD$2:$AD$225,"&gt;"&amp;$AD32)+1))</f>
        <v>6</v>
      </c>
      <c r="AT32" s="354">
        <f ca="1">IF($D32&gt;Standings!$Q$27,"",SUMIFS($J$2:$J$225,$D$2:$D$225,$D32,$C$2:$C$225,$C32))</f>
        <v>927.32</v>
      </c>
      <c r="AU32" s="253">
        <f ca="1">IF($D32&gt;Standings!$Q$27,"",SUMIFS($AC$2:$AC$225,$D$2:$D$225,$D32,$C$2:$C$225,$C32))</f>
        <v>2603.58</v>
      </c>
    </row>
    <row r="33" spans="1:47">
      <c r="A33" s="190">
        <f t="shared" si="0"/>
        <v>50</v>
      </c>
      <c r="B33" s="198" t="str">
        <f>'ESPN Data'!$L$6</f>
        <v>Team 3</v>
      </c>
      <c r="C33" s="346" t="str">
        <f>VLOOKUP(B33,'ESPN Data'!$L$4:$M$19,2,FALSE)</f>
        <v>Bone</v>
      </c>
      <c r="D33" s="397">
        <v>4</v>
      </c>
      <c r="E33" s="267" t="str">
        <f t="array" ref="E33">INDEX('ESPN Data'!$C$3:$C$226,MATCH(1,('ESPN Data'!$A$3:$A$226='Point Data'!$D33)*('ESPN Data'!$B$3:$B$226='Point Data'!$B33),0))</f>
        <v>Team 15</v>
      </c>
      <c r="F33" s="250" t="str">
        <f>IF(C33&lt;&gt;VLOOKUP($E33,'ESPN Data'!$L$4:$M$19,2,FALSE),"Non Conf", "Conf")</f>
        <v>Non Conf</v>
      </c>
      <c r="G33" s="246">
        <f t="array" aca="1" ref="G33" ca="1">IF('Point Data'!$D33&gt;Standings!$Q$27,"",(COUNTIFS($D$2:$D$225,$D33,$AM$2:$AM$225,"&gt;"&amp;$AM33)+1))</f>
        <v>16</v>
      </c>
      <c r="H33" s="247">
        <f ca="1">IF('Point Data'!$D33&gt;Standings!$Q$27,"",$G32)</f>
        <v>15</v>
      </c>
      <c r="I33" s="249">
        <f ca="1">IF('Point Data'!D33&gt;Standings!$Q$27,"",H33-G33)</f>
        <v>-1</v>
      </c>
      <c r="J33" s="247">
        <f ca="1">IF('Point Data'!D33&gt;Standings!$Q$27,"",OFFSET('ESPN Data'!D$3,$A33,0,1,1))</f>
        <v>92.02</v>
      </c>
      <c r="K33" s="248">
        <f ca="1">IF('Point Data'!D33&gt;Standings!$Q$27,"",OFFSET('ESPN Data'!E$3,$A33,0,1,1))</f>
        <v>109.16</v>
      </c>
      <c r="L33" s="249">
        <f ca="1">IF('Point Data'!D33&gt;Standings!$Q$27,"",OFFSET('ESPN Data'!I$3,$A33,0,1,1))</f>
        <v>100</v>
      </c>
      <c r="M33" s="249">
        <f ca="1">IF('Point Data'!D33&gt;Standings!$Q$27,"",OFFSET('ESPN Data'!I$3,$A33,-2,1,1))</f>
        <v>0</v>
      </c>
      <c r="N33" s="249">
        <f ca="1">IF('Point Data'!D33&gt;Standings!$Q$27,"",SUMIFS($M$2:$M$225,$D$2:$D$225,D33,$C$2:$C$225,C33))</f>
        <v>161</v>
      </c>
      <c r="O33" s="249">
        <f ca="1">IF('Point Data'!D33&gt;Standings!$Q$27,"",SUMIFS($L$2:$L$225,$D$2:$D$225,$D33,$C$2:$C$225,$C33))</f>
        <v>567</v>
      </c>
      <c r="P33" s="249">
        <f ca="1">IF('Point Data'!D33&gt;Standings!$Q$27,"",SUMIFS($M$2:$M$225,$D$2:$D$225,D33))</f>
        <v>171</v>
      </c>
      <c r="Q33" s="249">
        <f ca="1">IF('Point Data'!D33&gt;Standings!$Q$27,"",SUMIFS($L$2:$L$225,$D$2:$D$225,D33))</f>
        <v>1143</v>
      </c>
      <c r="R33" s="249">
        <f ca="1">IF($D33&gt;Standings!$Q$27,"",IF(U33="T",(Z33+0.5)/(D33)*100,(Z33/D33)*100))</f>
        <v>0</v>
      </c>
      <c r="S33" s="248">
        <f ca="1">IF($D33&gt;Standings!$Q$27,"",$J33-$K33)</f>
        <v>-17.14</v>
      </c>
      <c r="T33" s="248">
        <f ca="1">IF($D33&gt;Standings!$Q$27,"",AVERAGE(OFFSET(S33,(-$D33+1),0,1,1):S33))</f>
        <v>-17.2425</v>
      </c>
      <c r="U33" s="172">
        <f ca="1">IF($D33&gt;Standings!$Q$27,"",IF(J33&gt;K33,1,IF(J33=K33,"T",0)))</f>
        <v>0</v>
      </c>
      <c r="V33" s="172">
        <f ca="1">IF($D33&gt;Standings!$Q$27,"",IF(F33="Conf",V32,SUMIFS($U$2:$U$225,$D$2:$D$225,"&lt;="&amp;$D33,$B$2:$B$225,$B33,$F$2:$F$225,"Non Conf")))</f>
        <v>0</v>
      </c>
      <c r="W33" s="172" t="str">
        <f ca="1">IF($D33&gt;Standings!$Q$27,"",$V33&amp;"-"&amp;COUNTIF(OFFSET($F33,(-$D33+1),0,1,1):$F33,"Non Conf")-$V33)</f>
        <v>0-2</v>
      </c>
      <c r="X33" s="172">
        <f ca="1">IF($D33&gt;Standings!$Q$27,"",SUMIFS($U$2:$U$225,$D$2:$D$225,"&lt;="&amp;$D33,$B$2:$B$225,$B33,$F$2:$F$225,"Conf"))</f>
        <v>0</v>
      </c>
      <c r="Y33" s="172" t="str">
        <f ca="1">IF($D33&gt;Standings!$Q$27,"",$X33&amp;"-"&amp;COUNTIF(OFFSET($F33,(-$D33+1),0,1,1):$F33,"Conf")-$X33)</f>
        <v>0-2</v>
      </c>
      <c r="Z33" s="172">
        <f ca="1">IF($D33&gt;Standings!$Q$27,"",SUM(OFFSET(U33,(-$D33+1),0,1,1):U33))</f>
        <v>0</v>
      </c>
      <c r="AA33" s="172">
        <f ca="1">IF($D33&gt;Standings!$Q$27,"",IF(U33=1,1+AA32,0))</f>
        <v>0</v>
      </c>
      <c r="AB33" s="250">
        <f ca="1">IF($D33&gt;Standings!$Q$27,"",IF(AA33=0,1+AB32,0))</f>
        <v>4</v>
      </c>
      <c r="AC33" s="251">
        <f ca="1">IF($D33&gt;Standings!$Q$27,"",SUM(OFFSET(J33,(-$D33+1),0,1,1):J33))</f>
        <v>381.15</v>
      </c>
      <c r="AD33" s="248">
        <f ca="1">IF($D33&gt;Standings!$Q$27,"",SUM(OFFSET(K33,(-$D33+1),0,1,1):K33))</f>
        <v>450.12</v>
      </c>
      <c r="AE33" s="248">
        <f ca="1">IF($D33&gt;Standings!$Q$27,"",$J33-$K33)</f>
        <v>-17.14</v>
      </c>
      <c r="AF33" s="248">
        <f ca="1">IF($D33&gt;Standings!$Q$27,"",AC33-AD33)</f>
        <v>-68.970000000000027</v>
      </c>
      <c r="AG33" s="252">
        <f ca="1">IF($D33&gt;Standings!$Q$27,"",(COUNTIFS($D$2:$D$225,$D33,$C$2:$C$225,$C33,$AC$2:$AC$225,"&lt;"&amp;$AC33)+1)*0.01)</f>
        <v>0.01</v>
      </c>
      <c r="AH33" s="252">
        <f ca="1">IF($D33&gt;Standings!$Q$27,"",Z33+AG33)</f>
        <v>0.01</v>
      </c>
      <c r="AI33" s="252"/>
      <c r="AJ33" s="172">
        <f t="array" aca="1" ref="AJ33" ca="1">IF($D33&gt;Standings!$Q$27,"",(COUNTIFS($D$2:$D$225,$D33,$C$2:$C$225,$C33,$AM$2:$AM$225,"&gt;"&amp;$AM33)+1))</f>
        <v>8</v>
      </c>
      <c r="AK33" s="172">
        <f t="array" aca="1" ref="AK33" ca="1">IF($D33&gt;Standings!$Q$27,"",IF((COUNTIFS($D$2:$D$225,$D33,$C$2:$C$225,$C33,$AH$2:$AH$225,"&gt;"&amp;$AH33)+1)=2,1,0))</f>
        <v>0</v>
      </c>
      <c r="AL33" s="172">
        <f t="array" aca="1" ref="AL33" ca="1">IF($D33&gt;Standings!$Q$27,"",IF((COUNTIFS($D$2:$D$225,$D33,$C$2:$C$225,$C33,$AH$2:$AH$225,"&gt;"&amp;$AH33)+1)&lt;2,1,0))</f>
        <v>0</v>
      </c>
      <c r="AM33" s="172">
        <f ca="1">IF($D33&gt;Standings!$Q$27,"",IF(AL33=1,200+Z33+(16-AQ33)*0.01+AI33,IF(AK33=1,100+Z33+(16-AQ33)*0.01+AI33,IF(AN33=1,50+Z33+(16-AQ33)*0.01,IF(AO33=1,15+Z33+(16-AQ33)*0.01,Z33+(16-AQ33)*0.01+AI33)))))</f>
        <v>0.01</v>
      </c>
      <c r="AN33" s="172">
        <f ca="1">IF($D33&gt;Standings!$Q$27,"",IF(OR($AK33=1,$AL33=1),"Conf Playoff Spot",COUNTIFS($AL$2:$AL$225,0,$AK$2:$AK$225,0,$C$2:$C$225,$C33,$D$2:$D$225,$D33,$AC$2:$AC$225,"&gt;"&amp;$AC33)+1))</f>
        <v>6</v>
      </c>
      <c r="AO33" s="172">
        <f t="array" aca="1" ref="AO33" ca="1">IF($D33&gt;Standings!$Q$27,"",IF(OR($AK33=1,$AL33=1),"Conf Playoff Spot",COUNTIFS($AK$2:$AK$225,0,$AL$2:$AL$225,0,$D$2:$D$225,$D33,$Z$2:$Z$225,"&gt;"&amp;$Z33)+1))</f>
        <v>12</v>
      </c>
      <c r="AP33" s="172">
        <f t="array" aca="1" ref="AP33" ca="1">IF($D33&gt;Standings!$Q$27,"",(COUNTIFS($D$2:$D$225,$D33,$J$2:$J$225,"&gt;"&amp;$J33)+1))</f>
        <v>13</v>
      </c>
      <c r="AQ33" s="249">
        <f ca="1">IF($D33&gt;Standings!$Q$27,"",(COUNTIFS($D$2:$D$225,$D33,$AC$2:$AC$225,"&gt;"&amp;$AC33)+1))</f>
        <v>15</v>
      </c>
      <c r="AR33" s="249">
        <f ca="1">IF($D33&gt;Standings!$Q$27,"",(COUNTIFS($D$2:$D$225,$D33,$K$2:$K$225,"&gt;"&amp;$K33)+1))</f>
        <v>6</v>
      </c>
      <c r="AS33" s="249">
        <f ca="1">IF($D33&gt;Standings!$Q$27,"",(COUNTIFS($D$2:$D$225,$D33,$AD$2:$AD$225,"&gt;"&amp;$AD33)+1))</f>
        <v>3</v>
      </c>
      <c r="AT33" s="354">
        <f ca="1">IF($D33&gt;Standings!$Q$27,"",SUMIFS($J$2:$J$225,$D$2:$D$225,$D33,$C$2:$C$225,$C33))</f>
        <v>806.98</v>
      </c>
      <c r="AU33" s="253">
        <f ca="1">IF($D33&gt;Standings!$Q$27,"",SUMIFS($AC$2:$AC$225,$D$2:$D$225,$D33,$C$2:$C$225,$C33))</f>
        <v>3410.56</v>
      </c>
    </row>
    <row r="34" spans="1:47">
      <c r="A34" s="190">
        <f t="shared" si="0"/>
        <v>66</v>
      </c>
      <c r="B34" s="198" t="str">
        <f>'ESPN Data'!$L$6</f>
        <v>Team 3</v>
      </c>
      <c r="C34" s="346" t="str">
        <f>VLOOKUP(B34,'ESPN Data'!$L$4:$M$19,2,FALSE)</f>
        <v>Bone</v>
      </c>
      <c r="D34" s="397">
        <v>5</v>
      </c>
      <c r="E34" s="267" t="str">
        <f t="array" ref="E34">INDEX('ESPN Data'!$C$3:$C$226,MATCH(1,('ESPN Data'!$A$3:$A$226='Point Data'!$D34)*('ESPN Data'!$B$3:$B$226='Point Data'!$B34),0))</f>
        <v>Team 10</v>
      </c>
      <c r="F34" s="250" t="str">
        <f>IF(C34&lt;&gt;VLOOKUP($E34,'ESPN Data'!$L$4:$M$19,2,FALSE),"Non Conf", "Conf")</f>
        <v>Non Conf</v>
      </c>
      <c r="G34" s="246">
        <f t="array" aca="1" ref="G34" ca="1">IF('Point Data'!$D34&gt;Standings!$Q$27,"",(COUNTIFS($D$2:$D$225,$D34,$AM$2:$AM$225,"&gt;"&amp;$AM34)+1))</f>
        <v>13</v>
      </c>
      <c r="H34" s="247">
        <f ca="1">IF('Point Data'!$D34&gt;Standings!$Q$27,"",$G33)</f>
        <v>16</v>
      </c>
      <c r="I34" s="249">
        <f ca="1">IF('Point Data'!D34&gt;Standings!$Q$27,"",H34-G34)</f>
        <v>3</v>
      </c>
      <c r="J34" s="247">
        <f ca="1">IF('Point Data'!D34&gt;Standings!$Q$27,"",OFFSET('ESPN Data'!D$3,$A34,0,1,1))</f>
        <v>118.5</v>
      </c>
      <c r="K34" s="248">
        <f ca="1">IF('Point Data'!D34&gt;Standings!$Q$27,"",OFFSET('ESPN Data'!E$3,$A34,0,1,1))</f>
        <v>103.25</v>
      </c>
      <c r="L34" s="249">
        <f ca="1">IF('Point Data'!D34&gt;Standings!$Q$27,"",OFFSET('ESPN Data'!I$3,$A34,0,1,1))</f>
        <v>95</v>
      </c>
      <c r="M34" s="249">
        <f ca="1">IF('Point Data'!D34&gt;Standings!$Q$27,"",OFFSET('ESPN Data'!I$3,$A34,-2,1,1))</f>
        <v>5</v>
      </c>
      <c r="N34" s="249">
        <f ca="1">IF('Point Data'!D34&gt;Standings!$Q$27,"",SUMIFS($M$2:$M$225,$D$2:$D$225,D34,$C$2:$C$225,C34))</f>
        <v>65</v>
      </c>
      <c r="O34" s="249">
        <f ca="1">IF('Point Data'!D34&gt;Standings!$Q$27,"",SUMIFS($L$2:$L$225,$D$2:$D$225,$D34,$C$2:$C$225,$C34))</f>
        <v>502</v>
      </c>
      <c r="P34" s="249">
        <f ca="1">IF('Point Data'!D34&gt;Standings!$Q$27,"",SUMIFS($M$2:$M$225,$D$2:$D$225,D34))</f>
        <v>104</v>
      </c>
      <c r="Q34" s="249">
        <f ca="1">IF('Point Data'!D34&gt;Standings!$Q$27,"",SUMIFS($L$2:$L$225,$D$2:$D$225,D34))</f>
        <v>1039</v>
      </c>
      <c r="R34" s="249">
        <f ca="1">IF($D34&gt;Standings!$Q$27,"",IF(U34="T",(Z34+0.5)/(D34)*100,(Z34/D34)*100))</f>
        <v>20</v>
      </c>
      <c r="S34" s="248">
        <f ca="1">IF($D34&gt;Standings!$Q$27,"",$J34-$K34)</f>
        <v>15.25</v>
      </c>
      <c r="T34" s="248">
        <f ca="1">IF($D34&gt;Standings!$Q$27,"",AVERAGE(OFFSET(S34,(-$D34+1),0,1,1):S34))</f>
        <v>-10.744</v>
      </c>
      <c r="U34" s="172">
        <f ca="1">IF($D34&gt;Standings!$Q$27,"",IF(J34&gt;K34,1,IF(J34=K34,"T",0)))</f>
        <v>1</v>
      </c>
      <c r="V34" s="172">
        <f ca="1">IF($D34&gt;Standings!$Q$27,"",IF(F34="Conf",V33,SUMIFS($U$2:$U$225,$D$2:$D$225,"&lt;="&amp;$D34,$B$2:$B$225,$B34,$F$2:$F$225,"Non Conf")))</f>
        <v>1</v>
      </c>
      <c r="W34" s="172" t="str">
        <f ca="1">IF($D34&gt;Standings!$Q$27,"",$V34&amp;"-"&amp;COUNTIF(OFFSET($F34,(-$D34+1),0,1,1):$F34,"Non Conf")-$V34)</f>
        <v>1-2</v>
      </c>
      <c r="X34" s="172">
        <f ca="1">IF($D34&gt;Standings!$Q$27,"",SUMIFS($U$2:$U$225,$D$2:$D$225,"&lt;="&amp;$D34,$B$2:$B$225,$B34,$F$2:$F$225,"Conf"))</f>
        <v>0</v>
      </c>
      <c r="Y34" s="172" t="str">
        <f ca="1">IF($D34&gt;Standings!$Q$27,"",$X34&amp;"-"&amp;COUNTIF(OFFSET($F34,(-$D34+1),0,1,1):$F34,"Conf")-$X34)</f>
        <v>0-2</v>
      </c>
      <c r="Z34" s="172">
        <f ca="1">IF($D34&gt;Standings!$Q$27,"",SUM(OFFSET(U34,(-$D34+1),0,1,1):U34))</f>
        <v>1</v>
      </c>
      <c r="AA34" s="172">
        <f ca="1">IF($D34&gt;Standings!$Q$27,"",IF(U34=1,1+AA33,0))</f>
        <v>1</v>
      </c>
      <c r="AB34" s="250">
        <f ca="1">IF($D34&gt;Standings!$Q$27,"",IF(AA34=0,1+AB33,0))</f>
        <v>0</v>
      </c>
      <c r="AC34" s="251">
        <f ca="1">IF($D34&gt;Standings!$Q$27,"",SUM(OFFSET(J34,(-$D34+1),0,1,1):J34))</f>
        <v>499.65</v>
      </c>
      <c r="AD34" s="248">
        <f ca="1">IF($D34&gt;Standings!$Q$27,"",SUM(OFFSET(K34,(-$D34+1),0,1,1):K34))</f>
        <v>553.37</v>
      </c>
      <c r="AE34" s="248">
        <f ca="1">IF($D34&gt;Standings!$Q$27,"",$J34-$K34)</f>
        <v>15.25</v>
      </c>
      <c r="AF34" s="248">
        <f ca="1">IF($D34&gt;Standings!$Q$27,"",AC34-AD34)</f>
        <v>-53.720000000000027</v>
      </c>
      <c r="AG34" s="252">
        <f ca="1">IF($D34&gt;Standings!$Q$27,"",(COUNTIFS($D$2:$D$225,$D34,$C$2:$C$225,$C34,$AC$2:$AC$225,"&lt;"&amp;$AC34)+1)*0.01)</f>
        <v>0.03</v>
      </c>
      <c r="AH34" s="252">
        <f ca="1">IF($D34&gt;Standings!$Q$27,"",Z34+AG34)</f>
        <v>1.03</v>
      </c>
      <c r="AI34" s="252"/>
      <c r="AJ34" s="172">
        <f t="array" aca="1" ref="AJ34" ca="1">IF($D34&gt;Standings!$Q$27,"",(COUNTIFS($D$2:$D$225,$D34,$C$2:$C$225,$C34,$AM$2:$AM$225,"&gt;"&amp;$AM34)+1))</f>
        <v>7</v>
      </c>
      <c r="AK34" s="172">
        <f t="array" aca="1" ref="AK34" ca="1">IF($D34&gt;Standings!$Q$27,"",IF((COUNTIFS($D$2:$D$225,$D34,$C$2:$C$225,$C34,$AH$2:$AH$225,"&gt;"&amp;$AH34)+1)=2,1,0))</f>
        <v>0</v>
      </c>
      <c r="AL34" s="172">
        <f t="array" aca="1" ref="AL34" ca="1">IF($D34&gt;Standings!$Q$27,"",IF((COUNTIFS($D$2:$D$225,$D34,$C$2:$C$225,$C34,$AH$2:$AH$225,"&gt;"&amp;$AH34)+1)&lt;2,1,0))</f>
        <v>0</v>
      </c>
      <c r="AM34" s="172">
        <f ca="1">IF($D34&gt;Standings!$Q$27,"",IF(AL34=1,200+Z34+(16-AQ34)*0.01+AI34,IF(AK34=1,100+Z34+(16-AQ34)*0.01+AI34,IF(AN34=1,50+Z34+(16-AQ34)*0.01,IF(AO34=1,15+Z34+(16-AQ34)*0.01,Z34+(16-AQ34)*0.01+AI34)))))</f>
        <v>1.04</v>
      </c>
      <c r="AN34" s="172">
        <f ca="1">IF($D34&gt;Standings!$Q$27,"",IF(OR($AK34=1,$AL34=1),"Conf Playoff Spot",COUNTIFS($AL$2:$AL$225,0,$AK$2:$AK$225,0,$C$2:$C$225,$C34,$D$2:$D$225,$D34,$AC$2:$AC$225,"&gt;"&amp;$AC34)+1))</f>
        <v>4</v>
      </c>
      <c r="AO34" s="172">
        <f t="array" aca="1" ref="AO34" ca="1">IF($D34&gt;Standings!$Q$27,"",IF(OR($AK34=1,$AL34=1),"Conf Playoff Spot",COUNTIFS($AK$2:$AK$225,0,$AL$2:$AL$225,0,$D$2:$D$225,$D34,$Z$2:$Z$225,"&gt;"&amp;$Z34)+1))</f>
        <v>9</v>
      </c>
      <c r="AP34" s="172">
        <f t="array" aca="1" ref="AP34" ca="1">IF($D34&gt;Standings!$Q$27,"",(COUNTIFS($D$2:$D$225,$D34,$J$2:$J$225,"&gt;"&amp;$J34)+1))</f>
        <v>5</v>
      </c>
      <c r="AQ34" s="249">
        <f ca="1">IF($D34&gt;Standings!$Q$27,"",(COUNTIFS($D$2:$D$225,$D34,$AC$2:$AC$225,"&gt;"&amp;$AC34)+1))</f>
        <v>12</v>
      </c>
      <c r="AR34" s="249">
        <f ca="1">IF($D34&gt;Standings!$Q$27,"",(COUNTIFS($D$2:$D$225,$D34,$K$2:$K$225,"&gt;"&amp;$K34)+1))</f>
        <v>9</v>
      </c>
      <c r="AS34" s="249">
        <f ca="1">IF($D34&gt;Standings!$Q$27,"",(COUNTIFS($D$2:$D$225,$D34,$AD$2:$AD$225,"&gt;"&amp;$AD34)+1))</f>
        <v>4</v>
      </c>
      <c r="AT34" s="354">
        <f ca="1">IF($D34&gt;Standings!$Q$27,"",SUMIFS($J$2:$J$225,$D$2:$D$225,$D34,$C$2:$C$225,$C34))</f>
        <v>811.47</v>
      </c>
      <c r="AU34" s="253">
        <f ca="1">IF($D34&gt;Standings!$Q$27,"",SUMIFS($AC$2:$AC$225,$D$2:$D$225,$D34,$C$2:$C$225,$C34))</f>
        <v>4222.03</v>
      </c>
    </row>
    <row r="35" spans="1:47">
      <c r="A35" s="190">
        <f t="shared" si="0"/>
        <v>82</v>
      </c>
      <c r="B35" s="198" t="str">
        <f>'ESPN Data'!$L$6</f>
        <v>Team 3</v>
      </c>
      <c r="C35" s="346" t="str">
        <f>VLOOKUP(B35,'ESPN Data'!$L$4:$M$19,2,FALSE)</f>
        <v>Bone</v>
      </c>
      <c r="D35" s="397">
        <v>6</v>
      </c>
      <c r="E35" s="267" t="str">
        <f t="array" ref="E35">INDEX('ESPN Data'!$C$3:$C$226,MATCH(1,('ESPN Data'!$A$3:$A$226='Point Data'!$D35)*('ESPN Data'!$B$3:$B$226='Point Data'!$B35),0))</f>
        <v>Team 4</v>
      </c>
      <c r="F35" s="250" t="str">
        <f>IF(C35&lt;&gt;VLOOKUP($E35,'ESPN Data'!$L$4:$M$19,2,FALSE),"Non Conf", "Conf")</f>
        <v>Conf</v>
      </c>
      <c r="G35" s="246">
        <f t="array" aca="1" ref="G35" ca="1">IF('Point Data'!$D35&gt;Standings!$Q$27,"",(COUNTIFS($D$2:$D$225,$D35,$AM$2:$AM$225,"&gt;"&amp;$AM35)+1))</f>
        <v>15</v>
      </c>
      <c r="H35" s="247">
        <f ca="1">IF('Point Data'!$D35&gt;Standings!$Q$27,"",$G34)</f>
        <v>13</v>
      </c>
      <c r="I35" s="249">
        <f ca="1">IF('Point Data'!D35&gt;Standings!$Q$27,"",H35-G35)</f>
        <v>-2</v>
      </c>
      <c r="J35" s="247">
        <f ca="1">IF('Point Data'!D35&gt;Standings!$Q$27,"",OFFSET('ESPN Data'!D$3,$A35,0,1,1))</f>
        <v>67.37</v>
      </c>
      <c r="K35" s="248">
        <f ca="1">IF('Point Data'!D35&gt;Standings!$Q$27,"",OFFSET('ESPN Data'!E$3,$A35,0,1,1))</f>
        <v>133.94999999999999</v>
      </c>
      <c r="L35" s="249">
        <f ca="1">IF('Point Data'!D35&gt;Standings!$Q$27,"",OFFSET('ESPN Data'!I$3,$A35,0,1,1))</f>
        <v>35</v>
      </c>
      <c r="M35" s="249">
        <f ca="1">IF('Point Data'!D35&gt;Standings!$Q$27,"",OFFSET('ESPN Data'!I$3,$A35,-2,1,1))</f>
        <v>60</v>
      </c>
      <c r="N35" s="249">
        <f ca="1">IF('Point Data'!D35&gt;Standings!$Q$27,"",SUMIFS($M$2:$M$225,$D$2:$D$225,D35,$C$2:$C$225,C35))</f>
        <v>116</v>
      </c>
      <c r="O35" s="249">
        <f ca="1">IF('Point Data'!D35&gt;Standings!$Q$27,"",SUMIFS($L$2:$L$225,$D$2:$D$225,$D35,$C$2:$C$225,$C35))</f>
        <v>386</v>
      </c>
      <c r="P35" s="249">
        <f ca="1">IF('Point Data'!D35&gt;Standings!$Q$27,"",SUMIFS($M$2:$M$225,$D$2:$D$225,D35))</f>
        <v>183</v>
      </c>
      <c r="Q35" s="249">
        <f ca="1">IF('Point Data'!D35&gt;Standings!$Q$27,"",SUMIFS($L$2:$L$225,$D$2:$D$225,D35))</f>
        <v>856</v>
      </c>
      <c r="R35" s="249">
        <f ca="1">IF($D35&gt;Standings!$Q$27,"",IF(U35="T",(Z35+0.5)/(D35)*100,(Z35/D35)*100))</f>
        <v>16.666666666666664</v>
      </c>
      <c r="S35" s="248">
        <f ca="1">IF($D35&gt;Standings!$Q$27,"",$J35-$K35)</f>
        <v>-66.579999999999984</v>
      </c>
      <c r="T35" s="248">
        <f ca="1">IF($D35&gt;Standings!$Q$27,"",AVERAGE(OFFSET(S35,(-$D35+1),0,1,1):S35))</f>
        <v>-20.049999999999997</v>
      </c>
      <c r="U35" s="172">
        <f ca="1">IF($D35&gt;Standings!$Q$27,"",IF(J35&gt;K35,1,IF(J35=K35,"T",0)))</f>
        <v>0</v>
      </c>
      <c r="V35" s="172">
        <f ca="1">IF($D35&gt;Standings!$Q$27,"",IF(F35="Conf",V34,SUMIFS($U$2:$U$225,$D$2:$D$225,"&lt;="&amp;$D35,$B$2:$B$225,$B35,$F$2:$F$225,"Non Conf")))</f>
        <v>1</v>
      </c>
      <c r="W35" s="172" t="str">
        <f ca="1">IF($D35&gt;Standings!$Q$27,"",$V35&amp;"-"&amp;COUNTIF(OFFSET($F35,(-$D35+1),0,1,1):$F35,"Non Conf")-$V35)</f>
        <v>1-2</v>
      </c>
      <c r="X35" s="172">
        <f ca="1">IF($D35&gt;Standings!$Q$27,"",SUMIFS($U$2:$U$225,$D$2:$D$225,"&lt;="&amp;$D35,$B$2:$B$225,$B35,$F$2:$F$225,"Conf"))</f>
        <v>0</v>
      </c>
      <c r="Y35" s="172" t="str">
        <f ca="1">IF($D35&gt;Standings!$Q$27,"",$X35&amp;"-"&amp;COUNTIF(OFFSET($F35,(-$D35+1),0,1,1):$F35,"Conf")-$X35)</f>
        <v>0-3</v>
      </c>
      <c r="Z35" s="172">
        <f ca="1">IF($D35&gt;Standings!$Q$27,"",SUM(OFFSET(U35,(-$D35+1),0,1,1):U35))</f>
        <v>1</v>
      </c>
      <c r="AA35" s="172">
        <f ca="1">IF($D35&gt;Standings!$Q$27,"",IF(U35=1,1+AA34,0))</f>
        <v>0</v>
      </c>
      <c r="AB35" s="250">
        <f ca="1">IF($D35&gt;Standings!$Q$27,"",IF(AA35=0,1+AB34,0))</f>
        <v>1</v>
      </c>
      <c r="AC35" s="251">
        <f ca="1">IF($D35&gt;Standings!$Q$27,"",SUM(OFFSET(J35,(-$D35+1),0,1,1):J35))</f>
        <v>567.02</v>
      </c>
      <c r="AD35" s="248">
        <f ca="1">IF($D35&gt;Standings!$Q$27,"",SUM(OFFSET(K35,(-$D35+1),0,1,1):K35))</f>
        <v>687.31999999999994</v>
      </c>
      <c r="AE35" s="248">
        <f ca="1">IF($D35&gt;Standings!$Q$27,"",$J35-$K35)</f>
        <v>-66.579999999999984</v>
      </c>
      <c r="AF35" s="248">
        <f ca="1">IF($D35&gt;Standings!$Q$27,"",AC35-AD35)</f>
        <v>-120.29999999999995</v>
      </c>
      <c r="AG35" s="252">
        <f ca="1">IF($D35&gt;Standings!$Q$27,"",(COUNTIFS($D$2:$D$225,$D35,$C$2:$C$225,$C35,$AC$2:$AC$225,"&lt;"&amp;$AC35)+1)*0.01)</f>
        <v>0.02</v>
      </c>
      <c r="AH35" s="252">
        <f ca="1">IF($D35&gt;Standings!$Q$27,"",Z35+AG35)</f>
        <v>1.02</v>
      </c>
      <c r="AI35" s="252"/>
      <c r="AJ35" s="172">
        <f t="array" aca="1" ref="AJ35" ca="1">IF($D35&gt;Standings!$Q$27,"",(COUNTIFS($D$2:$D$225,$D35,$C$2:$C$225,$C35,$AM$2:$AM$225,"&gt;"&amp;$AM35)+1))</f>
        <v>7</v>
      </c>
      <c r="AK35" s="172">
        <f t="array" aca="1" ref="AK35" ca="1">IF($D35&gt;Standings!$Q$27,"",IF((COUNTIFS($D$2:$D$225,$D35,$C$2:$C$225,$C35,$AH$2:$AH$225,"&gt;"&amp;$AH35)+1)=2,1,0))</f>
        <v>0</v>
      </c>
      <c r="AL35" s="172">
        <f t="array" aca="1" ref="AL35" ca="1">IF($D35&gt;Standings!$Q$27,"",IF((COUNTIFS($D$2:$D$225,$D35,$C$2:$C$225,$C35,$AH$2:$AH$225,"&gt;"&amp;$AH35)+1)&lt;2,1,0))</f>
        <v>0</v>
      </c>
      <c r="AM35" s="172">
        <f ca="1">IF($D35&gt;Standings!$Q$27,"",IF(AL35=1,200+Z35+(16-AQ35)*0.01+AI35,IF(AK35=1,100+Z35+(16-AQ35)*0.01+AI35,IF(AN35=1,50+Z35+(16-AQ35)*0.01,IF(AO35=1,15+Z35+(16-AQ35)*0.01,Z35+(16-AQ35)*0.01+AI35)))))</f>
        <v>1.02</v>
      </c>
      <c r="AN35" s="172">
        <f ca="1">IF($D35&gt;Standings!$Q$27,"",IF(OR($AK35=1,$AL35=1),"Conf Playoff Spot",COUNTIFS($AL$2:$AL$225,0,$AK$2:$AK$225,0,$C$2:$C$225,$C35,$D$2:$D$225,$D35,$AC$2:$AC$225,"&gt;"&amp;$AC35)+1))</f>
        <v>5</v>
      </c>
      <c r="AO35" s="172">
        <f t="array" aca="1" ref="AO35" ca="1">IF($D35&gt;Standings!$Q$27,"",IF(OR($AK35=1,$AL35=1),"Conf Playoff Spot",COUNTIFS($AK$2:$AK$225,0,$AL$2:$AL$225,0,$D$2:$D$225,$D35,$Z$2:$Z$225,"&gt;"&amp;$Z35)+1))</f>
        <v>11</v>
      </c>
      <c r="AP35" s="172">
        <f t="array" aca="1" ref="AP35" ca="1">IF($D35&gt;Standings!$Q$27,"",(COUNTIFS($D$2:$D$225,$D35,$J$2:$J$225,"&gt;"&amp;$J35)+1))</f>
        <v>16</v>
      </c>
      <c r="AQ35" s="249">
        <f ca="1">IF($D35&gt;Standings!$Q$27,"",(COUNTIFS($D$2:$D$225,$D35,$AC$2:$AC$225,"&gt;"&amp;$AC35)+1))</f>
        <v>14</v>
      </c>
      <c r="AR35" s="249">
        <f ca="1">IF($D35&gt;Standings!$Q$27,"",(COUNTIFS($D$2:$D$225,$D35,$K$2:$K$225,"&gt;"&amp;$K35)+1))</f>
        <v>1</v>
      </c>
      <c r="AS35" s="249">
        <f ca="1">IF($D35&gt;Standings!$Q$27,"",(COUNTIFS($D$2:$D$225,$D35,$AD$2:$AD$225,"&gt;"&amp;$AD35)+1))</f>
        <v>1</v>
      </c>
      <c r="AT35" s="354">
        <f ca="1">IF($D35&gt;Standings!$Q$27,"",SUMIFS($J$2:$J$225,$D$2:$D$225,$D35,$C$2:$C$225,$C35))</f>
        <v>782.35</v>
      </c>
      <c r="AU35" s="253">
        <f ca="1">IF($D35&gt;Standings!$Q$27,"",SUMIFS($AC$2:$AC$225,$D$2:$D$225,$D35,$C$2:$C$225,$C35))</f>
        <v>5004.38</v>
      </c>
    </row>
    <row r="36" spans="1:47">
      <c r="A36" s="190">
        <f t="shared" si="0"/>
        <v>98</v>
      </c>
      <c r="B36" s="198" t="str">
        <f>'ESPN Data'!$L$6</f>
        <v>Team 3</v>
      </c>
      <c r="C36" s="346" t="str">
        <f>VLOOKUP(B36,'ESPN Data'!$L$4:$M$19,2,FALSE)</f>
        <v>Bone</v>
      </c>
      <c r="D36" s="397">
        <v>7</v>
      </c>
      <c r="E36" s="267" t="str">
        <f t="array" ref="E36">INDEX('ESPN Data'!$C$3:$C$226,MATCH(1,('ESPN Data'!$A$3:$A$226='Point Data'!$D36)*('ESPN Data'!$B$3:$B$226='Point Data'!$B36),0))</f>
        <v>Team 1</v>
      </c>
      <c r="F36" s="250" t="str">
        <f>IF(C36&lt;&gt;VLOOKUP($E36,'ESPN Data'!$L$4:$M$19,2,FALSE),"Non Conf", "Conf")</f>
        <v>Conf</v>
      </c>
      <c r="G36" s="246">
        <f t="array" aca="1" ref="G36" ca="1">IF('Point Data'!$D36&gt;Standings!$Q$27,"",(COUNTIFS($D$2:$D$225,$D36,$AM$2:$AM$225,"&gt;"&amp;$AM36)+1))</f>
        <v>14</v>
      </c>
      <c r="H36" s="247">
        <f ca="1">IF('Point Data'!$D36&gt;Standings!$Q$27,"",$G35)</f>
        <v>15</v>
      </c>
      <c r="I36" s="249">
        <f ca="1">IF('Point Data'!D36&gt;Standings!$Q$27,"",H36-G36)</f>
        <v>1</v>
      </c>
      <c r="J36" s="247">
        <f ca="1">IF('Point Data'!D36&gt;Standings!$Q$27,"",OFFSET('ESPN Data'!D$3,$A36,0,1,1))</f>
        <v>121.81</v>
      </c>
      <c r="K36" s="248">
        <f ca="1">IF('Point Data'!D36&gt;Standings!$Q$27,"",OFFSET('ESPN Data'!E$3,$A36,0,1,1))</f>
        <v>96.84</v>
      </c>
      <c r="L36" s="249">
        <f ca="1">IF('Point Data'!D36&gt;Standings!$Q$27,"",OFFSET('ESPN Data'!I$3,$A36,0,1,1))</f>
        <v>35</v>
      </c>
      <c r="M36" s="249">
        <f ca="1">IF('Point Data'!D36&gt;Standings!$Q$27,"",OFFSET('ESPN Data'!I$3,$A36,-2,1,1))</f>
        <v>0</v>
      </c>
      <c r="N36" s="249">
        <f ca="1">IF('Point Data'!D36&gt;Standings!$Q$27,"",SUMIFS($M$2:$M$225,$D$2:$D$225,D36,$C$2:$C$225,C36))</f>
        <v>28</v>
      </c>
      <c r="O36" s="249">
        <f ca="1">IF('Point Data'!D36&gt;Standings!$Q$27,"",SUMIFS($L$2:$L$225,$D$2:$D$225,$D36,$C$2:$C$225,$C36))</f>
        <v>358</v>
      </c>
      <c r="P36" s="249">
        <f ca="1">IF('Point Data'!D36&gt;Standings!$Q$27,"",SUMIFS($M$2:$M$225,$D$2:$D$225,D36))</f>
        <v>168</v>
      </c>
      <c r="Q36" s="249">
        <f ca="1">IF('Point Data'!D36&gt;Standings!$Q$27,"",SUMIFS($L$2:$L$225,$D$2:$D$225,D36))</f>
        <v>688</v>
      </c>
      <c r="R36" s="249">
        <f ca="1">IF($D36&gt;Standings!$Q$27,"",IF(U36="T",(Z36+0.5)/(D36)*100,(Z36/D36)*100))</f>
        <v>28.571428571428569</v>
      </c>
      <c r="S36" s="248">
        <f ca="1">IF($D36&gt;Standings!$Q$27,"",$J36-$K36)</f>
        <v>24.97</v>
      </c>
      <c r="T36" s="248">
        <f ca="1">IF($D36&gt;Standings!$Q$27,"",AVERAGE(OFFSET(S36,(-$D36+1),0,1,1):S36))</f>
        <v>-13.618571428571427</v>
      </c>
      <c r="U36" s="172">
        <f ca="1">IF($D36&gt;Standings!$Q$27,"",IF(J36&gt;K36,1,IF(J36=K36,"T",0)))</f>
        <v>1</v>
      </c>
      <c r="V36" s="172">
        <f ca="1">IF($D36&gt;Standings!$Q$27,"",IF(F36="Conf",V35,SUMIFS($U$2:$U$225,$D$2:$D$225,"&lt;="&amp;$D36,$B$2:$B$225,$B36,$F$2:$F$225,"Non Conf")))</f>
        <v>1</v>
      </c>
      <c r="W36" s="172" t="str">
        <f ca="1">IF($D36&gt;Standings!$Q$27,"",$V36&amp;"-"&amp;COUNTIF(OFFSET($F36,(-$D36+1),0,1,1):$F36,"Non Conf")-$V36)</f>
        <v>1-2</v>
      </c>
      <c r="X36" s="172">
        <f ca="1">IF($D36&gt;Standings!$Q$27,"",SUMIFS($U$2:$U$225,$D$2:$D$225,"&lt;="&amp;$D36,$B$2:$B$225,$B36,$F$2:$F$225,"Conf"))</f>
        <v>1</v>
      </c>
      <c r="Y36" s="172" t="str">
        <f ca="1">IF($D36&gt;Standings!$Q$27,"",$X36&amp;"-"&amp;COUNTIF(OFFSET($F36,(-$D36+1),0,1,1):$F36,"Conf")-$X36)</f>
        <v>1-3</v>
      </c>
      <c r="Z36" s="172">
        <f ca="1">IF($D36&gt;Standings!$Q$27,"",SUM(OFFSET(U36,(-$D36+1),0,1,1):U36))</f>
        <v>2</v>
      </c>
      <c r="AA36" s="172">
        <f ca="1">IF($D36&gt;Standings!$Q$27,"",IF(U36=1,1+AA35,0))</f>
        <v>1</v>
      </c>
      <c r="AB36" s="250">
        <f ca="1">IF($D36&gt;Standings!$Q$27,"",IF(AA36=0,1+AB35,0))</f>
        <v>0</v>
      </c>
      <c r="AC36" s="251">
        <f ca="1">IF($D36&gt;Standings!$Q$27,"",SUM(OFFSET(J36,(-$D36+1),0,1,1):J36))</f>
        <v>688.82999999999993</v>
      </c>
      <c r="AD36" s="248">
        <f ca="1">IF($D36&gt;Standings!$Q$27,"",SUM(OFFSET(K36,(-$D36+1),0,1,1):K36))</f>
        <v>784.16</v>
      </c>
      <c r="AE36" s="248">
        <f ca="1">IF($D36&gt;Standings!$Q$27,"",$J36-$K36)</f>
        <v>24.97</v>
      </c>
      <c r="AF36" s="248">
        <f ca="1">IF($D36&gt;Standings!$Q$27,"",AC36-AD36)</f>
        <v>-95.330000000000041</v>
      </c>
      <c r="AG36" s="252">
        <f ca="1">IF($D36&gt;Standings!$Q$27,"",(COUNTIFS($D$2:$D$225,$D36,$C$2:$C$225,$C36,$AC$2:$AC$225,"&lt;"&amp;$AC36)+1)*0.01)</f>
        <v>0.02</v>
      </c>
      <c r="AH36" s="252">
        <f ca="1">IF($D36&gt;Standings!$Q$27,"",Z36+AG36)</f>
        <v>2.02</v>
      </c>
      <c r="AI36" s="252"/>
      <c r="AJ36" s="172">
        <f t="array" aca="1" ref="AJ36" ca="1">IF($D36&gt;Standings!$Q$27,"",(COUNTIFS($D$2:$D$225,$D36,$C$2:$C$225,$C36,$AM$2:$AM$225,"&gt;"&amp;$AM36)+1))</f>
        <v>7</v>
      </c>
      <c r="AK36" s="172">
        <f t="array" aca="1" ref="AK36" ca="1">IF($D36&gt;Standings!$Q$27,"",IF((COUNTIFS($D$2:$D$225,$D36,$C$2:$C$225,$C36,$AH$2:$AH$225,"&gt;"&amp;$AH36)+1)=2,1,0))</f>
        <v>0</v>
      </c>
      <c r="AL36" s="172">
        <f t="array" aca="1" ref="AL36" ca="1">IF($D36&gt;Standings!$Q$27,"",IF((COUNTIFS($D$2:$D$225,$D36,$C$2:$C$225,$C36,$AH$2:$AH$225,"&gt;"&amp;$AH36)+1)&lt;2,1,0))</f>
        <v>0</v>
      </c>
      <c r="AM36" s="172">
        <f ca="1">IF($D36&gt;Standings!$Q$27,"",IF(AL36=1,200+Z36+(16-AQ36)*0.01+AI36,IF(AK36=1,100+Z36+(16-AQ36)*0.01+AI36,IF(AN36=1,50+Z36+(16-AQ36)*0.01,IF(AO36=1,15+Z36+(16-AQ36)*0.01,Z36+(16-AQ36)*0.01+AI36)))))</f>
        <v>2.0299999999999998</v>
      </c>
      <c r="AN36" s="172">
        <f ca="1">IF($D36&gt;Standings!$Q$27,"",IF(OR($AK36=1,$AL36=1),"Conf Playoff Spot",COUNTIFS($AL$2:$AL$225,0,$AK$2:$AK$225,0,$C$2:$C$225,$C36,$D$2:$D$225,$D36,$AC$2:$AC$225,"&gt;"&amp;$AC36)+1))</f>
        <v>5</v>
      </c>
      <c r="AO36" s="172">
        <f t="array" aca="1" ref="AO36" ca="1">IF($D36&gt;Standings!$Q$27,"",IF(OR($AK36=1,$AL36=1),"Conf Playoff Spot",COUNTIFS($AK$2:$AK$225,0,$AL$2:$AL$225,0,$D$2:$D$225,$D36,$Z$2:$Z$225,"&gt;"&amp;$Z36)+1))</f>
        <v>8</v>
      </c>
      <c r="AP36" s="172">
        <f t="array" aca="1" ref="AP36" ca="1">IF($D36&gt;Standings!$Q$27,"",(COUNTIFS($D$2:$D$225,$D36,$J$2:$J$225,"&gt;"&amp;$J36)+1))</f>
        <v>4</v>
      </c>
      <c r="AQ36" s="249">
        <f ca="1">IF($D36&gt;Standings!$Q$27,"",(COUNTIFS($D$2:$D$225,$D36,$AC$2:$AC$225,"&gt;"&amp;$AC36)+1))</f>
        <v>13</v>
      </c>
      <c r="AR36" s="249">
        <f ca="1">IF($D36&gt;Standings!$Q$27,"",(COUNTIFS($D$2:$D$225,$D36,$K$2:$K$225,"&gt;"&amp;$K36)+1))</f>
        <v>9</v>
      </c>
      <c r="AS36" s="249">
        <f ca="1">IF($D36&gt;Standings!$Q$27,"",(COUNTIFS($D$2:$D$225,$D36,$AD$2:$AD$225,"&gt;"&amp;$AD36)+1))</f>
        <v>2</v>
      </c>
      <c r="AT36" s="354">
        <f ca="1">IF($D36&gt;Standings!$Q$27,"",SUMIFS($J$2:$J$225,$D$2:$D$225,$D36,$C$2:$C$225,$C36))</f>
        <v>939.21999999999991</v>
      </c>
      <c r="AU36" s="253">
        <f ca="1">IF($D36&gt;Standings!$Q$27,"",SUMIFS($AC$2:$AC$225,$D$2:$D$225,$D36,$C$2:$C$225,$C36))</f>
        <v>5943.6</v>
      </c>
    </row>
    <row r="37" spans="1:47">
      <c r="A37" s="190">
        <f t="shared" si="0"/>
        <v>114</v>
      </c>
      <c r="B37" s="198" t="str">
        <f>'ESPN Data'!$L$6</f>
        <v>Team 3</v>
      </c>
      <c r="C37" s="346" t="str">
        <f>VLOOKUP(B37,'ESPN Data'!$L$4:$M$19,2,FALSE)</f>
        <v>Bone</v>
      </c>
      <c r="D37" s="397">
        <v>8</v>
      </c>
      <c r="E37" s="267" t="str">
        <f t="array" ref="E37">INDEX('ESPN Data'!$C$3:$C$226,MATCH(1,('ESPN Data'!$A$3:$A$226='Point Data'!$D37)*('ESPN Data'!$B$3:$B$226='Point Data'!$B37),0))</f>
        <v>Team 13</v>
      </c>
      <c r="F37" s="250" t="str">
        <f>IF(C37&lt;&gt;VLOOKUP($E37,'ESPN Data'!$L$4:$M$19,2,FALSE),"Non Conf", "Conf")</f>
        <v>Non Conf</v>
      </c>
      <c r="G37" s="246">
        <f t="array" aca="1" ref="G37" ca="1">IF('Point Data'!$D37&gt;Standings!$Q$27,"",(COUNTIFS($D$2:$D$225,$D37,$AM$2:$AM$225,"&gt;"&amp;$AM37)+1))</f>
        <v>13</v>
      </c>
      <c r="H37" s="247">
        <f ca="1">IF('Point Data'!$D37&gt;Standings!$Q$27,"",$G36)</f>
        <v>14</v>
      </c>
      <c r="I37" s="249">
        <f ca="1">IF('Point Data'!D37&gt;Standings!$Q$27,"",H37-G37)</f>
        <v>1</v>
      </c>
      <c r="J37" s="247">
        <f ca="1">IF('Point Data'!D37&gt;Standings!$Q$27,"",OFFSET('ESPN Data'!D$3,$A37,0,1,1))</f>
        <v>80.22</v>
      </c>
      <c r="K37" s="248">
        <f ca="1">IF('Point Data'!D37&gt;Standings!$Q$27,"",OFFSET('ESPN Data'!E$3,$A37,0,1,1))</f>
        <v>73.22</v>
      </c>
      <c r="L37" s="249">
        <f ca="1">IF('Point Data'!D37&gt;Standings!$Q$27,"",OFFSET('ESPN Data'!I$3,$A37,0,1,1))</f>
        <v>32</v>
      </c>
      <c r="M37" s="249">
        <f ca="1">IF('Point Data'!D37&gt;Standings!$Q$27,"",OFFSET('ESPN Data'!I$3,$A37,-2,1,1))</f>
        <v>3</v>
      </c>
      <c r="N37" s="249">
        <f ca="1">IF('Point Data'!D37&gt;Standings!$Q$27,"",SUMIFS($M$2:$M$225,$D$2:$D$225,D37,$C$2:$C$225,C37))</f>
        <v>18</v>
      </c>
      <c r="O37" s="249">
        <f ca="1">IF('Point Data'!D37&gt;Standings!$Q$27,"",SUMIFS($L$2:$L$225,$D$2:$D$225,$D37,$C$2:$C$225,$C37))</f>
        <v>340</v>
      </c>
      <c r="P37" s="249">
        <f ca="1">IF('Point Data'!D37&gt;Standings!$Q$27,"",SUMIFS($M$2:$M$225,$D$2:$D$225,D37))</f>
        <v>80</v>
      </c>
      <c r="Q37" s="249">
        <f ca="1">IF('Point Data'!D37&gt;Standings!$Q$27,"",SUMIFS($L$2:$L$225,$D$2:$D$225,D37))</f>
        <v>608</v>
      </c>
      <c r="R37" s="249">
        <f ca="1">IF($D37&gt;Standings!$Q$27,"",IF(U37="T",(Z37+0.5)/(D37)*100,(Z37/D37)*100))</f>
        <v>37.5</v>
      </c>
      <c r="S37" s="248">
        <f ca="1">IF($D37&gt;Standings!$Q$27,"",$J37-$K37)</f>
        <v>7</v>
      </c>
      <c r="T37" s="248">
        <f ca="1">IF($D37&gt;Standings!$Q$27,"",AVERAGE(OFFSET(S37,(-$D37+1),0,1,1):S37))</f>
        <v>-11.041249999999998</v>
      </c>
      <c r="U37" s="172">
        <f ca="1">IF($D37&gt;Standings!$Q$27,"",IF(J37&gt;K37,1,IF(J37=K37,"T",0)))</f>
        <v>1</v>
      </c>
      <c r="V37" s="172">
        <f ca="1">IF($D37&gt;Standings!$Q$27,"",IF(F37="Conf",V36,SUMIFS($U$2:$U$225,$D$2:$D$225,"&lt;="&amp;$D37,$B$2:$B$225,$B37,$F$2:$F$225,"Non Conf")))</f>
        <v>2</v>
      </c>
      <c r="W37" s="172" t="str">
        <f ca="1">IF($D37&gt;Standings!$Q$27,"",$V37&amp;"-"&amp;COUNTIF(OFFSET($F37,(-$D37+1),0,1,1):$F37,"Non Conf")-$V37)</f>
        <v>2-2</v>
      </c>
      <c r="X37" s="172">
        <f ca="1">IF($D37&gt;Standings!$Q$27,"",SUMIFS($U$2:$U$225,$D$2:$D$225,"&lt;="&amp;$D37,$B$2:$B$225,$B37,$F$2:$F$225,"Conf"))</f>
        <v>1</v>
      </c>
      <c r="Y37" s="172" t="str">
        <f ca="1">IF($D37&gt;Standings!$Q$27,"",$X37&amp;"-"&amp;COUNTIF(OFFSET($F37,(-$D37+1),0,1,1):$F37,"Conf")-$X37)</f>
        <v>1-3</v>
      </c>
      <c r="Z37" s="172">
        <f ca="1">IF($D37&gt;Standings!$Q$27,"",SUM(OFFSET(U37,(-$D37+1),0,1,1):U37))</f>
        <v>3</v>
      </c>
      <c r="AA37" s="172">
        <f ca="1">IF($D37&gt;Standings!$Q$27,"",IF(U37=1,1+AA36,0))</f>
        <v>2</v>
      </c>
      <c r="AB37" s="250">
        <f ca="1">IF($D37&gt;Standings!$Q$27,"",IF(AA37=0,1+AB36,0))</f>
        <v>0</v>
      </c>
      <c r="AC37" s="251">
        <f ca="1">IF($D37&gt;Standings!$Q$27,"",SUM(OFFSET(J37,(-$D37+1),0,1,1):J37))</f>
        <v>769.05</v>
      </c>
      <c r="AD37" s="248">
        <f ca="1">IF($D37&gt;Standings!$Q$27,"",SUM(OFFSET(K37,(-$D37+1),0,1,1):K37))</f>
        <v>857.38</v>
      </c>
      <c r="AE37" s="248">
        <f ca="1">IF($D37&gt;Standings!$Q$27,"",$J37-$K37)</f>
        <v>7</v>
      </c>
      <c r="AF37" s="248">
        <f ca="1">IF($D37&gt;Standings!$Q$27,"",AC37-AD37)</f>
        <v>-88.330000000000041</v>
      </c>
      <c r="AG37" s="252">
        <f ca="1">IF($D37&gt;Standings!$Q$27,"",(COUNTIFS($D$2:$D$225,$D37,$C$2:$C$225,$C37,$AC$2:$AC$225,"&lt;"&amp;$AC37)+1)*0.01)</f>
        <v>0.02</v>
      </c>
      <c r="AH37" s="252">
        <f ca="1">IF($D37&gt;Standings!$Q$27,"",Z37+AG37)</f>
        <v>3.02</v>
      </c>
      <c r="AI37" s="252"/>
      <c r="AJ37" s="172">
        <f t="array" aca="1" ref="AJ37" ca="1">IF($D37&gt;Standings!$Q$27,"",(COUNTIFS($D$2:$D$225,$D37,$C$2:$C$225,$C37,$AM$2:$AM$225,"&gt;"&amp;$AM37)+1))</f>
        <v>7</v>
      </c>
      <c r="AK37" s="172">
        <f t="array" aca="1" ref="AK37" ca="1">IF($D37&gt;Standings!$Q$27,"",IF((COUNTIFS($D$2:$D$225,$D37,$C$2:$C$225,$C37,$AH$2:$AH$225,"&gt;"&amp;$AH37)+1)=2,1,0))</f>
        <v>0</v>
      </c>
      <c r="AL37" s="172">
        <f t="array" aca="1" ref="AL37" ca="1">IF($D37&gt;Standings!$Q$27,"",IF((COUNTIFS($D$2:$D$225,$D37,$C$2:$C$225,$C37,$AH$2:$AH$225,"&gt;"&amp;$AH37)+1)&lt;2,1,0))</f>
        <v>0</v>
      </c>
      <c r="AM37" s="172">
        <f ca="1">IF($D37&gt;Standings!$Q$27,"",IF(AL37=1,200+Z37+(16-AQ37)*0.01+AI37,IF(AK37=1,100+Z37+(16-AQ37)*0.01+AI37,IF(AN37=1,50+Z37+(16-AQ37)*0.01,IF(AO37=1,15+Z37+(16-AQ37)*0.01,Z37+(16-AQ37)*0.01+AI37)))))</f>
        <v>3.03</v>
      </c>
      <c r="AN37" s="172">
        <f ca="1">IF($D37&gt;Standings!$Q$27,"",IF(OR($AK37=1,$AL37=1),"Conf Playoff Spot",COUNTIFS($AL$2:$AL$225,0,$AK$2:$AK$225,0,$C$2:$C$225,$C37,$D$2:$D$225,$D37,$AC$2:$AC$225,"&gt;"&amp;$AC37)+1))</f>
        <v>5</v>
      </c>
      <c r="AO37" s="172">
        <f t="array" aca="1" ref="AO37" ca="1">IF($D37&gt;Standings!$Q$27,"",IF(OR($AK37=1,$AL37=1),"Conf Playoff Spot",COUNTIFS($AK$2:$AK$225,0,$AL$2:$AL$225,0,$D$2:$D$225,$D37,$Z$2:$Z$225,"&gt;"&amp;$Z37)+1))</f>
        <v>7</v>
      </c>
      <c r="AP37" s="172">
        <f t="array" aca="1" ref="AP37" ca="1">IF($D37&gt;Standings!$Q$27,"",(COUNTIFS($D$2:$D$225,$D37,$J$2:$J$225,"&gt;"&amp;$J37)+1))</f>
        <v>12</v>
      </c>
      <c r="AQ37" s="249">
        <f ca="1">IF($D37&gt;Standings!$Q$27,"",(COUNTIFS($D$2:$D$225,$D37,$AC$2:$AC$225,"&gt;"&amp;$AC37)+1))</f>
        <v>13</v>
      </c>
      <c r="AR37" s="249">
        <f ca="1">IF($D37&gt;Standings!$Q$27,"",(COUNTIFS($D$2:$D$225,$D37,$K$2:$K$225,"&gt;"&amp;$K37)+1))</f>
        <v>13</v>
      </c>
      <c r="AS37" s="249">
        <f ca="1">IF($D37&gt;Standings!$Q$27,"",(COUNTIFS($D$2:$D$225,$D37,$AD$2:$AD$225,"&gt;"&amp;$AD37)+1))</f>
        <v>4</v>
      </c>
      <c r="AT37" s="354">
        <f ca="1">IF($D37&gt;Standings!$Q$27,"",SUMIFS($J$2:$J$225,$D$2:$D$225,$D37,$C$2:$C$225,$C37))</f>
        <v>724.6400000000001</v>
      </c>
      <c r="AU37" s="253">
        <f ca="1">IF($D37&gt;Standings!$Q$27,"",SUMIFS($AC$2:$AC$225,$D$2:$D$225,$D37,$C$2:$C$225,$C37))</f>
        <v>6668.24</v>
      </c>
    </row>
    <row r="38" spans="1:47">
      <c r="A38" s="190">
        <f t="shared" si="0"/>
        <v>130</v>
      </c>
      <c r="B38" s="198" t="str">
        <f>'ESPN Data'!$L$6</f>
        <v>Team 3</v>
      </c>
      <c r="C38" s="346" t="str">
        <f>VLOOKUP(B38,'ESPN Data'!$L$4:$M$19,2,FALSE)</f>
        <v>Bone</v>
      </c>
      <c r="D38" s="397">
        <v>9</v>
      </c>
      <c r="E38" s="267" t="str">
        <f t="array" ref="E38">INDEX('ESPN Data'!$C$3:$C$226,MATCH(1,('ESPN Data'!$A$3:$A$226='Point Data'!$D38)*('ESPN Data'!$B$3:$B$226='Point Data'!$B38),0))</f>
        <v>Team 12</v>
      </c>
      <c r="F38" s="250" t="str">
        <f>IF(C38&lt;&gt;VLOOKUP($E38,'ESPN Data'!$L$4:$M$19,2,FALSE),"Non Conf", "Conf")</f>
        <v>Non Conf</v>
      </c>
      <c r="G38" s="246">
        <f t="array" aca="1" ref="G38" ca="1">IF('Point Data'!$D38&gt;Standings!$Q$27,"",(COUNTIFS($D$2:$D$225,$D38,$AM$2:$AM$225,"&gt;"&amp;$AM38)+1))</f>
        <v>11</v>
      </c>
      <c r="H38" s="247">
        <f ca="1">IF('Point Data'!$D38&gt;Standings!$Q$27,"",$G37)</f>
        <v>13</v>
      </c>
      <c r="I38" s="249">
        <f ca="1">IF('Point Data'!D38&gt;Standings!$Q$27,"",H38-G38)</f>
        <v>2</v>
      </c>
      <c r="J38" s="247">
        <f ca="1">IF('Point Data'!D38&gt;Standings!$Q$27,"",OFFSET('ESPN Data'!D$3,$A38,0,1,1))</f>
        <v>87.41</v>
      </c>
      <c r="K38" s="248">
        <f ca="1">IF('Point Data'!D38&gt;Standings!$Q$27,"",OFFSET('ESPN Data'!E$3,$A38,0,1,1))</f>
        <v>87.25</v>
      </c>
      <c r="L38" s="249">
        <f ca="1">IF('Point Data'!D38&gt;Standings!$Q$27,"",OFFSET('ESPN Data'!I$3,$A38,0,1,1))</f>
        <v>32</v>
      </c>
      <c r="M38" s="249">
        <f ca="1">IF('Point Data'!D38&gt;Standings!$Q$27,"",OFFSET('ESPN Data'!I$3,$A38,-2,1,1))</f>
        <v>0</v>
      </c>
      <c r="N38" s="249">
        <f ca="1">IF('Point Data'!D38&gt;Standings!$Q$27,"",SUMIFS($M$2:$M$225,$D$2:$D$225,D38,$C$2:$C$225,C38))</f>
        <v>35</v>
      </c>
      <c r="O38" s="249">
        <f ca="1">IF('Point Data'!D38&gt;Standings!$Q$27,"",SUMIFS($L$2:$L$225,$D$2:$D$225,$D38,$C$2:$C$225,$C38))</f>
        <v>305</v>
      </c>
      <c r="P38" s="249">
        <f ca="1">IF('Point Data'!D38&gt;Standings!$Q$27,"",SUMIFS($M$2:$M$225,$D$2:$D$225,D38))</f>
        <v>63</v>
      </c>
      <c r="Q38" s="249">
        <f ca="1">IF('Point Data'!D38&gt;Standings!$Q$27,"",SUMIFS($L$2:$L$225,$D$2:$D$225,D38))</f>
        <v>545</v>
      </c>
      <c r="R38" s="249">
        <f ca="1">IF($D38&gt;Standings!$Q$27,"",IF(U38="T",(Z38+0.5)/(D38)*100,(Z38/D38)*100))</f>
        <v>44.444444444444443</v>
      </c>
      <c r="S38" s="248">
        <f ca="1">IF($D38&gt;Standings!$Q$27,"",$J38-$K38)</f>
        <v>0.15999999999999659</v>
      </c>
      <c r="T38" s="248">
        <f ca="1">IF($D38&gt;Standings!$Q$27,"",AVERAGE(OFFSET(S38,(-$D38+1),0,1,1):S38))</f>
        <v>-9.7966666666666651</v>
      </c>
      <c r="U38" s="172">
        <f ca="1">IF($D38&gt;Standings!$Q$27,"",IF(J38&gt;K38,1,IF(J38=K38,"T",0)))</f>
        <v>1</v>
      </c>
      <c r="V38" s="172">
        <f ca="1">IF($D38&gt;Standings!$Q$27,"",IF(F38="Conf",V37,SUMIFS($U$2:$U$225,$D$2:$D$225,"&lt;="&amp;$D38,$B$2:$B$225,$B38,$F$2:$F$225,"Non Conf")))</f>
        <v>3</v>
      </c>
      <c r="W38" s="172" t="str">
        <f ca="1">IF($D38&gt;Standings!$Q$27,"",$V38&amp;"-"&amp;COUNTIF(OFFSET($F38,(-$D38+1),0,1,1):$F38,"Non Conf")-$V38)</f>
        <v>3-2</v>
      </c>
      <c r="X38" s="172">
        <f ca="1">IF($D38&gt;Standings!$Q$27,"",SUMIFS($U$2:$U$225,$D$2:$D$225,"&lt;="&amp;$D38,$B$2:$B$225,$B38,$F$2:$F$225,"Conf"))</f>
        <v>1</v>
      </c>
      <c r="Y38" s="172" t="str">
        <f ca="1">IF($D38&gt;Standings!$Q$27,"",$X38&amp;"-"&amp;COUNTIF(OFFSET($F38,(-$D38+1),0,1,1):$F38,"Conf")-$X38)</f>
        <v>1-3</v>
      </c>
      <c r="Z38" s="172">
        <f ca="1">IF($D38&gt;Standings!$Q$27,"",SUM(OFFSET(U38,(-$D38+1),0,1,1):U38))</f>
        <v>4</v>
      </c>
      <c r="AA38" s="172">
        <f ca="1">IF($D38&gt;Standings!$Q$27,"",IF(U38=1,1+AA37,0))</f>
        <v>3</v>
      </c>
      <c r="AB38" s="250">
        <f ca="1">IF($D38&gt;Standings!$Q$27,"",IF(AA38=0,1+AB37,0))</f>
        <v>0</v>
      </c>
      <c r="AC38" s="251">
        <f ca="1">IF($D38&gt;Standings!$Q$27,"",SUM(OFFSET(J38,(-$D38+1),0,1,1):J38))</f>
        <v>856.45999999999992</v>
      </c>
      <c r="AD38" s="248">
        <f ca="1">IF($D38&gt;Standings!$Q$27,"",SUM(OFFSET(K38,(-$D38+1),0,1,1):K38))</f>
        <v>944.63</v>
      </c>
      <c r="AE38" s="248">
        <f ca="1">IF($D38&gt;Standings!$Q$27,"",$J38-$K38)</f>
        <v>0.15999999999999659</v>
      </c>
      <c r="AF38" s="248">
        <f ca="1">IF($D38&gt;Standings!$Q$27,"",AC38-AD38)</f>
        <v>-88.170000000000073</v>
      </c>
      <c r="AG38" s="252">
        <f ca="1">IF($D38&gt;Standings!$Q$27,"",(COUNTIFS($D$2:$D$225,$D38,$C$2:$C$225,$C38,$AC$2:$AC$225,"&lt;"&amp;$AC38)+1)*0.01)</f>
        <v>0.02</v>
      </c>
      <c r="AH38" s="252">
        <f ca="1">IF($D38&gt;Standings!$Q$27,"",Z38+AG38)</f>
        <v>4.0199999999999996</v>
      </c>
      <c r="AI38" s="252"/>
      <c r="AJ38" s="172">
        <f t="array" aca="1" ref="AJ38" ca="1">IF($D38&gt;Standings!$Q$27,"",(COUNTIFS($D$2:$D$225,$D38,$C$2:$C$225,$C38,$AM$2:$AM$225,"&gt;"&amp;$AM38)+1))</f>
        <v>7</v>
      </c>
      <c r="AK38" s="172">
        <f t="array" aca="1" ref="AK38" ca="1">IF($D38&gt;Standings!$Q$27,"",IF((COUNTIFS($D$2:$D$225,$D38,$C$2:$C$225,$C38,$AH$2:$AH$225,"&gt;"&amp;$AH38)+1)=2,1,0))</f>
        <v>0</v>
      </c>
      <c r="AL38" s="172">
        <f t="array" aca="1" ref="AL38" ca="1">IF($D38&gt;Standings!$Q$27,"",IF((COUNTIFS($D$2:$D$225,$D38,$C$2:$C$225,$C38,$AH$2:$AH$225,"&gt;"&amp;$AH38)+1)&lt;2,1,0))</f>
        <v>0</v>
      </c>
      <c r="AM38" s="172">
        <f ca="1">IF($D38&gt;Standings!$Q$27,"",IF(AL38=1,200+Z38+(16-AQ38)*0.01+AI38,IF(AK38=1,100+Z38+(16-AQ38)*0.01+AI38,IF(AN38=1,50+Z38+(16-AQ38)*0.01,IF(AO38=1,15+Z38+(16-AQ38)*0.01,Z38+(16-AQ38)*0.01+AI38)))))</f>
        <v>4.03</v>
      </c>
      <c r="AN38" s="172">
        <f ca="1">IF($D38&gt;Standings!$Q$27,"",IF(OR($AK38=1,$AL38=1),"Conf Playoff Spot",COUNTIFS($AL$2:$AL$225,0,$AK$2:$AK$225,0,$C$2:$C$225,$C38,$D$2:$D$225,$D38,$AC$2:$AC$225,"&gt;"&amp;$AC38)+1))</f>
        <v>5</v>
      </c>
      <c r="AO38" s="172">
        <f t="array" aca="1" ref="AO38" ca="1">IF($D38&gt;Standings!$Q$27,"",IF(OR($AK38=1,$AL38=1),"Conf Playoff Spot",COUNTIFS($AK$2:$AK$225,0,$AL$2:$AL$225,0,$D$2:$D$225,$D38,$Z$2:$Z$225,"&gt;"&amp;$Z38)+1))</f>
        <v>7</v>
      </c>
      <c r="AP38" s="172">
        <f t="array" aca="1" ref="AP38" ca="1">IF($D38&gt;Standings!$Q$27,"",(COUNTIFS($D$2:$D$225,$D38,$J$2:$J$225,"&gt;"&amp;$J38)+1))</f>
        <v>11</v>
      </c>
      <c r="AQ38" s="249">
        <f ca="1">IF($D38&gt;Standings!$Q$27,"",(COUNTIFS($D$2:$D$225,$D38,$AC$2:$AC$225,"&gt;"&amp;$AC38)+1))</f>
        <v>13</v>
      </c>
      <c r="AR38" s="249">
        <f ca="1">IF($D38&gt;Standings!$Q$27,"",(COUNTIFS($D$2:$D$225,$D38,$K$2:$K$225,"&gt;"&amp;$K38)+1))</f>
        <v>12</v>
      </c>
      <c r="AS38" s="249">
        <f ca="1">IF($D38&gt;Standings!$Q$27,"",(COUNTIFS($D$2:$D$225,$D38,$AD$2:$AD$225,"&gt;"&amp;$AD38)+1))</f>
        <v>7</v>
      </c>
      <c r="AT38" s="354">
        <f ca="1">IF($D38&gt;Standings!$Q$27,"",SUMIFS($J$2:$J$225,$D$2:$D$225,$D38,$C$2:$C$225,$C38))</f>
        <v>780.12</v>
      </c>
      <c r="AU38" s="253">
        <f ca="1">IF($D38&gt;Standings!$Q$27,"",SUMIFS($AC$2:$AC$225,$D$2:$D$225,$D38,$C$2:$C$225,$C38))</f>
        <v>7448.3600000000006</v>
      </c>
    </row>
    <row r="39" spans="1:47">
      <c r="A39" s="190">
        <f t="shared" si="0"/>
        <v>146</v>
      </c>
      <c r="B39" s="198" t="str">
        <f>'ESPN Data'!$L$6</f>
        <v>Team 3</v>
      </c>
      <c r="C39" s="346" t="str">
        <f>VLOOKUP(B39,'ESPN Data'!$L$4:$M$19,2,FALSE)</f>
        <v>Bone</v>
      </c>
      <c r="D39" s="397">
        <v>10</v>
      </c>
      <c r="E39" s="267" t="str">
        <f t="array" ref="E39">INDEX('ESPN Data'!$C$3:$C$226,MATCH(1,('ESPN Data'!$A$3:$A$226='Point Data'!$D39)*('ESPN Data'!$B$3:$B$226='Point Data'!$B39),0))</f>
        <v>Team 5</v>
      </c>
      <c r="F39" s="250" t="str">
        <f>IF(C39&lt;&gt;VLOOKUP($E39,'ESPN Data'!$L$4:$M$19,2,FALSE),"Non Conf", "Conf")</f>
        <v>Conf</v>
      </c>
      <c r="G39" s="246">
        <f t="array" aca="1" ref="G39" ca="1">IF('Point Data'!$D39&gt;Standings!$Q$27,"",(COUNTIFS($D$2:$D$225,$D39,$AM$2:$AM$225,"&gt;"&amp;$AM39)+1))</f>
        <v>12</v>
      </c>
      <c r="H39" s="247">
        <f ca="1">IF('Point Data'!$D39&gt;Standings!$Q$27,"",$G38)</f>
        <v>11</v>
      </c>
      <c r="I39" s="249">
        <f ca="1">IF('Point Data'!D39&gt;Standings!$Q$27,"",H39-G39)</f>
        <v>-1</v>
      </c>
      <c r="J39" s="247">
        <f ca="1">IF('Point Data'!D39&gt;Standings!$Q$27,"",OFFSET('ESPN Data'!D$3,$A39,0,1,1))</f>
        <v>71.05</v>
      </c>
      <c r="K39" s="248">
        <f ca="1">IF('Point Data'!D39&gt;Standings!$Q$27,"",OFFSET('ESPN Data'!E$3,$A39,0,1,1))</f>
        <v>112.46</v>
      </c>
      <c r="L39" s="249">
        <f ca="1">IF('Point Data'!D39&gt;Standings!$Q$27,"",OFFSET('ESPN Data'!I$3,$A39,0,1,1))</f>
        <v>32</v>
      </c>
      <c r="M39" s="249">
        <f ca="1">IF('Point Data'!D39&gt;Standings!$Q$27,"",OFFSET('ESPN Data'!I$3,$A39,-2,1,1))</f>
        <v>0</v>
      </c>
      <c r="N39" s="249">
        <f ca="1">IF('Point Data'!D39&gt;Standings!$Q$27,"",SUMIFS($M$2:$M$225,$D$2:$D$225,D39,$C$2:$C$225,C39))</f>
        <v>19</v>
      </c>
      <c r="O39" s="249">
        <f ca="1">IF('Point Data'!D39&gt;Standings!$Q$27,"",SUMIFS($L$2:$L$225,$D$2:$D$225,$D39,$C$2:$C$225,$C39))</f>
        <v>286</v>
      </c>
      <c r="P39" s="249">
        <f ca="1">IF('Point Data'!D39&gt;Standings!$Q$27,"",SUMIFS($M$2:$M$225,$D$2:$D$225,D39))</f>
        <v>32</v>
      </c>
      <c r="Q39" s="249">
        <f ca="1">IF('Point Data'!D39&gt;Standings!$Q$27,"",SUMIFS($L$2:$L$225,$D$2:$D$225,D39))</f>
        <v>513</v>
      </c>
      <c r="R39" s="249">
        <f ca="1">IF($D39&gt;Standings!$Q$27,"",IF(U39="T",(Z39+0.5)/(D39)*100,(Z39/D39)*100))</f>
        <v>40</v>
      </c>
      <c r="S39" s="248">
        <f ca="1">IF($D39&gt;Standings!$Q$27,"",$J39-$K39)</f>
        <v>-41.41</v>
      </c>
      <c r="T39" s="248">
        <f ca="1">IF($D39&gt;Standings!$Q$27,"",AVERAGE(OFFSET(S39,(-$D39+1),0,1,1):S39))</f>
        <v>-12.957999999999998</v>
      </c>
      <c r="U39" s="172">
        <f ca="1">IF($D39&gt;Standings!$Q$27,"",IF(J39&gt;K39,1,IF(J39=K39,"T",0)))</f>
        <v>0</v>
      </c>
      <c r="V39" s="172">
        <f ca="1">IF($D39&gt;Standings!$Q$27,"",IF(F39="Conf",V38,SUMIFS($U$2:$U$225,$D$2:$D$225,"&lt;="&amp;$D39,$B$2:$B$225,$B39,$F$2:$F$225,"Non Conf")))</f>
        <v>3</v>
      </c>
      <c r="W39" s="172" t="str">
        <f ca="1">IF($D39&gt;Standings!$Q$27,"",$V39&amp;"-"&amp;COUNTIF(OFFSET($F39,(-$D39+1),0,1,1):$F39,"Non Conf")-$V39)</f>
        <v>3-2</v>
      </c>
      <c r="X39" s="172">
        <f ca="1">IF($D39&gt;Standings!$Q$27,"",SUMIFS($U$2:$U$225,$D$2:$D$225,"&lt;="&amp;$D39,$B$2:$B$225,$B39,$F$2:$F$225,"Conf"))</f>
        <v>1</v>
      </c>
      <c r="Y39" s="172" t="str">
        <f ca="1">IF($D39&gt;Standings!$Q$27,"",$X39&amp;"-"&amp;COUNTIF(OFFSET($F39,(-$D39+1),0,1,1):$F39,"Conf")-$X39)</f>
        <v>1-4</v>
      </c>
      <c r="Z39" s="172">
        <f ca="1">IF($D39&gt;Standings!$Q$27,"",SUM(OFFSET(U39,(-$D39+1),0,1,1):U39))</f>
        <v>4</v>
      </c>
      <c r="AA39" s="172">
        <f ca="1">IF($D39&gt;Standings!$Q$27,"",IF(U39=1,1+AA38,0))</f>
        <v>0</v>
      </c>
      <c r="AB39" s="250">
        <f ca="1">IF($D39&gt;Standings!$Q$27,"",IF(AA39=0,1+AB38,0))</f>
        <v>1</v>
      </c>
      <c r="AC39" s="251">
        <f ca="1">IF($D39&gt;Standings!$Q$27,"",SUM(OFFSET(J39,(-$D39+1),0,1,1):J39))</f>
        <v>927.50999999999988</v>
      </c>
      <c r="AD39" s="248">
        <f ca="1">IF($D39&gt;Standings!$Q$27,"",SUM(OFFSET(K39,(-$D39+1),0,1,1):K39))</f>
        <v>1057.0899999999999</v>
      </c>
      <c r="AE39" s="248">
        <f ca="1">IF($D39&gt;Standings!$Q$27,"",$J39-$K39)</f>
        <v>-41.41</v>
      </c>
      <c r="AF39" s="248">
        <f ca="1">IF($D39&gt;Standings!$Q$27,"",AC39-AD39)</f>
        <v>-129.58000000000004</v>
      </c>
      <c r="AG39" s="252">
        <f ca="1">IF($D39&gt;Standings!$Q$27,"",(COUNTIFS($D$2:$D$225,$D39,$C$2:$C$225,$C39,$AC$2:$AC$225,"&lt;"&amp;$AC39)+1)*0.01)</f>
        <v>0.02</v>
      </c>
      <c r="AH39" s="252">
        <f ca="1">IF($D39&gt;Standings!$Q$27,"",Z39+AG39)</f>
        <v>4.0199999999999996</v>
      </c>
      <c r="AI39" s="252"/>
      <c r="AJ39" s="172">
        <f t="array" aca="1" ref="AJ39" ca="1">IF($D39&gt;Standings!$Q$27,"",(COUNTIFS($D$2:$D$225,$D39,$C$2:$C$225,$C39,$AM$2:$AM$225,"&gt;"&amp;$AM39)+1))</f>
        <v>7</v>
      </c>
      <c r="AK39" s="172">
        <f t="array" aca="1" ref="AK39" ca="1">IF($D39&gt;Standings!$Q$27,"",IF((COUNTIFS($D$2:$D$225,$D39,$C$2:$C$225,$C39,$AH$2:$AH$225,"&gt;"&amp;$AH39)+1)=2,1,0))</f>
        <v>0</v>
      </c>
      <c r="AL39" s="172">
        <f t="array" aca="1" ref="AL39" ca="1">IF($D39&gt;Standings!$Q$27,"",IF((COUNTIFS($D$2:$D$225,$D39,$C$2:$C$225,$C39,$AH$2:$AH$225,"&gt;"&amp;$AH39)+1)&lt;2,1,0))</f>
        <v>0</v>
      </c>
      <c r="AM39" s="172">
        <f ca="1">IF($D39&gt;Standings!$Q$27,"",IF(AL39=1,200+Z39+(16-AQ39)*0.01+AI39,IF(AK39=1,100+Z39+(16-AQ39)*0.01+AI39,IF(AN39=1,50+Z39+(16-AQ39)*0.01,IF(AO39=1,15+Z39+(16-AQ39)*0.01,Z39+(16-AQ39)*0.01+AI39)))))</f>
        <v>4.0199999999999996</v>
      </c>
      <c r="AN39" s="172">
        <f ca="1">IF($D39&gt;Standings!$Q$27,"",IF(OR($AK39=1,$AL39=1),"Conf Playoff Spot",COUNTIFS($AL$2:$AL$225,0,$AK$2:$AK$225,0,$C$2:$C$225,$C39,$D$2:$D$225,$D39,$AC$2:$AC$225,"&gt;"&amp;$AC39)+1))</f>
        <v>5</v>
      </c>
      <c r="AO39" s="172">
        <f t="array" aca="1" ref="AO39" ca="1">IF($D39&gt;Standings!$Q$27,"",IF(OR($AK39=1,$AL39=1),"Conf Playoff Spot",COUNTIFS($AK$2:$AK$225,0,$AL$2:$AL$225,0,$D$2:$D$225,$D39,$Z$2:$Z$225,"&gt;"&amp;$Z39)+1))</f>
        <v>7</v>
      </c>
      <c r="AP39" s="172">
        <f t="array" aca="1" ref="AP39" ca="1">IF($D39&gt;Standings!$Q$27,"",(COUNTIFS($D$2:$D$225,$D39,$J$2:$J$225,"&gt;"&amp;$J39)+1))</f>
        <v>15</v>
      </c>
      <c r="AQ39" s="249">
        <f ca="1">IF($D39&gt;Standings!$Q$27,"",(COUNTIFS($D$2:$D$225,$D39,$AC$2:$AC$225,"&gt;"&amp;$AC39)+1))</f>
        <v>14</v>
      </c>
      <c r="AR39" s="249">
        <f ca="1">IF($D39&gt;Standings!$Q$27,"",(COUNTIFS($D$2:$D$225,$D39,$K$2:$K$225,"&gt;"&amp;$K39)+1))</f>
        <v>4</v>
      </c>
      <c r="AS39" s="249">
        <f ca="1">IF($D39&gt;Standings!$Q$27,"",(COUNTIFS($D$2:$D$225,$D39,$AD$2:$AD$225,"&gt;"&amp;$AD39)+1))</f>
        <v>5</v>
      </c>
      <c r="AT39" s="354">
        <f ca="1">IF($D39&gt;Standings!$Q$27,"",SUMIFS($J$2:$J$225,$D$2:$D$225,$D39,$C$2:$C$225,$C39))</f>
        <v>753.38</v>
      </c>
      <c r="AU39" s="253">
        <f ca="1">IF($D39&gt;Standings!$Q$27,"",SUMIFS($AC$2:$AC$225,$D$2:$D$225,$D39,$C$2:$C$225,$C39))</f>
        <v>8201.74</v>
      </c>
    </row>
    <row r="40" spans="1:47">
      <c r="A40" s="190">
        <f t="shared" si="0"/>
        <v>162</v>
      </c>
      <c r="B40" s="198" t="str">
        <f>'ESPN Data'!$L$6</f>
        <v>Team 3</v>
      </c>
      <c r="C40" s="346" t="str">
        <f>VLOOKUP(B40,'ESPN Data'!$L$4:$M$19,2,FALSE)</f>
        <v>Bone</v>
      </c>
      <c r="D40" s="397">
        <v>11</v>
      </c>
      <c r="E40" s="267" t="str">
        <f t="array" ref="E40">INDEX('ESPN Data'!$C$3:$C$226,MATCH(1,('ESPN Data'!$A$3:$A$226='Point Data'!$D40)*('ESPN Data'!$B$3:$B$226='Point Data'!$B40),0))</f>
        <v>Team 9</v>
      </c>
      <c r="F40" s="250" t="str">
        <f>IF(C40&lt;&gt;VLOOKUP($E40,'ESPN Data'!$L$4:$M$19,2,FALSE),"Non Conf", "Conf")</f>
        <v>Non Conf</v>
      </c>
      <c r="G40" s="246">
        <f t="array" aca="1" ref="G40" ca="1">IF('Point Data'!$D40&gt;Standings!$Q$27,"",(COUNTIFS($D$2:$D$225,$D40,$AM$2:$AM$225,"&gt;"&amp;$AM40)+1))</f>
        <v>13</v>
      </c>
      <c r="H40" s="247">
        <f ca="1">IF('Point Data'!$D40&gt;Standings!$Q$27,"",$G39)</f>
        <v>12</v>
      </c>
      <c r="I40" s="249">
        <f ca="1">IF('Point Data'!D40&gt;Standings!$Q$27,"",H40-G40)</f>
        <v>-1</v>
      </c>
      <c r="J40" s="247">
        <f ca="1">IF('Point Data'!D40&gt;Standings!$Q$27,"",OFFSET('ESPN Data'!D$3,$A40,0,1,1))</f>
        <v>112.3</v>
      </c>
      <c r="K40" s="248">
        <f ca="1">IF('Point Data'!D40&gt;Standings!$Q$27,"",OFFSET('ESPN Data'!E$3,$A40,0,1,1))</f>
        <v>129.88</v>
      </c>
      <c r="L40" s="249">
        <f ca="1">IF('Point Data'!D40&gt;Standings!$Q$27,"",OFFSET('ESPN Data'!I$3,$A40,0,1,1))</f>
        <v>32</v>
      </c>
      <c r="M40" s="249">
        <f ca="1">IF('Point Data'!D40&gt;Standings!$Q$27,"",OFFSET('ESPN Data'!I$3,$A40,-2,1,1))</f>
        <v>0</v>
      </c>
      <c r="N40" s="249">
        <f ca="1">IF('Point Data'!D40&gt;Standings!$Q$27,"",SUMIFS($M$2:$M$225,$D$2:$D$225,D40,$C$2:$C$225,C40))</f>
        <v>51</v>
      </c>
      <c r="O40" s="249">
        <f ca="1">IF('Point Data'!D40&gt;Standings!$Q$27,"",SUMIFS($L$2:$L$225,$D$2:$D$225,$D40,$C$2:$C$225,$C40))</f>
        <v>235</v>
      </c>
      <c r="P40" s="249">
        <f ca="1">IF('Point Data'!D40&gt;Standings!$Q$27,"",SUMIFS($M$2:$M$225,$D$2:$D$225,D40))</f>
        <v>61</v>
      </c>
      <c r="Q40" s="249">
        <f ca="1">IF('Point Data'!D40&gt;Standings!$Q$27,"",SUMIFS($L$2:$L$225,$D$2:$D$225,D40))</f>
        <v>452</v>
      </c>
      <c r="R40" s="249">
        <f ca="1">IF($D40&gt;Standings!$Q$27,"",IF(U40="T",(Z40+0.5)/(D40)*100,(Z40/D40)*100))</f>
        <v>36.363636363636367</v>
      </c>
      <c r="S40" s="248">
        <f ca="1">IF($D40&gt;Standings!$Q$27,"",$J40-$K40)</f>
        <v>-17.579999999999998</v>
      </c>
      <c r="T40" s="248">
        <f ca="1">IF($D40&gt;Standings!$Q$27,"",AVERAGE(OFFSET(S40,(-$D40+1),0,1,1):S40))</f>
        <v>-13.378181818181815</v>
      </c>
      <c r="U40" s="172">
        <f ca="1">IF($D40&gt;Standings!$Q$27,"",IF(J40&gt;K40,1,IF(J40=K40,"T",0)))</f>
        <v>0</v>
      </c>
      <c r="V40" s="172">
        <f ca="1">IF($D40&gt;Standings!$Q$27,"",IF(F40="Conf",V39,SUMIFS($U$2:$U$225,$D$2:$D$225,"&lt;="&amp;$D40,$B$2:$B$225,$B40,$F$2:$F$225,"Non Conf")))</f>
        <v>3</v>
      </c>
      <c r="W40" s="172" t="str">
        <f ca="1">IF($D40&gt;Standings!$Q$27,"",$V40&amp;"-"&amp;COUNTIF(OFFSET($F40,(-$D40+1),0,1,1):$F40,"Non Conf")-$V40)</f>
        <v>3-3</v>
      </c>
      <c r="X40" s="172">
        <f ca="1">IF($D40&gt;Standings!$Q$27,"",SUMIFS($U$2:$U$225,$D$2:$D$225,"&lt;="&amp;$D40,$B$2:$B$225,$B40,$F$2:$F$225,"Conf"))</f>
        <v>1</v>
      </c>
      <c r="Y40" s="172" t="str">
        <f ca="1">IF($D40&gt;Standings!$Q$27,"",$X40&amp;"-"&amp;COUNTIF(OFFSET($F40,(-$D40+1),0,1,1):$F40,"Conf")-$X40)</f>
        <v>1-4</v>
      </c>
      <c r="Z40" s="172">
        <f ca="1">IF($D40&gt;Standings!$Q$27,"",SUM(OFFSET(U40,(-$D40+1),0,1,1):U40))</f>
        <v>4</v>
      </c>
      <c r="AA40" s="172">
        <f ca="1">IF($D40&gt;Standings!$Q$27,"",IF(U40=1,1+AA39,0))</f>
        <v>0</v>
      </c>
      <c r="AB40" s="250">
        <f ca="1">IF($D40&gt;Standings!$Q$27,"",IF(AA40=0,1+AB39,0))</f>
        <v>2</v>
      </c>
      <c r="AC40" s="251">
        <f ca="1">IF($D40&gt;Standings!$Q$27,"",SUM(OFFSET(J40,(-$D40+1),0,1,1):J40))</f>
        <v>1039.81</v>
      </c>
      <c r="AD40" s="248">
        <f ca="1">IF($D40&gt;Standings!$Q$27,"",SUM(OFFSET(K40,(-$D40+1),0,1,1):K40))</f>
        <v>1186.9699999999998</v>
      </c>
      <c r="AE40" s="248">
        <f ca="1">IF($D40&gt;Standings!$Q$27,"",$J40-$K40)</f>
        <v>-17.579999999999998</v>
      </c>
      <c r="AF40" s="248">
        <f ca="1">IF($D40&gt;Standings!$Q$27,"",AC40-AD40)</f>
        <v>-147.15999999999985</v>
      </c>
      <c r="AG40" s="252">
        <f ca="1">IF($D40&gt;Standings!$Q$27,"",(COUNTIFS($D$2:$D$225,$D40,$C$2:$C$225,$C40,$AC$2:$AC$225,"&lt;"&amp;$AC40)+1)*0.01)</f>
        <v>0.02</v>
      </c>
      <c r="AH40" s="252">
        <f ca="1">IF($D40&gt;Standings!$Q$27,"",Z40+AG40)</f>
        <v>4.0199999999999996</v>
      </c>
      <c r="AI40" s="252"/>
      <c r="AJ40" s="172">
        <f t="array" aca="1" ref="AJ40" ca="1">IF($D40&gt;Standings!$Q$27,"",(COUNTIFS($D$2:$D$225,$D40,$C$2:$C$225,$C40,$AM$2:$AM$225,"&gt;"&amp;$AM40)+1))</f>
        <v>7</v>
      </c>
      <c r="AK40" s="172">
        <f t="array" aca="1" ref="AK40" ca="1">IF($D40&gt;Standings!$Q$27,"",IF((COUNTIFS($D$2:$D$225,$D40,$C$2:$C$225,$C40,$AH$2:$AH$225,"&gt;"&amp;$AH40)+1)=2,1,0))</f>
        <v>0</v>
      </c>
      <c r="AL40" s="172">
        <f t="array" aca="1" ref="AL40" ca="1">IF($D40&gt;Standings!$Q$27,"",IF((COUNTIFS($D$2:$D$225,$D40,$C$2:$C$225,$C40,$AH$2:$AH$225,"&gt;"&amp;$AH40)+1)&lt;2,1,0))</f>
        <v>0</v>
      </c>
      <c r="AM40" s="172">
        <f ca="1">IF($D40&gt;Standings!$Q$27,"",IF(AL40=1,200+Z40+(16-AQ40)*0.01+AI40,IF(AK40=1,100+Z40+(16-AQ40)*0.01+AI40,IF(AN40=1,50+Z40+(16-AQ40)*0.01,IF(AO40=1,15+Z40+(16-AQ40)*0.01,Z40+(16-AQ40)*0.01+AI40)))))</f>
        <v>4.04</v>
      </c>
      <c r="AN40" s="172">
        <f ca="1">IF($D40&gt;Standings!$Q$27,"",IF(OR($AK40=1,$AL40=1),"Conf Playoff Spot",COUNTIFS($AL$2:$AL$225,0,$AK$2:$AK$225,0,$C$2:$C$225,$C40,$D$2:$D$225,$D40,$AC$2:$AC$225,"&gt;"&amp;$AC40)+1))</f>
        <v>5</v>
      </c>
      <c r="AO40" s="172">
        <f t="array" aca="1" ref="AO40" ca="1">IF($D40&gt;Standings!$Q$27,"",IF(OR($AK40=1,$AL40=1),"Conf Playoff Spot",COUNTIFS($AK$2:$AK$225,0,$AL$2:$AL$225,0,$D$2:$D$225,$D40,$Z$2:$Z$225,"&gt;"&amp;$Z40)+1))</f>
        <v>8</v>
      </c>
      <c r="AP40" s="172">
        <f t="array" aca="1" ref="AP40" ca="1">IF($D40&gt;Standings!$Q$27,"",(COUNTIFS($D$2:$D$225,$D40,$J$2:$J$225,"&gt;"&amp;$J40)+1))</f>
        <v>6</v>
      </c>
      <c r="AQ40" s="249">
        <f ca="1">IF($D40&gt;Standings!$Q$27,"",(COUNTIFS($D$2:$D$225,$D40,$AC$2:$AC$225,"&gt;"&amp;$AC40)+1))</f>
        <v>12</v>
      </c>
      <c r="AR40" s="249">
        <f ca="1">IF($D40&gt;Standings!$Q$27,"",(COUNTIFS($D$2:$D$225,$D40,$K$2:$K$225,"&gt;"&amp;$K40)+1))</f>
        <v>1</v>
      </c>
      <c r="AS40" s="249">
        <f ca="1">IF($D40&gt;Standings!$Q$27,"",(COUNTIFS($D$2:$D$225,$D40,$AD$2:$AD$225,"&gt;"&amp;$AD40)+1))</f>
        <v>5</v>
      </c>
      <c r="AT40" s="354">
        <f ca="1">IF($D40&gt;Standings!$Q$27,"",SUMIFS($J$2:$J$225,$D$2:$D$225,$D40,$C$2:$C$225,$C40))</f>
        <v>833.56000000000006</v>
      </c>
      <c r="AU40" s="253">
        <f ca="1">IF($D40&gt;Standings!$Q$27,"",SUMIFS($AC$2:$AC$225,$D$2:$D$225,$D40,$C$2:$C$225,$C40))</f>
        <v>9035.3000000000011</v>
      </c>
    </row>
    <row r="41" spans="1:47">
      <c r="A41" s="190">
        <f t="shared" si="0"/>
        <v>178</v>
      </c>
      <c r="B41" s="198" t="str">
        <f>'ESPN Data'!$L$6</f>
        <v>Team 3</v>
      </c>
      <c r="C41" s="346" t="str">
        <f>VLOOKUP(B41,'ESPN Data'!$L$4:$M$19,2,FALSE)</f>
        <v>Bone</v>
      </c>
      <c r="D41" s="397">
        <v>12</v>
      </c>
      <c r="E41" s="267" t="str">
        <f t="array" ref="E41">INDEX('ESPN Data'!$C$3:$C$226,MATCH(1,('ESPN Data'!$A$3:$A$226='Point Data'!$D41)*('ESPN Data'!$B$3:$B$226='Point Data'!$B41),0))</f>
        <v>Team 2</v>
      </c>
      <c r="F41" s="250" t="str">
        <f>IF(C41&lt;&gt;VLOOKUP($E41,'ESPN Data'!$L$4:$M$19,2,FALSE),"Non Conf", "Conf")</f>
        <v>Conf</v>
      </c>
      <c r="G41" s="246">
        <f t="array" aca="1" ref="G41" ca="1">IF('Point Data'!$D41&gt;Standings!$Q$27,"",(COUNTIFS($D$2:$D$225,$D41,$AM$2:$AM$225,"&gt;"&amp;$AM41)+1))</f>
        <v>14</v>
      </c>
      <c r="H41" s="247">
        <f ca="1">IF('Point Data'!$D41&gt;Standings!$Q$27,"",$G40)</f>
        <v>13</v>
      </c>
      <c r="I41" s="249">
        <f ca="1">IF('Point Data'!D41&gt;Standings!$Q$27,"",H41-G41)</f>
        <v>-1</v>
      </c>
      <c r="J41" s="247">
        <f ca="1">IF('Point Data'!D41&gt;Standings!$Q$27,"",OFFSET('ESPN Data'!D$3,$A41,0,1,1))</f>
        <v>87.75</v>
      </c>
      <c r="K41" s="248">
        <f ca="1">IF('Point Data'!D41&gt;Standings!$Q$27,"",OFFSET('ESPN Data'!E$3,$A41,0,1,1))</f>
        <v>97.24</v>
      </c>
      <c r="L41" s="249">
        <f ca="1">IF('Point Data'!D41&gt;Standings!$Q$27,"",OFFSET('ESPN Data'!I$3,$A41,0,1,1))</f>
        <v>32</v>
      </c>
      <c r="M41" s="249">
        <f ca="1">IF('Point Data'!D41&gt;Standings!$Q$27,"",OFFSET('ESPN Data'!I$3,$A41,-2,1,1))</f>
        <v>0</v>
      </c>
      <c r="N41" s="249">
        <f ca="1">IF('Point Data'!D41&gt;Standings!$Q$27,"",SUMIFS($M$2:$M$225,$D$2:$D$225,D41,$C$2:$C$225,C41))</f>
        <v>6</v>
      </c>
      <c r="O41" s="249">
        <f ca="1">IF('Point Data'!D41&gt;Standings!$Q$27,"",SUMIFS($L$2:$L$225,$D$2:$D$225,$D41,$C$2:$C$225,$C41))</f>
        <v>229</v>
      </c>
      <c r="P41" s="249">
        <f ca="1">IF('Point Data'!D41&gt;Standings!$Q$27,"",SUMIFS($M$2:$M$225,$D$2:$D$225,D41))</f>
        <v>41</v>
      </c>
      <c r="Q41" s="249">
        <f ca="1">IF('Point Data'!D41&gt;Standings!$Q$27,"",SUMIFS($L$2:$L$225,$D$2:$D$225,D41))</f>
        <v>411</v>
      </c>
      <c r="R41" s="249">
        <f ca="1">IF($D41&gt;Standings!$Q$27,"",IF(U41="T",(Z41+0.5)/(D41)*100,(Z41/D41)*100))</f>
        <v>33.333333333333329</v>
      </c>
      <c r="S41" s="248">
        <f ca="1">IF($D41&gt;Standings!$Q$27,"",$J41-$K41)</f>
        <v>-9.4899999999999949</v>
      </c>
      <c r="T41" s="248">
        <f ca="1">IF($D41&gt;Standings!$Q$27,"",AVERAGE(OFFSET(S41,(-$D41+1),0,1,1):S41))</f>
        <v>-13.054166666666665</v>
      </c>
      <c r="U41" s="172">
        <f ca="1">IF($D41&gt;Standings!$Q$27,"",IF(J41&gt;K41,1,IF(J41=K41,"T",0)))</f>
        <v>0</v>
      </c>
      <c r="V41" s="172">
        <f ca="1">IF($D41&gt;Standings!$Q$27,"",IF(F41="Conf",V40,SUMIFS($U$2:$U$225,$D$2:$D$225,"&lt;="&amp;$D41,$B$2:$B$225,$B41,$F$2:$F$225,"Non Conf")))</f>
        <v>3</v>
      </c>
      <c r="W41" s="172" t="str">
        <f ca="1">IF($D41&gt;Standings!$Q$27,"",$V41&amp;"-"&amp;COUNTIF(OFFSET($F41,(-$D41+1),0,1,1):$F41,"Non Conf")-$V41)</f>
        <v>3-3</v>
      </c>
      <c r="X41" s="172">
        <f ca="1">IF($D41&gt;Standings!$Q$27,"",SUMIFS($U$2:$U$225,$D$2:$D$225,"&lt;="&amp;$D41,$B$2:$B$225,$B41,$F$2:$F$225,"Conf"))</f>
        <v>1</v>
      </c>
      <c r="Y41" s="172" t="str">
        <f ca="1">IF($D41&gt;Standings!$Q$27,"",$X41&amp;"-"&amp;COUNTIF(OFFSET($F41,(-$D41+1),0,1,1):$F41,"Conf")-$X41)</f>
        <v>1-5</v>
      </c>
      <c r="Z41" s="172">
        <f ca="1">IF($D41&gt;Standings!$Q$27,"",SUM(OFFSET(U41,(-$D41+1),0,1,1):U41))</f>
        <v>4</v>
      </c>
      <c r="AA41" s="172">
        <f ca="1">IF($D41&gt;Standings!$Q$27,"",IF(U41=1,1+AA40,0))</f>
        <v>0</v>
      </c>
      <c r="AB41" s="250">
        <f ca="1">IF($D41&gt;Standings!$Q$27,"",IF(AA41=0,1+AB40,0))</f>
        <v>3</v>
      </c>
      <c r="AC41" s="251">
        <f ca="1">IF($D41&gt;Standings!$Q$27,"",SUM(OFFSET(J41,(-$D41+1),0,1,1):J41))</f>
        <v>1127.56</v>
      </c>
      <c r="AD41" s="248">
        <f ca="1">IF($D41&gt;Standings!$Q$27,"",SUM(OFFSET(K41,(-$D41+1),0,1,1):K41))</f>
        <v>1284.2099999999998</v>
      </c>
      <c r="AE41" s="248">
        <f ca="1">IF($D41&gt;Standings!$Q$27,"",$J41-$K41)</f>
        <v>-9.4899999999999949</v>
      </c>
      <c r="AF41" s="248">
        <f ca="1">IF($D41&gt;Standings!$Q$27,"",AC41-AD41)</f>
        <v>-156.64999999999986</v>
      </c>
      <c r="AG41" s="252">
        <f ca="1">IF($D41&gt;Standings!$Q$27,"",(COUNTIFS($D$2:$D$225,$D41,$C$2:$C$225,$C41,$AC$2:$AC$225,"&lt;"&amp;$AC41)+1)*0.01)</f>
        <v>0.02</v>
      </c>
      <c r="AH41" s="252">
        <f ca="1">IF($D41&gt;Standings!$Q$27,"",Z41+AG41)</f>
        <v>4.0199999999999996</v>
      </c>
      <c r="AI41" s="252"/>
      <c r="AJ41" s="172">
        <f t="array" aca="1" ref="AJ41" ca="1">IF($D41&gt;Standings!$Q$27,"",(COUNTIFS($D$2:$D$225,$D41,$C$2:$C$225,$C41,$AM$2:$AM$225,"&gt;"&amp;$AM41)+1))</f>
        <v>7</v>
      </c>
      <c r="AK41" s="172">
        <f t="array" aca="1" ref="AK41" ca="1">IF($D41&gt;Standings!$Q$27,"",IF((COUNTIFS($D$2:$D$225,$D41,$C$2:$C$225,$C41,$AH$2:$AH$225,"&gt;"&amp;$AH41)+1)=2,1,0))</f>
        <v>0</v>
      </c>
      <c r="AL41" s="172">
        <f t="array" aca="1" ref="AL41" ca="1">IF($D41&gt;Standings!$Q$27,"",IF((COUNTIFS($D$2:$D$225,$D41,$C$2:$C$225,$C41,$AH$2:$AH$225,"&gt;"&amp;$AH41)+1)&lt;2,1,0))</f>
        <v>0</v>
      </c>
      <c r="AM41" s="172">
        <f ca="1">IF($D41&gt;Standings!$Q$27,"",IF(AL41=1,200+Z41+(16-AQ41)*0.01+AI41,IF(AK41=1,100+Z41+(16-AQ41)*0.01+AI41,IF(AN41=1,50+Z41+(16-AQ41)*0.01,IF(AO41=1,15+Z41+(16-AQ41)*0.01,Z41+(16-AQ41)*0.01+AI41)))))</f>
        <v>4.04</v>
      </c>
      <c r="AN41" s="172">
        <f ca="1">IF($D41&gt;Standings!$Q$27,"",IF(OR($AK41=1,$AL41=1),"Conf Playoff Spot",COUNTIFS($AL$2:$AL$225,0,$AK$2:$AK$225,0,$C$2:$C$225,$C41,$D$2:$D$225,$D41,$AC$2:$AC$225,"&gt;"&amp;$AC41)+1))</f>
        <v>5</v>
      </c>
      <c r="AO41" s="172">
        <f t="array" aca="1" ref="AO41" ca="1">IF($D41&gt;Standings!$Q$27,"",IF(OR($AK41=1,$AL41=1),"Conf Playoff Spot",COUNTIFS($AK$2:$AK$225,0,$AL$2:$AL$225,0,$D$2:$D$225,$D41,$Z$2:$Z$225,"&gt;"&amp;$Z41)+1))</f>
        <v>8</v>
      </c>
      <c r="AP41" s="172">
        <f t="array" aca="1" ref="AP41" ca="1">IF($D41&gt;Standings!$Q$27,"",(COUNTIFS($D$2:$D$225,$D41,$J$2:$J$225,"&gt;"&amp;$J41)+1))</f>
        <v>12</v>
      </c>
      <c r="AQ41" s="249">
        <f ca="1">IF($D41&gt;Standings!$Q$27,"",(COUNTIFS($D$2:$D$225,$D41,$AC$2:$AC$225,"&gt;"&amp;$AC41)+1))</f>
        <v>12</v>
      </c>
      <c r="AR41" s="249">
        <f ca="1">IF($D41&gt;Standings!$Q$27,"",(COUNTIFS($D$2:$D$225,$D41,$K$2:$K$225,"&gt;"&amp;$K41)+1))</f>
        <v>10</v>
      </c>
      <c r="AS41" s="249">
        <f ca="1">IF($D41&gt;Standings!$Q$27,"",(COUNTIFS($D$2:$D$225,$D41,$AD$2:$AD$225,"&gt;"&amp;$AD41)+1))</f>
        <v>4</v>
      </c>
      <c r="AT41" s="354">
        <f ca="1">IF($D41&gt;Standings!$Q$27,"",SUMIFS($J$2:$J$225,$D$2:$D$225,$D41,$C$2:$C$225,$C41))</f>
        <v>841.41000000000008</v>
      </c>
      <c r="AU41" s="253">
        <f ca="1">IF($D41&gt;Standings!$Q$27,"",SUMIFS($AC$2:$AC$225,$D$2:$D$225,$D41,$C$2:$C$225,$C41))</f>
        <v>9876.7100000000009</v>
      </c>
    </row>
    <row r="42" spans="1:47" s="190" customFormat="1">
      <c r="A42" s="190">
        <f t="shared" si="0"/>
        <v>194</v>
      </c>
      <c r="B42" s="227" t="str">
        <f>'ESPN Data'!$L$6</f>
        <v>Team 3</v>
      </c>
      <c r="C42" s="347" t="str">
        <f>VLOOKUP(B42,'ESPN Data'!$L$4:$M$19,2,FALSE)</f>
        <v>Bone</v>
      </c>
      <c r="D42" s="550">
        <v>13</v>
      </c>
      <c r="E42" s="275" t="str">
        <f t="array" ref="E42">INDEX('ESPN Data'!$C$3:$C$226,MATCH(1,('ESPN Data'!$A$3:$A$226='Point Data'!$D42)*('ESPN Data'!$B$3:$B$226='Point Data'!$B42),0))</f>
        <v>Team 16</v>
      </c>
      <c r="F42" s="274" t="str">
        <f>IF(C42&lt;&gt;VLOOKUP($E42,'ESPN Data'!$L$4:$M$19,2,FALSE),"Non Conf", "Conf")</f>
        <v>Non Conf</v>
      </c>
      <c r="G42" s="271">
        <f t="array" aca="1" ref="G42" ca="1">IF('Point Data'!$D42&gt;Standings!$Q$27,"",(COUNTIFS($D$2:$D$225,$D42,$AM$2:$AM$225,"&gt;"&amp;$AM42)+1))</f>
        <v>11</v>
      </c>
      <c r="H42" s="551">
        <f ca="1">IF('Point Data'!$D42&gt;Standings!$Q$27,"",$G41)</f>
        <v>14</v>
      </c>
      <c r="I42" s="265">
        <f ca="1">IF('Point Data'!D42&gt;Standings!$Q$27,"",H42-G42)</f>
        <v>3</v>
      </c>
      <c r="J42" s="551">
        <f ca="1">IF('Point Data'!D42&gt;Standings!$Q$27,"",OFFSET('ESPN Data'!D$3,$A42,0,1,1))</f>
        <v>105.17</v>
      </c>
      <c r="K42" s="272">
        <f ca="1">IF('Point Data'!D42&gt;Standings!$Q$27,"",OFFSET('ESPN Data'!E$3,$A42,0,1,1))</f>
        <v>83.64</v>
      </c>
      <c r="L42" s="265">
        <f ca="1">IF('Point Data'!D42&gt;Standings!$Q$27,"",OFFSET('ESPN Data'!I$3,$A42,0,1,1))</f>
        <v>32</v>
      </c>
      <c r="M42" s="265">
        <f ca="1">IF('Point Data'!D42&gt;Standings!$Q$27,"",OFFSET('ESPN Data'!I$3,$A42,-2,1,1))</f>
        <v>0</v>
      </c>
      <c r="N42" s="265">
        <f ca="1">IF('Point Data'!D42&gt;Standings!$Q$27,"",SUMIFS($M$2:$M$225,$D$2:$D$225,D42,$C$2:$C$225,C42))</f>
        <v>5</v>
      </c>
      <c r="O42" s="265">
        <f ca="1">IF('Point Data'!D42&gt;Standings!$Q$27,"",SUMIFS($L$2:$L$225,$D$2:$D$225,$D42,$C$2:$C$225,$C42))</f>
        <v>224</v>
      </c>
      <c r="P42" s="265">
        <f ca="1">IF('Point Data'!D42&gt;Standings!$Q$27,"",SUMIFS($M$2:$M$225,$D$2:$D$225,D42))</f>
        <v>41</v>
      </c>
      <c r="Q42" s="265">
        <f ca="1">IF('Point Data'!D42&gt;Standings!$Q$27,"",SUMIFS($L$2:$L$225,$D$2:$D$225,D42))</f>
        <v>370</v>
      </c>
      <c r="R42" s="265">
        <f ca="1">IF($D42&gt;Standings!$Q$27,"",IF(U42="T",(Z42+0.5)/(D42)*100,(Z42/D42)*100))</f>
        <v>38.461538461538467</v>
      </c>
      <c r="S42" s="272">
        <f ca="1">IF($D42&gt;Standings!$Q$27,"",$J42-$K42)</f>
        <v>21.53</v>
      </c>
      <c r="T42" s="272">
        <f ca="1">IF($D42&gt;Standings!$Q$27,"",AVERAGE(OFFSET(S42,(-$D42+1),0,1,1):S42))</f>
        <v>-10.393846153846152</v>
      </c>
      <c r="U42" s="264">
        <f ca="1">IF($D42&gt;Standings!$Q$27,"",IF(J42&gt;K42,1,IF(J42=K42,"T",0)))</f>
        <v>1</v>
      </c>
      <c r="V42" s="264">
        <f ca="1">IF($D42&gt;Standings!$Q$27,"",IF(F42="Conf",V41,SUMIFS($U$2:$U$225,$D$2:$D$225,"&lt;="&amp;$D42,$B$2:$B$225,$B42,$F$2:$F$225,"Non Conf")))</f>
        <v>4</v>
      </c>
      <c r="W42" s="264" t="str">
        <f ca="1">IF($D42&gt;Standings!$Q$27,"",$V42&amp;"-"&amp;COUNTIF(OFFSET($F42,(-$D42+1),0,1,1):$F42,"Non Conf")-$V42)</f>
        <v>4-3</v>
      </c>
      <c r="X42" s="264">
        <f ca="1">IF($D42&gt;Standings!$Q$27,"",SUMIFS($U$2:$U$225,$D$2:$D$225,"&lt;="&amp;$D42,$B$2:$B$225,$B42,$F$2:$F$225,"Conf"))</f>
        <v>1</v>
      </c>
      <c r="Y42" s="264" t="str">
        <f ca="1">IF($D42&gt;Standings!$Q$27,"",$X42&amp;"-"&amp;COUNTIF(OFFSET($F42,(-$D42+1),0,1,1):$F42,"Conf")-$X42)</f>
        <v>1-5</v>
      </c>
      <c r="Z42" s="264">
        <f ca="1">IF($D42&gt;Standings!$Q$27,"",SUM(OFFSET(U42,(-$D42+1),0,1,1):U42))</f>
        <v>5</v>
      </c>
      <c r="AA42" s="264">
        <f ca="1">IF($D42&gt;Standings!$Q$27,"",IF(U42=1,1+AA41,0))</f>
        <v>1</v>
      </c>
      <c r="AB42" s="274">
        <f ca="1">IF($D42&gt;Standings!$Q$27,"",IF(AA42=0,1+AB41,0))</f>
        <v>0</v>
      </c>
      <c r="AC42" s="273">
        <f ca="1">IF($D42&gt;Standings!$Q$27,"",SUM(OFFSET(J42,(-$D42+1),0,1,1):J42))</f>
        <v>1232.73</v>
      </c>
      <c r="AD42" s="272">
        <f ca="1">IF($D42&gt;Standings!$Q$27,"",SUM(OFFSET(K42,(-$D42+1),0,1,1):K42))</f>
        <v>1367.85</v>
      </c>
      <c r="AE42" s="272">
        <f ca="1">IF($D42&gt;Standings!$Q$27,"",$J42-$K42)</f>
        <v>21.53</v>
      </c>
      <c r="AF42" s="272">
        <f ca="1">IF($D42&gt;Standings!$Q$27,"",AC42-AD42)</f>
        <v>-135.11999999999989</v>
      </c>
      <c r="AG42" s="263">
        <f ca="1">IF($D42&gt;Standings!$Q$27,"",(COUNTIFS($D$2:$D$225,$D42,$C$2:$C$225,$C42,$AC$2:$AC$225,"&lt;"&amp;$AC42)+1)*0.01)</f>
        <v>0.02</v>
      </c>
      <c r="AH42" s="263">
        <f ca="1">IF($D42&gt;Standings!$Q$27,"",Z42+AG42)</f>
        <v>5.0199999999999996</v>
      </c>
      <c r="AI42" s="263"/>
      <c r="AJ42" s="264">
        <f t="array" aca="1" ref="AJ42" ca="1">IF($D42&gt;Standings!$Q$27,"",(COUNTIFS($D$2:$D$225,$D42,$C$2:$C$225,$C42,$AM$2:$AM$225,"&gt;"&amp;$AM42)+1))</f>
        <v>7</v>
      </c>
      <c r="AK42" s="264">
        <f t="array" aca="1" ref="AK42" ca="1">IF($D42&gt;Standings!$Q$27,"",IF((COUNTIFS($D$2:$D$225,$D42,$C$2:$C$225,$C42,$AH$2:$AH$225,"&gt;"&amp;$AH42)+1)=2,1,0))</f>
        <v>0</v>
      </c>
      <c r="AL42" s="264">
        <f t="array" aca="1" ref="AL42" ca="1">IF($D42&gt;Standings!$Q$27,"",IF((COUNTIFS($D$2:$D$225,$D42,$C$2:$C$225,$C42,$AH$2:$AH$225,"&gt;"&amp;$AH42)+1)&lt;2,1,0))</f>
        <v>0</v>
      </c>
      <c r="AM42" s="264">
        <f ca="1">IF($D42&gt;Standings!$Q$27,"",IF(AL42=1,200+Z42+(16-AQ42)*0.01+AI42,IF(AK42=1,100+Z42+(16-AQ42)*0.01+AI42,IF(AN42=1,50+Z42+(16-AQ42)*0.01,IF(AO42=1,15+Z42+(16-AQ42)*0.01,Z42+(16-AQ42)*0.01+AI42)))))</f>
        <v>5.05</v>
      </c>
      <c r="AN42" s="264">
        <f ca="1">IF($D42&gt;Standings!$Q$27,"",IF(OR($AK42=1,$AL42=1),"Conf Playoff Spot",COUNTIFS($AL$2:$AL$225,0,$AK$2:$AK$225,0,$C$2:$C$225,$C42,$D$2:$D$225,$D42,$AC$2:$AC$225,"&gt;"&amp;$AC42)+1))</f>
        <v>5</v>
      </c>
      <c r="AO42" s="264">
        <f t="array" aca="1" ref="AO42" ca="1">IF($D42&gt;Standings!$Q$27,"",IF(OR($AK42=1,$AL42=1),"Conf Playoff Spot",COUNTIFS($AK$2:$AK$225,0,$AL$2:$AL$225,0,$D$2:$D$225,$D42,$Z$2:$Z$225,"&gt;"&amp;$Z42)+1))</f>
        <v>6</v>
      </c>
      <c r="AP42" s="264">
        <f t="array" aca="1" ref="AP42" ca="1">IF($D42&gt;Standings!$Q$27,"",(COUNTIFS($D$2:$D$225,$D42,$J$2:$J$225,"&gt;"&amp;$J42)+1))</f>
        <v>5</v>
      </c>
      <c r="AQ42" s="265">
        <f ca="1">IF($D42&gt;Standings!$Q$27,"",(COUNTIFS($D$2:$D$225,$D42,$AC$2:$AC$225,"&gt;"&amp;$AC42)+1))</f>
        <v>11</v>
      </c>
      <c r="AR42" s="265">
        <f ca="1">IF($D42&gt;Standings!$Q$27,"",(COUNTIFS($D$2:$D$225,$D42,$K$2:$K$225,"&gt;"&amp;$K42)+1))</f>
        <v>15</v>
      </c>
      <c r="AS42" s="265">
        <f ca="1">IF($D42&gt;Standings!$Q$27,"",(COUNTIFS($D$2:$D$225,$D42,$AD$2:$AD$225,"&gt;"&amp;$AD42)+1))</f>
        <v>6</v>
      </c>
      <c r="AT42" s="356">
        <f ca="1">IF($D42&gt;Standings!$Q$27,"",SUMIFS($J$2:$J$225,$D$2:$D$225,$D42,$C$2:$C$225,$C42))</f>
        <v>774.50000000000011</v>
      </c>
      <c r="AU42" s="340">
        <f ca="1">IF($D42&gt;Standings!$Q$27,"",SUMIFS($AC$2:$AC$225,$D$2:$D$225,$D42,$C$2:$C$225,$C42))</f>
        <v>10651.210000000001</v>
      </c>
    </row>
    <row r="43" spans="1:47" ht="16" thickBot="1">
      <c r="A43" s="190">
        <f t="shared" si="0"/>
        <v>210</v>
      </c>
      <c r="B43" s="199" t="str">
        <f>'ESPN Data'!$L$6</f>
        <v>Team 3</v>
      </c>
      <c r="C43" s="348" t="str">
        <f>VLOOKUP(B43,'ESPN Data'!$L$4:$M$19,2,FALSE)</f>
        <v>Bone</v>
      </c>
      <c r="D43" s="398">
        <v>14</v>
      </c>
      <c r="E43" s="268" t="str">
        <f t="array" ref="E43">INDEX('ESPN Data'!$C$3:$C$226,MATCH(1,('ESPN Data'!$A$3:$A$226='Point Data'!$D43)*('ESPN Data'!$B$3:$B$226='Point Data'!$B43),0))</f>
        <v>Team 16</v>
      </c>
      <c r="F43" s="258" t="str">
        <f>IF(C43&lt;&gt;VLOOKUP($E43,'ESPN Data'!$L$4:$M$19,2,FALSE),"Non Conf", "Conf")</f>
        <v>Non Conf</v>
      </c>
      <c r="G43" s="262" t="str">
        <f t="array" ref="G43">IF('Point Data'!$D43&gt;Standings!$Q$27,"",(COUNTIFS($D$2:$D$225,$D43,$AM$2:$AM$225,"&gt;"&amp;$AM43)+1))</f>
        <v/>
      </c>
      <c r="H43" s="254" t="str">
        <f>IF('Point Data'!$D43&gt;Standings!$Q$27,"",$G41)</f>
        <v/>
      </c>
      <c r="I43" s="256" t="str">
        <f>IF('Point Data'!D43&gt;Standings!$Q$27,"",H43-G43)</f>
        <v/>
      </c>
      <c r="J43" s="254" t="str">
        <f ca="1">IF('Point Data'!D43&gt;Standings!$Q$27,"",OFFSET('ESPN Data'!D$3,$A43,0,1,1))</f>
        <v/>
      </c>
      <c r="K43" s="255" t="str">
        <f ca="1">IF('Point Data'!D43&gt;Standings!$Q$27,"",OFFSET('ESPN Data'!E$3,$A43,0,1,1))</f>
        <v/>
      </c>
      <c r="L43" s="256" t="str">
        <f ca="1">IF('Point Data'!D43&gt;Standings!$Q$27,"",OFFSET('ESPN Data'!I$3,$A43,0,1,1))</f>
        <v/>
      </c>
      <c r="M43" s="256" t="str">
        <f ca="1">IF('Point Data'!D43&gt;Standings!$Q$27,"",OFFSET('ESPN Data'!I$3,$A43,-2,1,1))</f>
        <v/>
      </c>
      <c r="N43" s="256" t="str">
        <f>IF('Point Data'!D43&gt;Standings!$Q$27,"",SUMIFS($M$2:$M$225,$D$2:$D$225,D43,$C$2:$C$225,C43))</f>
        <v/>
      </c>
      <c r="O43" s="256" t="str">
        <f>IF('Point Data'!D43&gt;Standings!$Q$27,"",SUMIFS($L$2:$L$225,$D$2:$D$225,$D43,$C$2:$C$225,$C43))</f>
        <v/>
      </c>
      <c r="P43" s="256" t="str">
        <f>IF('Point Data'!D43&gt;Standings!$Q$27,"",SUMIFS($M$2:$M$225,$D$2:$D$225,D43))</f>
        <v/>
      </c>
      <c r="Q43" s="256" t="str">
        <f>IF('Point Data'!D43&gt;Standings!$Q$27,"",SUMIFS($L$2:$L$225,$D$2:$D$225,D43))</f>
        <v/>
      </c>
      <c r="R43" s="256" t="str">
        <f>IF($D43&gt;Standings!$Q$27,"",IF(U43="T",(Z43+0.5)/(D43)*100,(Z43/D43)*100))</f>
        <v/>
      </c>
      <c r="S43" s="255" t="str">
        <f>IF($D43&gt;Standings!$Q$27,"",$J43-$K43)</f>
        <v/>
      </c>
      <c r="T43" s="255" t="str">
        <f ca="1">IF($D43&gt;Standings!$Q$27,"",AVERAGE(OFFSET(S43,(-$D43+1),0,1,1):S43))</f>
        <v/>
      </c>
      <c r="U43" s="257" t="str">
        <f>IF($D43&gt;Standings!$Q$27,"",IF(J43&gt;K43,1,IF(J43=K43,"T",0)))</f>
        <v/>
      </c>
      <c r="V43" s="257" t="str">
        <f>IF($D43&gt;Standings!$Q$27,"",IF(F43="Conf",V42,SUMIFS($U$2:$U$225,$D$2:$D$225,"&lt;="&amp;$D43,$B$2:$B$225,$B43,$F$2:$F$225,"Non Conf")))</f>
        <v/>
      </c>
      <c r="W43" s="257" t="str">
        <f ca="1">IF($D43&gt;Standings!$Q$27,"",$V43&amp;"-"&amp;COUNTIF(OFFSET($F43,(-$D43+1),0,1,1):$F43,"Non Conf")-$V43)</f>
        <v/>
      </c>
      <c r="X43" s="257" t="str">
        <f>IF($D43&gt;Standings!$Q$27,"",SUMIFS($U$2:$U$225,$D$2:$D$225,"&lt;="&amp;$D43,$B$2:$B$225,$B43,$F$2:$F$225,"Conf"))</f>
        <v/>
      </c>
      <c r="Y43" s="257" t="str">
        <f ca="1">IF($D43&gt;Standings!$Q$27,"",$X43&amp;"-"&amp;COUNTIF(OFFSET($F43,(-$D43+1),0,1,1):$F43,"Conf")-$X43)</f>
        <v/>
      </c>
      <c r="Z43" s="257" t="str">
        <f ca="1">IF($D43&gt;Standings!$Q$27,"",SUM(OFFSET(U43,(-$D43+1),0,1,1):U43))</f>
        <v/>
      </c>
      <c r="AA43" s="257" t="str">
        <f>IF($D43&gt;Standings!$Q$27,"",IF(U43=1,1+AA41,0))</f>
        <v/>
      </c>
      <c r="AB43" s="258" t="str">
        <f>IF($D43&gt;Standings!$Q$27,"",IF(AA43=0,1+AB41,0))</f>
        <v/>
      </c>
      <c r="AC43" s="259" t="str">
        <f ca="1">IF($D43&gt;Standings!$Q$27,"",SUM(OFFSET(J43,(-$D43+1),0,1,1):J43))</f>
        <v/>
      </c>
      <c r="AD43" s="255" t="str">
        <f ca="1">IF($D43&gt;Standings!$Q$27,"",SUM(OFFSET(K43,(-$D43+1),0,1,1):K43))</f>
        <v/>
      </c>
      <c r="AE43" s="255" t="str">
        <f>IF($D43&gt;Standings!$Q$27,"",$J43-$K43)</f>
        <v/>
      </c>
      <c r="AF43" s="255" t="str">
        <f>IF($D43&gt;Standings!$Q$27,"",AC43-AD43)</f>
        <v/>
      </c>
      <c r="AG43" s="260" t="str">
        <f>IF($D43&gt;Standings!$Q$27,"",(COUNTIFS($D$2:$D$225,$D43,$C$2:$C$225,$C43,$AC$2:$AC$225,"&lt;"&amp;$AC43)+1)*0.01)</f>
        <v/>
      </c>
      <c r="AH43" s="260" t="str">
        <f>IF($D43&gt;Standings!$Q$27,"",Z43+AG43)</f>
        <v/>
      </c>
      <c r="AI43" s="260"/>
      <c r="AJ43" s="257" t="str">
        <f t="array" ref="AJ43">IF($D43&gt;Standings!$Q$27,"",(COUNTIFS($D$2:$D$225,$D43,$C$2:$C$225,$C43,$AM$2:$AM$225,"&gt;"&amp;$AM43)+1))</f>
        <v/>
      </c>
      <c r="AK43" s="257" t="str">
        <f t="array" ref="AK43">IF($D43&gt;Standings!$Q$27,"",IF((COUNTIFS($D$2:$D$225,$D43,$C$2:$C$225,$C43,$AH$2:$AH$225,"&gt;"&amp;$AH43)+1)=2,1,0))</f>
        <v/>
      </c>
      <c r="AL43" s="257" t="str">
        <f t="array" ref="AL43">IF($D43&gt;Standings!$Q$27,"",IF((COUNTIFS($D$2:$D$225,$D43,$C$2:$C$225,$C43,$AH$2:$AH$225,"&gt;"&amp;$AH43)+1)&lt;2,1,0))</f>
        <v/>
      </c>
      <c r="AM43" s="257" t="str">
        <f>IF($D43&gt;Standings!$Q$27,"",IF(AL43=1,200+Z43+(16-AQ43)*0.01+AI43,IF(AK43=1,100+Z43+(16-AQ43)*0.01+AI43,IF(AN43=1,50+Z43+(16-AQ43)*0.01,IF(AO43=1,15+Z43+(16-AQ43)*0.01,Z43+(16-AQ43)*0.01+AI43)))))</f>
        <v/>
      </c>
      <c r="AN43" s="257" t="str">
        <f>IF($D43&gt;Standings!$Q$27,"",IF(OR($AK43=1,$AL43=1),"Conf Playoff Spot",COUNTIFS($AL$2:$AL$225,0,$AK$2:$AK$225,0,$C$2:$C$225,$C43,$D$2:$D$225,$D43,$AC$2:$AC$225,"&gt;"&amp;$AC43)+1))</f>
        <v/>
      </c>
      <c r="AO43" s="257" t="str">
        <f t="array" ref="AO43">IF($D43&gt;Standings!$Q$27,"",IF(OR($AK43=1,$AL43=1),"Conf Playoff Spot",COUNTIFS($AK$2:$AK$225,0,$AL$2:$AL$225,0,$D$2:$D$225,$D43,$AH$2:$AH$225,"&gt;"&amp;$AH43)+1))</f>
        <v/>
      </c>
      <c r="AP43" s="257" t="str">
        <f t="array" ref="AP43">IF($D43&gt;Standings!$Q$27,"",(COUNTIFS($D$2:$D$225,$D43,$J$2:$J$225,"&gt;"&amp;$J43)+1))</f>
        <v/>
      </c>
      <c r="AQ43" s="256" t="str">
        <f>IF($D43&gt;Standings!$Q$27,"",(COUNTIFS($D$2:$D$225,$D43,$AC$2:$AC$225,"&gt;"&amp;$AC43)+1))</f>
        <v/>
      </c>
      <c r="AR43" s="256" t="str">
        <f>IF($D43&gt;Standings!$Q$27,"",(COUNTIFS($D$2:$D$225,$D43,$K$2:$K$225,"&gt;"&amp;$K43)+1))</f>
        <v/>
      </c>
      <c r="AS43" s="256" t="str">
        <f>IF($D43&gt;Standings!$Q$27,"",(COUNTIFS($D$2:$D$225,$D43,$AD$2:$AD$225,"&gt;"&amp;$AD43)+1))</f>
        <v/>
      </c>
      <c r="AT43" s="355" t="str">
        <f>IF($D43&gt;Standings!$Q$27,"",SUMIFS($J$2:$J$225,$D$2:$D$225,$D43,$C$2:$C$225,$C43))</f>
        <v/>
      </c>
      <c r="AU43" s="261" t="str">
        <f>IF($D43&gt;Standings!$Q$27,"",SUMIFS($AC$2:$AC$225,$D$2:$D$225,$D43,$C$2:$C$225,$C43))</f>
        <v/>
      </c>
    </row>
    <row r="44" spans="1:47">
      <c r="A44" s="190">
        <f t="shared" si="0"/>
        <v>3</v>
      </c>
      <c r="B44" s="197" t="str">
        <f>'ESPN Data'!$L$7</f>
        <v>Team 4</v>
      </c>
      <c r="C44" s="345" t="str">
        <f>VLOOKUP(B44,'ESPN Data'!$L$4:$M$19,2,FALSE)</f>
        <v>Bone</v>
      </c>
      <c r="D44" s="396">
        <v>1</v>
      </c>
      <c r="E44" s="266" t="str">
        <f t="array" ref="E44">INDEX('ESPN Data'!$C$3:$C$226,MATCH(1,('ESPN Data'!$A$3:$A$226='Point Data'!$D44)*('ESPN Data'!$B$3:$B$226='Point Data'!$B44),0))</f>
        <v>Team 16</v>
      </c>
      <c r="F44" s="242" t="str">
        <f>IF(C44&lt;&gt;VLOOKUP($E44,'ESPN Data'!$L$4:$M$19,2,FALSE),"Non Conf", "Conf")</f>
        <v>Non Conf</v>
      </c>
      <c r="G44" s="237">
        <f t="array" aca="1" ref="G44" ca="1">IF('Point Data'!$D44&gt;Standings!$Q$27,"",(COUNTIFS($D$2:$D$225,$D44,$AM$2:$AM$225,"&gt;"&amp;$AM44)+1))</f>
        <v>10</v>
      </c>
      <c r="H44" s="238">
        <f>IF('Point Data'!$D44&gt;Standings!$Q$27,"",VLOOKUP($B44,'ESPN Data'!$L$4:$N$19,3,FALSE))</f>
        <v>9</v>
      </c>
      <c r="I44" s="240">
        <f ca="1">IF('Point Data'!$D44&gt;Standings!$Q$27,"",H44-G44)</f>
        <v>-1</v>
      </c>
      <c r="J44" s="238">
        <f ca="1">IF('Point Data'!D44&gt;Standings!$Q$27,"",OFFSET('ESPN Data'!D$3,$A44,0,1,1))</f>
        <v>88.33</v>
      </c>
      <c r="K44" s="239">
        <f ca="1">IF('Point Data'!D44&gt;Standings!$Q$27,"",OFFSET('ESPN Data'!E$3,$A44,0,1,1))</f>
        <v>84.93</v>
      </c>
      <c r="L44" s="240">
        <f ca="1">IF('Point Data'!D44&gt;Standings!$Q$27,"",OFFSET('ESPN Data'!I$3,$A44,0,1,1))</f>
        <v>100</v>
      </c>
      <c r="M44" s="240">
        <f ca="1">IF('Point Data'!D44&gt;Standings!$Q$27,"",OFFSET('ESPN Data'!I$3,$A44,-2,1,1))</f>
        <v>0</v>
      </c>
      <c r="N44" s="240">
        <f ca="1">IF('Point Data'!D44&gt;Standings!$Q$27,"",SUMIFS($M$2:$M$225,$D$2:$D$225,D44,$C$2:$C$225,C44))</f>
        <v>3</v>
      </c>
      <c r="O44" s="240">
        <f ca="1">IF('Point Data'!D44&gt;Standings!$Q$27,"",SUMIFS($L$2:$L$225,$D$2:$D$225,$D44,$C$2:$C$225,$C44))</f>
        <v>797</v>
      </c>
      <c r="P44" s="240">
        <f ca="1">IF('Point Data'!D44&gt;Standings!$Q$27,"",SUMIFS($M$2:$M$225,$D$2:$D$225,D44))</f>
        <v>3</v>
      </c>
      <c r="Q44" s="240">
        <f ca="1">IF('Point Data'!D44&gt;Standings!$Q$27,"",SUMIFS($L$2:$L$225,$D$2:$D$225,$D44))</f>
        <v>1597</v>
      </c>
      <c r="R44" s="240">
        <f ca="1">IF($D44&gt;Standings!$Q$27,"",IF(U44="T",(Z44+0.5)/(D44)*100,(Z44/D44)*100))</f>
        <v>100</v>
      </c>
      <c r="S44" s="239">
        <f ca="1">IF($D44&gt;Standings!$Q$27,"",$J44-$K44)</f>
        <v>3.3999999999999915</v>
      </c>
      <c r="T44" s="239">
        <f ca="1">IF($D44&gt;Standings!$Q$27,"",AVERAGE(OFFSET(S44,(-$D44+1),0,1,1):S44))</f>
        <v>3.3999999999999915</v>
      </c>
      <c r="U44" s="241">
        <f ca="1">IF($D44&gt;Standings!$Q$27,"",IF(J44&gt;K44,1,IF(J44=K44,"T",0)))</f>
        <v>1</v>
      </c>
      <c r="V44" s="241">
        <f ca="1">IF($D44&gt;Standings!$Q$27,"",IF(F44="Conf",0,SUMIFS($U$2:$U$225,$D$2:$D$225,"&lt;="&amp;$D44,$B$2:$B$225,$B44,$F$2:$F$225,"Non Conf")))</f>
        <v>1</v>
      </c>
      <c r="W44" s="241" t="str">
        <f ca="1">IF($D44&gt;Standings!$Q$27,"",$V44&amp;"-"&amp;COUNTIF(OFFSET($F44,(-$D44+1),0,1,1):$F44,"Non Conf")-$V44)</f>
        <v>1-0</v>
      </c>
      <c r="X44" s="241">
        <f>IF($D44&gt;Standings!$Q$27,"",SUMIFS($U$2:$U$225,$D$2:$D$225,"&lt;="&amp;$D44,$B$2:$B$225,$B44,$F$2:$F$225,"Conf"))</f>
        <v>0</v>
      </c>
      <c r="Y44" s="241" t="str">
        <f ca="1">IF($D44&gt;Standings!$Q$27,"",$X44&amp;"-"&amp;COUNTIF(OFFSET($F44,(-$D44+1),0,1,1):$F44,"Conf")-$X44)</f>
        <v>0-0</v>
      </c>
      <c r="Z44" s="241">
        <f ca="1">IF($D44&gt;Standings!$Q$27,"",SUM(OFFSET(U44,(-$D44+1),0,1,1):U44))</f>
        <v>1</v>
      </c>
      <c r="AA44" s="241">
        <f ca="1">IF($D44&gt;Standings!$Q$27,"",IF(U44=1,1,0))</f>
        <v>1</v>
      </c>
      <c r="AB44" s="242">
        <f ca="1">IF($D44&gt;Standings!$Q$27,"",IF(AA44=0,1,0))</f>
        <v>0</v>
      </c>
      <c r="AC44" s="243">
        <f ca="1">IF($D44&gt;Standings!$Q$27,"",SUM(OFFSET(J44,(-$D44+1),0,1,1):J44))</f>
        <v>88.33</v>
      </c>
      <c r="AD44" s="239">
        <f ca="1">IF($D44&gt;Standings!$Q$27,"",SUM(OFFSET(K44,(-$D44+1),0,1,1):K44))</f>
        <v>84.93</v>
      </c>
      <c r="AE44" s="239">
        <f ca="1">IF($D44&gt;Standings!$Q$27,"",$J44-$K44)</f>
        <v>3.3999999999999915</v>
      </c>
      <c r="AF44" s="239">
        <f ca="1">IF($D44&gt;Standings!$Q$27,"",AC44-AD44)</f>
        <v>3.3999999999999915</v>
      </c>
      <c r="AG44" s="244">
        <f ca="1">IF($D44&gt;Standings!$Q$27,"",(COUNTIFS($D$2:$D$225,$D44,$C$2:$C$225,$C44,$AC$2:$AC$225,"&lt;"&amp;$AC44)+1)*0.01)</f>
        <v>0.01</v>
      </c>
      <c r="AH44" s="244">
        <f ca="1">IF($D44&gt;Standings!$Q$27,"",Z44+AG44)</f>
        <v>1.01</v>
      </c>
      <c r="AI44" s="244"/>
      <c r="AJ44" s="241">
        <f t="array" aca="1" ref="AJ44" ca="1">IF($D44&gt;Standings!$Q$27,"",(COUNTIFS($D$2:$D$225,$D44,$C$2:$C$225,$C44,$AM$2:$AM$225,"&gt;"&amp;$AM44)+1))</f>
        <v>6</v>
      </c>
      <c r="AK44" s="241">
        <f t="array" aca="1" ref="AK44" ca="1">IF($D44&gt;Standings!$Q$27,"",IF((COUNTIFS($D$2:$D$225,$D44,$C$2:$C$225,$C44,$AH$2:$AH$225,"&gt;"&amp;$AH44)+1)=2,1,0))</f>
        <v>0</v>
      </c>
      <c r="AL44" s="241">
        <f t="array" aca="1" ref="AL44" ca="1">IF($D44&gt;Standings!$Q$27,"",IF((COUNTIFS($D$2:$D$225,$D44,$C$2:$C$225,$C44,$AH$2:$AH$225,"&gt;"&amp;$AH44)+1)&lt;2,1,0))</f>
        <v>0</v>
      </c>
      <c r="AM44" s="241">
        <f ca="1">IF($D44&gt;Standings!$Q$27,"",IF(AL44=1,200+Z44+(16-AQ44)*0.01+AI44,IF(AK44=1,100+Z44+(16-AQ44)*0.01+AI44,IF(AN44=1,50+Z44+(16-AQ44)*0.01,IF(AO44=1,15+Z44+(16-AQ44)*0.01,Z44+(16-AQ44)*0.01+AI44)))))</f>
        <v>1.01</v>
      </c>
      <c r="AN44" s="241">
        <f ca="1">IF($D44&gt;Standings!$Q$27,"",IF(OR($AK44=1,$AL44=1),"Conf Playoff Spot",COUNTIFS($AL$2:$AL$225,0,$AK$2:$AK$225,0,$C$2:$C$225,$C44,$D$2:$D$225,$D44,$AC$2:$AC$225,"&gt;"&amp;$AC44)+1))</f>
        <v>6</v>
      </c>
      <c r="AO44" s="241">
        <f t="array" aca="1" ref="AO44" ca="1">IF($D44&gt;Standings!$Q$27,"",IF(OR($AK44=1,$AL44=1),"Conf Playoff Spot",COUNTIFS($AK$2:$AK$225,0,$AL$2:$AL$225,0,$D$2:$D$225,$D44,$AH$2:$AH$225,"&gt;"&amp;$AH44)+1))</f>
        <v>4</v>
      </c>
      <c r="AP44" s="241">
        <f t="array" aca="1" ref="AP44" ca="1">IF($D44&gt;Standings!$Q$27,"",(COUNTIFS($D$2:$D$225,$D44,$J$2:$J$225,"&gt;"&amp;$J44)+1))</f>
        <v>15</v>
      </c>
      <c r="AQ44" s="240">
        <f ca="1">IF($D44&gt;Standings!$Q$27,"",(COUNTIFS($D$2:$D$225,$D44,$AC$2:$AC$225,"&gt;"&amp;$AC44)+1))</f>
        <v>15</v>
      </c>
      <c r="AR44" s="240">
        <f ca="1">IF($D44&gt;Standings!$Q$27,"",(COUNTIFS($D$2:$D$225,$D44,$K$2:$K$225,"&gt;"&amp;$K44)+1))</f>
        <v>16</v>
      </c>
      <c r="AS44" s="240">
        <f ca="1">IF($D44&gt;Standings!$Q$27,"",(COUNTIFS($D$2:$D$225,$D44,$AD$2:$AD$225,"&gt;"&amp;$AD44)+1))</f>
        <v>16</v>
      </c>
      <c r="AT44" s="353">
        <f ca="1">IF($D44&gt;Standings!$Q$27,"",SUMIFS($J$2:$J$225,$D$2:$D$225,$D44,$C$2:$C$225,$C44))</f>
        <v>827.09</v>
      </c>
      <c r="AU44" s="245">
        <f ca="1">IF($D44&gt;Standings!$Q$27,"",SUMIFS($AC$2:$AC$225,$D$2:$D$225,$D44,$C$2:$C$225,$C44))</f>
        <v>827.09</v>
      </c>
    </row>
    <row r="45" spans="1:47">
      <c r="A45" s="190">
        <f t="shared" si="0"/>
        <v>19</v>
      </c>
      <c r="B45" s="198" t="str">
        <f>'ESPN Data'!$L$7</f>
        <v>Team 4</v>
      </c>
      <c r="C45" s="346" t="str">
        <f>VLOOKUP(B45,'ESPN Data'!$L$4:$M$19,2,FALSE)</f>
        <v>Bone</v>
      </c>
      <c r="D45" s="397">
        <v>2</v>
      </c>
      <c r="E45" s="267" t="str">
        <f t="array" ref="E45">INDEX('ESPN Data'!$C$3:$C$226,MATCH(1,('ESPN Data'!$A$3:$A$226='Point Data'!$D45)*('ESPN Data'!$B$3:$B$226='Point Data'!$B45),0))</f>
        <v>Team 5</v>
      </c>
      <c r="F45" s="250" t="str">
        <f>IF(C45&lt;&gt;VLOOKUP($E45,'ESPN Data'!$L$4:$M$19,2,FALSE),"Non Conf", "Conf")</f>
        <v>Conf</v>
      </c>
      <c r="G45" s="246">
        <f t="array" aca="1" ref="G45" ca="1">IF('Point Data'!$D45&gt;Standings!$Q$27,"",(COUNTIFS($D$2:$D$225,$D45,$AM$2:$AM$225,"&gt;"&amp;$AM45)+1))</f>
        <v>11</v>
      </c>
      <c r="H45" s="247">
        <f ca="1">IF('Point Data'!$D45&gt;Standings!$Q$27,"",$G44)</f>
        <v>10</v>
      </c>
      <c r="I45" s="249">
        <f ca="1">IF('Point Data'!D45&gt;Standings!$Q$27,"",H45-G45)</f>
        <v>-1</v>
      </c>
      <c r="J45" s="247">
        <f ca="1">IF('Point Data'!D45&gt;Standings!$Q$27,"",OFFSET('ESPN Data'!D$3,$A45,0,1,1))</f>
        <v>89.02</v>
      </c>
      <c r="K45" s="248">
        <f ca="1">IF('Point Data'!D45&gt;Standings!$Q$27,"",OFFSET('ESPN Data'!E$3,$A45,0,1,1))</f>
        <v>98.65</v>
      </c>
      <c r="L45" s="249">
        <f ca="1">IF('Point Data'!D45&gt;Standings!$Q$27,"",OFFSET('ESPN Data'!I$3,$A45,0,1,1))</f>
        <v>100</v>
      </c>
      <c r="M45" s="249">
        <f ca="1">IF('Point Data'!D45&gt;Standings!$Q$27,"",OFFSET('ESPN Data'!I$3,$A45,-2,1,1))</f>
        <v>0</v>
      </c>
      <c r="N45" s="249">
        <f ca="1">IF('Point Data'!D45&gt;Standings!$Q$27,"",SUMIFS($M$2:$M$225,$D$2:$D$225,D45,$C$2:$C$225,C45))</f>
        <v>44</v>
      </c>
      <c r="O45" s="249">
        <f ca="1">IF('Point Data'!D45&gt;Standings!$Q$27,"",SUMIFS($L$2:$L$225,$D$2:$D$225,$D45,$C$2:$C$225,$C45))</f>
        <v>753</v>
      </c>
      <c r="P45" s="249">
        <f ca="1">IF('Point Data'!D45&gt;Standings!$Q$27,"",SUMIFS($M$2:$M$225,$D$2:$D$225,D45))</f>
        <v>73</v>
      </c>
      <c r="Q45" s="249">
        <f ca="1">IF('Point Data'!D45&gt;Standings!$Q$27,"",SUMIFS($L$2:$L$225,$D$2:$D$225,D45))</f>
        <v>1524</v>
      </c>
      <c r="R45" s="249">
        <f ca="1">IF($D45&gt;Standings!$Q$27,"",IF(U45="T",(Z45+0.5)/(D45)*100,(Z45/D45)*100))</f>
        <v>50</v>
      </c>
      <c r="S45" s="248">
        <f ca="1">IF($D45&gt;Standings!$Q$27,"",$J45-$K45)</f>
        <v>-9.6300000000000097</v>
      </c>
      <c r="T45" s="248">
        <f ca="1">IF($D45&gt;Standings!$Q$27,"",AVERAGE(OFFSET(S45,(-$D45+1),0,1,1):S45))</f>
        <v>-3.1150000000000091</v>
      </c>
      <c r="U45" s="172">
        <f ca="1">IF($D45&gt;Standings!$Q$27,"",IF(J45&gt;K45,1,IF(J45=K45,"T",0)))</f>
        <v>0</v>
      </c>
      <c r="V45" s="172">
        <f ca="1">IF($D45&gt;Standings!$Q$27,"",IF(F45="Conf",V44,SUMIFS($U$2:$U$225,$D$2:$D$225,"&lt;="&amp;$D45,$B$2:$B$225,$B45,$F$2:$F$225,"Non Conf")))</f>
        <v>1</v>
      </c>
      <c r="W45" s="172" t="str">
        <f ca="1">IF($D45&gt;Standings!$Q$27,"",$V45&amp;"-"&amp;COUNTIF(OFFSET($F45,(-$D45+1),0,1,1):$F45,"Non Conf")-$V45)</f>
        <v>1-0</v>
      </c>
      <c r="X45" s="172">
        <f ca="1">IF($D45&gt;Standings!$Q$27,"",SUMIFS($U$2:$U$225,$D$2:$D$225,"&lt;="&amp;$D45,$B$2:$B$225,$B45,$F$2:$F$225,"Conf"))</f>
        <v>0</v>
      </c>
      <c r="Y45" s="172" t="str">
        <f ca="1">IF($D45&gt;Standings!$Q$27,"",$X45&amp;"-"&amp;COUNTIF(OFFSET($F45,(-$D45+1),0,1,1):$F45,"Conf")-$X45)</f>
        <v>0-1</v>
      </c>
      <c r="Z45" s="172">
        <f ca="1">IF($D45&gt;Standings!$Q$27,"",SUM(OFFSET(U45,(-$D45+1),0,1,1):U45))</f>
        <v>1</v>
      </c>
      <c r="AA45" s="172">
        <f ca="1">IF($D45&gt;Standings!$Q$27,"",IF(U45=1,1+AA44,0))</f>
        <v>0</v>
      </c>
      <c r="AB45" s="250">
        <f ca="1">IF($D45&gt;Standings!$Q$27,"",IF(AA45=0,1+AB44,0))</f>
        <v>1</v>
      </c>
      <c r="AC45" s="251">
        <f ca="1">IF($D45&gt;Standings!$Q$27,"",SUM(OFFSET(J45,(-$D45+1),0,1,1):J45))</f>
        <v>177.35</v>
      </c>
      <c r="AD45" s="248">
        <f ca="1">IF($D45&gt;Standings!$Q$27,"",SUM(OFFSET(K45,(-$D45+1),0,1,1):K45))</f>
        <v>183.58</v>
      </c>
      <c r="AE45" s="248">
        <f ca="1">IF($D45&gt;Standings!$Q$27,"",$J45-$K45)</f>
        <v>-9.6300000000000097</v>
      </c>
      <c r="AF45" s="248">
        <f ca="1">IF($D45&gt;Standings!$Q$27,"",AC45-AD45)</f>
        <v>-6.2300000000000182</v>
      </c>
      <c r="AG45" s="252">
        <f ca="1">IF($D45&gt;Standings!$Q$27,"",(COUNTIFS($D$2:$D$225,$D45,$C$2:$C$225,$C45,$AC$2:$AC$225,"&lt;"&amp;$AC45)+1)*0.01)</f>
        <v>0.01</v>
      </c>
      <c r="AH45" s="252">
        <f ca="1">IF($D45&gt;Standings!$Q$27,"",Z45+AG45)</f>
        <v>1.01</v>
      </c>
      <c r="AI45" s="252"/>
      <c r="AJ45" s="172">
        <f t="array" aca="1" ref="AJ45" ca="1">IF($D45&gt;Standings!$Q$27,"",(COUNTIFS($D$2:$D$225,$D45,$C$2:$C$225,$C45,$AM$2:$AM$225,"&gt;"&amp;$AM45)+1))</f>
        <v>6</v>
      </c>
      <c r="AK45" s="172">
        <f t="array" aca="1" ref="AK45" ca="1">IF($D45&gt;Standings!$Q$27,"",IF((COUNTIFS($D$2:$D$225,$D45,$C$2:$C$225,$C45,$AH$2:$AH$225,"&gt;"&amp;$AH45)+1)=2,1,0))</f>
        <v>0</v>
      </c>
      <c r="AL45" s="172">
        <f t="array" aca="1" ref="AL45" ca="1">IF($D45&gt;Standings!$Q$27,"",IF((COUNTIFS($D$2:$D$225,$D45,$C$2:$C$225,$C45,$AH$2:$AH$225,"&gt;"&amp;$AH45)+1)&lt;2,1,0))</f>
        <v>0</v>
      </c>
      <c r="AM45" s="172">
        <f ca="1">IF($D45&gt;Standings!$Q$27,"",IF(AL45=1,200+Z45+(16-AQ45)*0.01+AI45,IF(AK45=1,100+Z45+(16-AQ45)*0.01+AI45,IF(AN45=1,50+Z45+(16-AQ45)*0.01,IF(AO45=1,15+Z45+(16-AQ45)*0.01,Z45+(16-AQ45)*0.01+AI45)))))</f>
        <v>1.01</v>
      </c>
      <c r="AN45" s="172">
        <f ca="1">IF($D45&gt;Standings!$Q$27,"",IF(OR($AK45=1,$AL45=1),"Conf Playoff Spot",COUNTIFS($AL$2:$AL$225,0,$AK$2:$AK$225,0,$C$2:$C$225,$C45,$D$2:$D$225,$D45,$AC$2:$AC$225,"&gt;"&amp;$AC45)+1))</f>
        <v>6</v>
      </c>
      <c r="AO45" s="172">
        <f t="array" aca="1" ref="AO45" ca="1">IF($D45&gt;Standings!$Q$27,"",IF(OR($AK45=1,$AL45=1),"Conf Playoff Spot",COUNTIFS($AK$2:$AK$225,0,$AL$2:$AL$225,0,$D$2:$D$225,$D45,$AH$2:$AH$225,"&gt;"&amp;$AH45)+1))</f>
        <v>7</v>
      </c>
      <c r="AP45" s="172">
        <f t="array" aca="1" ref="AP45" ca="1">IF($D45&gt;Standings!$Q$27,"",(COUNTIFS($D$2:$D$225,$D45,$J$2:$J$225,"&gt;"&amp;$J45)+1))</f>
        <v>15</v>
      </c>
      <c r="AQ45" s="249">
        <f ca="1">IF($D45&gt;Standings!$Q$27,"",(COUNTIFS($D$2:$D$225,$D45,$AC$2:$AC$225,"&gt;"&amp;$AC45)+1))</f>
        <v>15</v>
      </c>
      <c r="AR45" s="249">
        <f ca="1">IF($D45&gt;Standings!$Q$27,"",(COUNTIFS($D$2:$D$225,$D45,$K$2:$K$225,"&gt;"&amp;$K45)+1))</f>
        <v>13</v>
      </c>
      <c r="AS45" s="249">
        <f ca="1">IF($D45&gt;Standings!$Q$27,"",(COUNTIFS($D$2:$D$225,$D45,$AD$2:$AD$225,"&gt;"&amp;$AD45)+1))</f>
        <v>16</v>
      </c>
      <c r="AT45" s="354">
        <f ca="1">IF($D45&gt;Standings!$Q$27,"",SUMIFS($J$2:$J$225,$D$2:$D$225,$D45,$C$2:$C$225,$C45))</f>
        <v>849.17</v>
      </c>
      <c r="AU45" s="253">
        <f ca="1">IF($D45&gt;Standings!$Q$27,"",SUMIFS($AC$2:$AC$225,$D$2:$D$225,$D45,$C$2:$C$225,$C45))</f>
        <v>1676.26</v>
      </c>
    </row>
    <row r="46" spans="1:47">
      <c r="A46" s="190">
        <f t="shared" si="0"/>
        <v>35</v>
      </c>
      <c r="B46" s="198" t="str">
        <f>'ESPN Data'!$L$7</f>
        <v>Team 4</v>
      </c>
      <c r="C46" s="346" t="str">
        <f>VLOOKUP(B46,'ESPN Data'!$L$4:$M$19,2,FALSE)</f>
        <v>Bone</v>
      </c>
      <c r="D46" s="397">
        <v>3</v>
      </c>
      <c r="E46" s="267" t="str">
        <f t="array" ref="E46">INDEX('ESPN Data'!$C$3:$C$226,MATCH(1,('ESPN Data'!$A$3:$A$226='Point Data'!$D46)*('ESPN Data'!$B$3:$B$226='Point Data'!$B46),0))</f>
        <v>Team 12</v>
      </c>
      <c r="F46" s="250" t="str">
        <f>IF(C46&lt;&gt;VLOOKUP($E46,'ESPN Data'!$L$4:$M$19,2,FALSE),"Non Conf", "Conf")</f>
        <v>Non Conf</v>
      </c>
      <c r="G46" s="246">
        <f t="array" aca="1" ref="G46" ca="1">IF('Point Data'!$D46&gt;Standings!$Q$27,"",(COUNTIFS($D$2:$D$225,$D46,$AM$2:$AM$225,"&gt;"&amp;$AM46)+1))</f>
        <v>9</v>
      </c>
      <c r="H46" s="247">
        <f ca="1">IF('Point Data'!$D46&gt;Standings!$Q$27,"",$G45)</f>
        <v>11</v>
      </c>
      <c r="I46" s="249">
        <f ca="1">IF('Point Data'!D46&gt;Standings!$Q$27,"",H46-G46)</f>
        <v>2</v>
      </c>
      <c r="J46" s="247">
        <f ca="1">IF('Point Data'!D46&gt;Standings!$Q$27,"",OFFSET('ESPN Data'!D$3,$A46,0,1,1))</f>
        <v>121.5</v>
      </c>
      <c r="K46" s="248">
        <f ca="1">IF('Point Data'!D46&gt;Standings!$Q$27,"",OFFSET('ESPN Data'!E$3,$A46,0,1,1))</f>
        <v>84.94</v>
      </c>
      <c r="L46" s="249">
        <f ca="1">IF('Point Data'!D46&gt;Standings!$Q$27,"",OFFSET('ESPN Data'!I$3,$A46,0,1,1))</f>
        <v>91</v>
      </c>
      <c r="M46" s="249">
        <f ca="1">IF('Point Data'!D46&gt;Standings!$Q$27,"",OFFSET('ESPN Data'!I$3,$A46,-2,1,1))</f>
        <v>9</v>
      </c>
      <c r="N46" s="249">
        <f ca="1">IF('Point Data'!D46&gt;Standings!$Q$27,"",SUMIFS($M$2:$M$225,$D$2:$D$225,D46,$C$2:$C$225,C46))</f>
        <v>25</v>
      </c>
      <c r="O46" s="249">
        <f ca="1">IF('Point Data'!D46&gt;Standings!$Q$27,"",SUMIFS($L$2:$L$225,$D$2:$D$225,$D46,$C$2:$C$225,$C46))</f>
        <v>728</v>
      </c>
      <c r="P46" s="249">
        <f ca="1">IF('Point Data'!D46&gt;Standings!$Q$27,"",SUMIFS($M$2:$M$225,$D$2:$D$225,D46))</f>
        <v>210</v>
      </c>
      <c r="Q46" s="249">
        <f ca="1">IF('Point Data'!D46&gt;Standings!$Q$27,"",SUMIFS($L$2:$L$225,$D$2:$D$225,D46))</f>
        <v>1314</v>
      </c>
      <c r="R46" s="249">
        <f ca="1">IF($D46&gt;Standings!$Q$27,"",IF(U46="T",(Z46+0.5)/(D46)*100,(Z46/D46)*100))</f>
        <v>66.666666666666657</v>
      </c>
      <c r="S46" s="248">
        <f ca="1">IF($D46&gt;Standings!$Q$27,"",$J46-$K46)</f>
        <v>36.56</v>
      </c>
      <c r="T46" s="248">
        <f ca="1">IF($D46&gt;Standings!$Q$27,"",AVERAGE(OFFSET(S46,(-$D46+1),0,1,1):S46))</f>
        <v>10.109999999999994</v>
      </c>
      <c r="U46" s="172">
        <f ca="1">IF($D46&gt;Standings!$Q$27,"",IF(J46&gt;K46,1,IF(J46=K46,"T",0)))</f>
        <v>1</v>
      </c>
      <c r="V46" s="172">
        <f ca="1">IF($D46&gt;Standings!$Q$27,"",IF(F46="Conf",V45,SUMIFS($U$2:$U$225,$D$2:$D$225,"&lt;="&amp;$D46,$B$2:$B$225,$B46,$F$2:$F$225,"Non Conf")))</f>
        <v>2</v>
      </c>
      <c r="W46" s="172" t="str">
        <f ca="1">IF($D46&gt;Standings!$Q$27,"",$V46&amp;"-"&amp;COUNTIF(OFFSET($F46,(-$D46+1),0,1,1):$F46,"Non Conf")-$V46)</f>
        <v>2-0</v>
      </c>
      <c r="X46" s="172">
        <f ca="1">IF($D46&gt;Standings!$Q$27,"",SUMIFS($U$2:$U$225,$D$2:$D$225,"&lt;="&amp;$D46,$B$2:$B$225,$B46,$F$2:$F$225,"Conf"))</f>
        <v>0</v>
      </c>
      <c r="Y46" s="172" t="str">
        <f ca="1">IF($D46&gt;Standings!$Q$27,"",$X46&amp;"-"&amp;COUNTIF(OFFSET($F46,(-$D46+1),0,1,1):$F46,"Conf")-$X46)</f>
        <v>0-1</v>
      </c>
      <c r="Z46" s="172">
        <f ca="1">IF($D46&gt;Standings!$Q$27,"",SUM(OFFSET(U46,(-$D46+1),0,1,1):U46))</f>
        <v>2</v>
      </c>
      <c r="AA46" s="172">
        <f ca="1">IF($D46&gt;Standings!$Q$27,"",IF(U46=1,1+AA45,0))</f>
        <v>1</v>
      </c>
      <c r="AB46" s="250">
        <f ca="1">IF($D46&gt;Standings!$Q$27,"",IF(AA46=0,1+AB45,0))</f>
        <v>0</v>
      </c>
      <c r="AC46" s="251">
        <f ca="1">IF($D46&gt;Standings!$Q$27,"",SUM(OFFSET(J46,(-$D46+1),0,1,1):J46))</f>
        <v>298.85000000000002</v>
      </c>
      <c r="AD46" s="248">
        <f ca="1">IF($D46&gt;Standings!$Q$27,"",SUM(OFFSET(K46,(-$D46+1),0,1,1):K46))</f>
        <v>268.52</v>
      </c>
      <c r="AE46" s="248">
        <f ca="1">IF($D46&gt;Standings!$Q$27,"",$J46-$K46)</f>
        <v>36.56</v>
      </c>
      <c r="AF46" s="248">
        <f ca="1">IF($D46&gt;Standings!$Q$27,"",AC46-AD46)</f>
        <v>30.330000000000041</v>
      </c>
      <c r="AG46" s="252">
        <f ca="1">IF($D46&gt;Standings!$Q$27,"",(COUNTIFS($D$2:$D$225,$D46,$C$2:$C$225,$C46,$AC$2:$AC$225,"&lt;"&amp;$AC46)+1)*0.01)</f>
        <v>0.02</v>
      </c>
      <c r="AH46" s="252">
        <f ca="1">IF($D46&gt;Standings!$Q$27,"",Z46+AG46)</f>
        <v>2.02</v>
      </c>
      <c r="AI46" s="252"/>
      <c r="AJ46" s="172">
        <f t="array" aca="1" ref="AJ46" ca="1">IF($D46&gt;Standings!$Q$27,"",(COUNTIFS($D$2:$D$225,$D46,$C$2:$C$225,$C46,$AM$2:$AM$225,"&gt;"&amp;$AM46)+1))</f>
        <v>6</v>
      </c>
      <c r="AK46" s="172">
        <f t="array" aca="1" ref="AK46" ca="1">IF($D46&gt;Standings!$Q$27,"",IF((COUNTIFS($D$2:$D$225,$D46,$C$2:$C$225,$C46,$AH$2:$AH$225,"&gt;"&amp;$AH46)+1)=2,1,0))</f>
        <v>0</v>
      </c>
      <c r="AL46" s="172">
        <f t="array" aca="1" ref="AL46" ca="1">IF($D46&gt;Standings!$Q$27,"",IF((COUNTIFS($D$2:$D$225,$D46,$C$2:$C$225,$C46,$AH$2:$AH$225,"&gt;"&amp;$AH46)+1)&lt;2,1,0))</f>
        <v>0</v>
      </c>
      <c r="AM46" s="172">
        <f ca="1">IF($D46&gt;Standings!$Q$27,"",IF(AL46=1,200+Z46+(16-AQ46)*0.01+AI46,IF(AK46=1,100+Z46+(16-AQ46)*0.01+AI46,IF(AN46=1,50+Z46+(16-AQ46)*0.01,IF(AO46=1,15+Z46+(16-AQ46)*0.01,Z46+(16-AQ46)*0.01+AI46)))))</f>
        <v>2.0299999999999998</v>
      </c>
      <c r="AN46" s="172">
        <f ca="1">IF($D46&gt;Standings!$Q$27,"",IF(OR($AK46=1,$AL46=1),"Conf Playoff Spot",COUNTIFS($AL$2:$AL$225,0,$AK$2:$AK$225,0,$C$2:$C$225,$C46,$D$2:$D$225,$D46,$AC$2:$AC$225,"&gt;"&amp;$AC46)+1))</f>
        <v>5</v>
      </c>
      <c r="AO46" s="172">
        <f t="array" aca="1" ref="AO46" ca="1">IF($D46&gt;Standings!$Q$27,"",IF(OR($AK46=1,$AL46=1),"Conf Playoff Spot",COUNTIFS($AK$2:$AK$225,0,$AL$2:$AL$225,0,$D$2:$D$225,$D46,$AH$2:$AH$225,"&gt;"&amp;$AH46)+1))</f>
        <v>4</v>
      </c>
      <c r="AP46" s="172">
        <f t="array" aca="1" ref="AP46" ca="1">IF($D46&gt;Standings!$Q$27,"",(COUNTIFS($D$2:$D$225,$D46,$J$2:$J$225,"&gt;"&amp;$J46)+1))</f>
        <v>5</v>
      </c>
      <c r="AQ46" s="249">
        <f ca="1">IF($D46&gt;Standings!$Q$27,"",(COUNTIFS($D$2:$D$225,$D46,$AC$2:$AC$225,"&gt;"&amp;$AC46)+1))</f>
        <v>13</v>
      </c>
      <c r="AR46" s="249">
        <f ca="1">IF($D46&gt;Standings!$Q$27,"",(COUNTIFS($D$2:$D$225,$D46,$K$2:$K$225,"&gt;"&amp;$K46)+1))</f>
        <v>15</v>
      </c>
      <c r="AS46" s="249">
        <f ca="1">IF($D46&gt;Standings!$Q$27,"",(COUNTIFS($D$2:$D$225,$D46,$AD$2:$AD$225,"&gt;"&amp;$AD46)+1))</f>
        <v>15</v>
      </c>
      <c r="AT46" s="354">
        <f ca="1">IF($D46&gt;Standings!$Q$27,"",SUMIFS($J$2:$J$225,$D$2:$D$225,$D46,$C$2:$C$225,$C46))</f>
        <v>927.32</v>
      </c>
      <c r="AU46" s="253">
        <f ca="1">IF($D46&gt;Standings!$Q$27,"",SUMIFS($AC$2:$AC$225,$D$2:$D$225,$D46,$C$2:$C$225,$C46))</f>
        <v>2603.58</v>
      </c>
    </row>
    <row r="47" spans="1:47">
      <c r="A47" s="190">
        <f t="shared" si="0"/>
        <v>51</v>
      </c>
      <c r="B47" s="198" t="str">
        <f>'ESPN Data'!$L$7</f>
        <v>Team 4</v>
      </c>
      <c r="C47" s="346" t="str">
        <f>VLOOKUP(B47,'ESPN Data'!$L$4:$M$19,2,FALSE)</f>
        <v>Bone</v>
      </c>
      <c r="D47" s="397">
        <v>4</v>
      </c>
      <c r="E47" s="267" t="str">
        <f t="array" ref="E47">INDEX('ESPN Data'!$C$3:$C$226,MATCH(1,('ESPN Data'!$A$3:$A$226='Point Data'!$D47)*('ESPN Data'!$B$3:$B$226='Point Data'!$B47),0))</f>
        <v>Team 13</v>
      </c>
      <c r="F47" s="250" t="str">
        <f>IF(C47&lt;&gt;VLOOKUP($E47,'ESPN Data'!$L$4:$M$19,2,FALSE),"Non Conf", "Conf")</f>
        <v>Non Conf</v>
      </c>
      <c r="G47" s="246">
        <f t="array" aca="1" ref="G47" ca="1">IF('Point Data'!$D47&gt;Standings!$Q$27,"",(COUNTIFS($D$2:$D$225,$D47,$AM$2:$AM$225,"&gt;"&amp;$AM47)+1))</f>
        <v>11</v>
      </c>
      <c r="H47" s="247">
        <f ca="1">IF('Point Data'!$D47&gt;Standings!$Q$27,"",$G46)</f>
        <v>9</v>
      </c>
      <c r="I47" s="249">
        <f ca="1">IF('Point Data'!D47&gt;Standings!$Q$27,"",H47-G47)</f>
        <v>-2</v>
      </c>
      <c r="J47" s="247">
        <f ca="1">IF('Point Data'!D47&gt;Standings!$Q$27,"",OFFSET('ESPN Data'!D$3,$A47,0,1,1))</f>
        <v>84.76</v>
      </c>
      <c r="K47" s="248">
        <f ca="1">IF('Point Data'!D47&gt;Standings!$Q$27,"",OFFSET('ESPN Data'!E$3,$A47,0,1,1))</f>
        <v>121.54</v>
      </c>
      <c r="L47" s="249">
        <f ca="1">IF('Point Data'!D47&gt;Standings!$Q$27,"",OFFSET('ESPN Data'!I$3,$A47,0,1,1))</f>
        <v>81</v>
      </c>
      <c r="M47" s="249">
        <f ca="1">IF('Point Data'!D47&gt;Standings!$Q$27,"",OFFSET('ESPN Data'!I$3,$A47,-2,1,1))</f>
        <v>10</v>
      </c>
      <c r="N47" s="249">
        <f ca="1">IF('Point Data'!D47&gt;Standings!$Q$27,"",SUMIFS($M$2:$M$225,$D$2:$D$225,D47,$C$2:$C$225,C47))</f>
        <v>161</v>
      </c>
      <c r="O47" s="249">
        <f ca="1">IF('Point Data'!D47&gt;Standings!$Q$27,"",SUMIFS($L$2:$L$225,$D$2:$D$225,$D47,$C$2:$C$225,$C47))</f>
        <v>567</v>
      </c>
      <c r="P47" s="249">
        <f ca="1">IF('Point Data'!D47&gt;Standings!$Q$27,"",SUMIFS($M$2:$M$225,$D$2:$D$225,D47))</f>
        <v>171</v>
      </c>
      <c r="Q47" s="249">
        <f ca="1">IF('Point Data'!D47&gt;Standings!$Q$27,"",SUMIFS($L$2:$L$225,$D$2:$D$225,D47))</f>
        <v>1143</v>
      </c>
      <c r="R47" s="249">
        <f ca="1">IF($D47&gt;Standings!$Q$27,"",IF(U47="T",(Z47+0.5)/(D47)*100,(Z47/D47)*100))</f>
        <v>50</v>
      </c>
      <c r="S47" s="248">
        <f ca="1">IF($D47&gt;Standings!$Q$27,"",$J47-$K47)</f>
        <v>-36.78</v>
      </c>
      <c r="T47" s="248">
        <f ca="1">IF($D47&gt;Standings!$Q$27,"",AVERAGE(OFFSET(S47,(-$D47+1),0,1,1):S47))</f>
        <v>-1.6125000000000043</v>
      </c>
      <c r="U47" s="172">
        <f ca="1">IF($D47&gt;Standings!$Q$27,"",IF(J47&gt;K47,1,IF(J47=K47,"T",0)))</f>
        <v>0</v>
      </c>
      <c r="V47" s="172">
        <f ca="1">IF($D47&gt;Standings!$Q$27,"",IF(F47="Conf",V46,SUMIFS($U$2:$U$225,$D$2:$D$225,"&lt;="&amp;$D47,$B$2:$B$225,$B47,$F$2:$F$225,"Non Conf")))</f>
        <v>2</v>
      </c>
      <c r="W47" s="172" t="str">
        <f ca="1">IF($D47&gt;Standings!$Q$27,"",$V47&amp;"-"&amp;COUNTIF(OFFSET($F47,(-$D47+1),0,1,1):$F47,"Non Conf")-$V47)</f>
        <v>2-1</v>
      </c>
      <c r="X47" s="172">
        <f ca="1">IF($D47&gt;Standings!$Q$27,"",SUMIFS($U$2:$U$225,$D$2:$D$225,"&lt;="&amp;$D47,$B$2:$B$225,$B47,$F$2:$F$225,"Conf"))</f>
        <v>0</v>
      </c>
      <c r="Y47" s="172" t="str">
        <f ca="1">IF($D47&gt;Standings!$Q$27,"",$X47&amp;"-"&amp;COUNTIF(OFFSET($F47,(-$D47+1),0,1,1):$F47,"Conf")-$X47)</f>
        <v>0-1</v>
      </c>
      <c r="Z47" s="172">
        <f ca="1">IF($D47&gt;Standings!$Q$27,"",SUM(OFFSET(U47,(-$D47+1),0,1,1):U47))</f>
        <v>2</v>
      </c>
      <c r="AA47" s="172">
        <f ca="1">IF($D47&gt;Standings!$Q$27,"",IF(U47=1,1+AA46,0))</f>
        <v>0</v>
      </c>
      <c r="AB47" s="250">
        <f ca="1">IF($D47&gt;Standings!$Q$27,"",IF(AA47=0,1+AB46,0))</f>
        <v>1</v>
      </c>
      <c r="AC47" s="251">
        <f ca="1">IF($D47&gt;Standings!$Q$27,"",SUM(OFFSET(J47,(-$D47+1),0,1,1):J47))</f>
        <v>383.61</v>
      </c>
      <c r="AD47" s="248">
        <f ca="1">IF($D47&gt;Standings!$Q$27,"",SUM(OFFSET(K47,(-$D47+1),0,1,1):K47))</f>
        <v>390.06</v>
      </c>
      <c r="AE47" s="248">
        <f ca="1">IF($D47&gt;Standings!$Q$27,"",$J47-$K47)</f>
        <v>-36.78</v>
      </c>
      <c r="AF47" s="248">
        <f ca="1">IF($D47&gt;Standings!$Q$27,"",AC47-AD47)</f>
        <v>-6.4499999999999886</v>
      </c>
      <c r="AG47" s="252">
        <f ca="1">IF($D47&gt;Standings!$Q$27,"",(COUNTIFS($D$2:$D$225,$D47,$C$2:$C$225,$C47,$AC$2:$AC$225,"&lt;"&amp;$AC47)+1)*0.01)</f>
        <v>0.02</v>
      </c>
      <c r="AH47" s="252">
        <f ca="1">IF($D47&gt;Standings!$Q$27,"",Z47+AG47)</f>
        <v>2.02</v>
      </c>
      <c r="AI47" s="252"/>
      <c r="AJ47" s="172">
        <f t="array" aca="1" ref="AJ47" ca="1">IF($D47&gt;Standings!$Q$27,"",(COUNTIFS($D$2:$D$225,$D47,$C$2:$C$225,$C47,$AM$2:$AM$225,"&gt;"&amp;$AM47)+1))</f>
        <v>6</v>
      </c>
      <c r="AK47" s="172">
        <f t="array" aca="1" ref="AK47" ca="1">IF($D47&gt;Standings!$Q$27,"",IF((COUNTIFS($D$2:$D$225,$D47,$C$2:$C$225,$C47,$AH$2:$AH$225,"&gt;"&amp;$AH47)+1)=2,1,0))</f>
        <v>0</v>
      </c>
      <c r="AL47" s="172">
        <f t="array" aca="1" ref="AL47" ca="1">IF($D47&gt;Standings!$Q$27,"",IF((COUNTIFS($D$2:$D$225,$D47,$C$2:$C$225,$C47,$AH$2:$AH$225,"&gt;"&amp;$AH47)+1)&lt;2,1,0))</f>
        <v>0</v>
      </c>
      <c r="AM47" s="172">
        <f ca="1">IF($D47&gt;Standings!$Q$27,"",IF(AL47=1,200+Z47+(16-AQ47)*0.01+AI47,IF(AK47=1,100+Z47+(16-AQ47)*0.01+AI47,IF(AN47=1,50+Z47+(16-AQ47)*0.01,IF(AO47=1,15+Z47+(16-AQ47)*0.01,Z47+(16-AQ47)*0.01+AI47)))))</f>
        <v>2.02</v>
      </c>
      <c r="AN47" s="172">
        <f ca="1">IF($D47&gt;Standings!$Q$27,"",IF(OR($AK47=1,$AL47=1),"Conf Playoff Spot",COUNTIFS($AL$2:$AL$225,0,$AK$2:$AK$225,0,$C$2:$C$225,$C47,$D$2:$D$225,$D47,$AC$2:$AC$225,"&gt;"&amp;$AC47)+1))</f>
        <v>5</v>
      </c>
      <c r="AO47" s="172">
        <f t="array" aca="1" ref="AO47" ca="1">IF($D47&gt;Standings!$Q$27,"",IF(OR($AK47=1,$AL47=1),"Conf Playoff Spot",COUNTIFS($AK$2:$AK$225,0,$AL$2:$AL$225,0,$D$2:$D$225,$D47,$AH$2:$AH$225,"&gt;"&amp;$AH47)+1))</f>
        <v>7</v>
      </c>
      <c r="AP47" s="172">
        <f t="array" aca="1" ref="AP47" ca="1">IF($D47&gt;Standings!$Q$27,"",(COUNTIFS($D$2:$D$225,$D47,$J$2:$J$225,"&gt;"&amp;$J47)+1))</f>
        <v>15</v>
      </c>
      <c r="AQ47" s="249">
        <f ca="1">IF($D47&gt;Standings!$Q$27,"",(COUNTIFS($D$2:$D$225,$D47,$AC$2:$AC$225,"&gt;"&amp;$AC47)+1))</f>
        <v>14</v>
      </c>
      <c r="AR47" s="249">
        <f ca="1">IF($D47&gt;Standings!$Q$27,"",(COUNTIFS($D$2:$D$225,$D47,$K$2:$K$225,"&gt;"&amp;$K47)+1))</f>
        <v>2</v>
      </c>
      <c r="AS47" s="249">
        <f ca="1">IF($D47&gt;Standings!$Q$27,"",(COUNTIFS($D$2:$D$225,$D47,$AD$2:$AD$225,"&gt;"&amp;$AD47)+1))</f>
        <v>15</v>
      </c>
      <c r="AT47" s="354">
        <f ca="1">IF($D47&gt;Standings!$Q$27,"",SUMIFS($J$2:$J$225,$D$2:$D$225,$D47,$C$2:$C$225,$C47))</f>
        <v>806.98</v>
      </c>
      <c r="AU47" s="253">
        <f ca="1">IF($D47&gt;Standings!$Q$27,"",SUMIFS($AC$2:$AC$225,$D$2:$D$225,$D47,$C$2:$C$225,$C47))</f>
        <v>3410.56</v>
      </c>
    </row>
    <row r="48" spans="1:47">
      <c r="A48" s="190">
        <f t="shared" si="0"/>
        <v>67</v>
      </c>
      <c r="B48" s="198" t="str">
        <f>'ESPN Data'!$L$7</f>
        <v>Team 4</v>
      </c>
      <c r="C48" s="346" t="str">
        <f>VLOOKUP(B48,'ESPN Data'!$L$4:$M$19,2,FALSE)</f>
        <v>Bone</v>
      </c>
      <c r="D48" s="397">
        <v>5</v>
      </c>
      <c r="E48" s="267" t="str">
        <f t="array" ref="E48">INDEX('ESPN Data'!$C$3:$C$226,MATCH(1,('ESPN Data'!$A$3:$A$226='Point Data'!$D48)*('ESPN Data'!$B$3:$B$226='Point Data'!$B48),0))</f>
        <v>Team 1</v>
      </c>
      <c r="F48" s="250" t="str">
        <f>IF(C48&lt;&gt;VLOOKUP($E48,'ESPN Data'!$L$4:$M$19,2,FALSE),"Non Conf", "Conf")</f>
        <v>Conf</v>
      </c>
      <c r="G48" s="246">
        <f t="array" aca="1" ref="G48" ca="1">IF('Point Data'!$D48&gt;Standings!$Q$27,"",(COUNTIFS($D$2:$D$225,$D48,$AM$2:$AM$225,"&gt;"&amp;$AM48)+1))</f>
        <v>10</v>
      </c>
      <c r="H48" s="247">
        <f ca="1">IF('Point Data'!$D48&gt;Standings!$Q$27,"",$G47)</f>
        <v>11</v>
      </c>
      <c r="I48" s="249">
        <f ca="1">IF('Point Data'!D48&gt;Standings!$Q$27,"",H48-G48)</f>
        <v>1</v>
      </c>
      <c r="J48" s="247">
        <f ca="1">IF('Point Data'!D48&gt;Standings!$Q$27,"",OFFSET('ESPN Data'!D$3,$A48,0,1,1))</f>
        <v>93.88</v>
      </c>
      <c r="K48" s="248">
        <f ca="1">IF('Point Data'!D48&gt;Standings!$Q$27,"",OFFSET('ESPN Data'!E$3,$A48,0,1,1))</f>
        <v>66.3</v>
      </c>
      <c r="L48" s="249">
        <f ca="1">IF('Point Data'!D48&gt;Standings!$Q$27,"",OFFSET('ESPN Data'!I$3,$A48,0,1,1))</f>
        <v>81</v>
      </c>
      <c r="M48" s="249">
        <f ca="1">IF('Point Data'!D48&gt;Standings!$Q$27,"",OFFSET('ESPN Data'!I$3,$A48,-2,1,1))</f>
        <v>0</v>
      </c>
      <c r="N48" s="249">
        <f ca="1">IF('Point Data'!D48&gt;Standings!$Q$27,"",SUMIFS($M$2:$M$225,$D$2:$D$225,D48,$C$2:$C$225,C48))</f>
        <v>65</v>
      </c>
      <c r="O48" s="249">
        <f ca="1">IF('Point Data'!D48&gt;Standings!$Q$27,"",SUMIFS($L$2:$L$225,$D$2:$D$225,$D48,$C$2:$C$225,$C48))</f>
        <v>502</v>
      </c>
      <c r="P48" s="249">
        <f ca="1">IF('Point Data'!D48&gt;Standings!$Q$27,"",SUMIFS($M$2:$M$225,$D$2:$D$225,D48))</f>
        <v>104</v>
      </c>
      <c r="Q48" s="249">
        <f ca="1">IF('Point Data'!D48&gt;Standings!$Q$27,"",SUMIFS($L$2:$L$225,$D$2:$D$225,D48))</f>
        <v>1039</v>
      </c>
      <c r="R48" s="249">
        <f ca="1">IF($D48&gt;Standings!$Q$27,"",IF(U48="T",(Z48+0.5)/(D48)*100,(Z48/D48)*100))</f>
        <v>60</v>
      </c>
      <c r="S48" s="248">
        <f ca="1">IF($D48&gt;Standings!$Q$27,"",$J48-$K48)</f>
        <v>27.58</v>
      </c>
      <c r="T48" s="248">
        <f ca="1">IF($D48&gt;Standings!$Q$27,"",AVERAGE(OFFSET(S48,(-$D48+1),0,1,1):S48))</f>
        <v>4.2259999999999964</v>
      </c>
      <c r="U48" s="172">
        <f ca="1">IF($D48&gt;Standings!$Q$27,"",IF(J48&gt;K48,1,IF(J48=K48,"T",0)))</f>
        <v>1</v>
      </c>
      <c r="V48" s="172">
        <f ca="1">IF($D48&gt;Standings!$Q$27,"",IF(F48="Conf",V47,SUMIFS($U$2:$U$225,$D$2:$D$225,"&lt;="&amp;$D48,$B$2:$B$225,$B48,$F$2:$F$225,"Non Conf")))</f>
        <v>2</v>
      </c>
      <c r="W48" s="172" t="str">
        <f ca="1">IF($D48&gt;Standings!$Q$27,"",$V48&amp;"-"&amp;COUNTIF(OFFSET($F48,(-$D48+1),0,1,1):$F48,"Non Conf")-$V48)</f>
        <v>2-1</v>
      </c>
      <c r="X48" s="172">
        <f ca="1">IF($D48&gt;Standings!$Q$27,"",SUMIFS($U$2:$U$225,$D$2:$D$225,"&lt;="&amp;$D48,$B$2:$B$225,$B48,$F$2:$F$225,"Conf"))</f>
        <v>1</v>
      </c>
      <c r="Y48" s="172" t="str">
        <f ca="1">IF($D48&gt;Standings!$Q$27,"",$X48&amp;"-"&amp;COUNTIF(OFFSET($F48,(-$D48+1),0,1,1):$F48,"Conf")-$X48)</f>
        <v>1-1</v>
      </c>
      <c r="Z48" s="172">
        <f ca="1">IF($D48&gt;Standings!$Q$27,"",SUM(OFFSET(U48,(-$D48+1),0,1,1):U48))</f>
        <v>3</v>
      </c>
      <c r="AA48" s="172">
        <f ca="1">IF($D48&gt;Standings!$Q$27,"",IF(U48=1,1+AA47,0))</f>
        <v>1</v>
      </c>
      <c r="AB48" s="250">
        <f ca="1">IF($D48&gt;Standings!$Q$27,"",IF(AA48=0,1+AB47,0))</f>
        <v>0</v>
      </c>
      <c r="AC48" s="251">
        <f ca="1">IF($D48&gt;Standings!$Q$27,"",SUM(OFFSET(J48,(-$D48+1),0,1,1):J48))</f>
        <v>477.49</v>
      </c>
      <c r="AD48" s="248">
        <f ca="1">IF($D48&gt;Standings!$Q$27,"",SUM(OFFSET(K48,(-$D48+1),0,1,1):K48))</f>
        <v>456.36</v>
      </c>
      <c r="AE48" s="248">
        <f ca="1">IF($D48&gt;Standings!$Q$27,"",$J48-$K48)</f>
        <v>27.58</v>
      </c>
      <c r="AF48" s="248">
        <f ca="1">IF($D48&gt;Standings!$Q$27,"",AC48-AD48)</f>
        <v>21.129999999999995</v>
      </c>
      <c r="AG48" s="252">
        <f ca="1">IF($D48&gt;Standings!$Q$27,"",(COUNTIFS($D$2:$D$225,$D48,$C$2:$C$225,$C48,$AC$2:$AC$225,"&lt;"&amp;$AC48)+1)*0.01)</f>
        <v>0.01</v>
      </c>
      <c r="AH48" s="252">
        <f ca="1">IF($D48&gt;Standings!$Q$27,"",Z48+AG48)</f>
        <v>3.01</v>
      </c>
      <c r="AI48" s="252"/>
      <c r="AJ48" s="172">
        <f t="array" aca="1" ref="AJ48" ca="1">IF($D48&gt;Standings!$Q$27,"",(COUNTIFS($D$2:$D$225,$D48,$C$2:$C$225,$C48,$AM$2:$AM$225,"&gt;"&amp;$AM48)+1))</f>
        <v>6</v>
      </c>
      <c r="AK48" s="172">
        <f t="array" aca="1" ref="AK48" ca="1">IF($D48&gt;Standings!$Q$27,"",IF((COUNTIFS($D$2:$D$225,$D48,$C$2:$C$225,$C48,$AH$2:$AH$225,"&gt;"&amp;$AH48)+1)=2,1,0))</f>
        <v>0</v>
      </c>
      <c r="AL48" s="172">
        <f t="array" aca="1" ref="AL48" ca="1">IF($D48&gt;Standings!$Q$27,"",IF((COUNTIFS($D$2:$D$225,$D48,$C$2:$C$225,$C48,$AH$2:$AH$225,"&gt;"&amp;$AH48)+1)&lt;2,1,0))</f>
        <v>0</v>
      </c>
      <c r="AM48" s="172">
        <f ca="1">IF($D48&gt;Standings!$Q$27,"",IF(AL48=1,200+Z48+(16-AQ48)*0.01+AI48,IF(AK48=1,100+Z48+(16-AQ48)*0.01+AI48,IF(AN48=1,50+Z48+(16-AQ48)*0.01,IF(AO48=1,15+Z48+(16-AQ48)*0.01,Z48+(16-AQ48)*0.01+AI48)))))</f>
        <v>3.01</v>
      </c>
      <c r="AN48" s="172">
        <f ca="1">IF($D48&gt;Standings!$Q$27,"",IF(OR($AK48=1,$AL48=1),"Conf Playoff Spot",COUNTIFS($AL$2:$AL$225,0,$AK$2:$AK$225,0,$C$2:$C$225,$C48,$D$2:$D$225,$D48,$AC$2:$AC$225,"&gt;"&amp;$AC48)+1))</f>
        <v>6</v>
      </c>
      <c r="AO48" s="172">
        <f t="array" aca="1" ref="AO48" ca="1">IF($D48&gt;Standings!$Q$27,"",IF(OR($AK48=1,$AL48=1),"Conf Playoff Spot",COUNTIFS($AK$2:$AK$225,0,$AL$2:$AL$225,0,$D$2:$D$225,$D48,$AH$2:$AH$225,"&gt;"&amp;$AH48)+1))</f>
        <v>5</v>
      </c>
      <c r="AP48" s="172">
        <f t="array" aca="1" ref="AP48" ca="1">IF($D48&gt;Standings!$Q$27,"",(COUNTIFS($D$2:$D$225,$D48,$J$2:$J$225,"&gt;"&amp;$J48)+1))</f>
        <v>11</v>
      </c>
      <c r="AQ48" s="249">
        <f ca="1">IF($D48&gt;Standings!$Q$27,"",(COUNTIFS($D$2:$D$225,$D48,$AC$2:$AC$225,"&gt;"&amp;$AC48)+1))</f>
        <v>15</v>
      </c>
      <c r="AR48" s="249">
        <f ca="1">IF($D48&gt;Standings!$Q$27,"",(COUNTIFS($D$2:$D$225,$D48,$K$2:$K$225,"&gt;"&amp;$K48)+1))</f>
        <v>15</v>
      </c>
      <c r="AS48" s="249">
        <f ca="1">IF($D48&gt;Standings!$Q$27,"",(COUNTIFS($D$2:$D$225,$D48,$AD$2:$AD$225,"&gt;"&amp;$AD48)+1))</f>
        <v>16</v>
      </c>
      <c r="AT48" s="354">
        <f ca="1">IF($D48&gt;Standings!$Q$27,"",SUMIFS($J$2:$J$225,$D$2:$D$225,$D48,$C$2:$C$225,$C48))</f>
        <v>811.47</v>
      </c>
      <c r="AU48" s="253">
        <f ca="1">IF($D48&gt;Standings!$Q$27,"",SUMIFS($AC$2:$AC$225,$D$2:$D$225,$D48,$C$2:$C$225,$C48))</f>
        <v>4222.03</v>
      </c>
    </row>
    <row r="49" spans="1:47">
      <c r="A49" s="190">
        <f t="shared" si="0"/>
        <v>83</v>
      </c>
      <c r="B49" s="198" t="str">
        <f>'ESPN Data'!$L$7</f>
        <v>Team 4</v>
      </c>
      <c r="C49" s="346" t="str">
        <f>VLOOKUP(B49,'ESPN Data'!$L$4:$M$19,2,FALSE)</f>
        <v>Bone</v>
      </c>
      <c r="D49" s="397">
        <v>6</v>
      </c>
      <c r="E49" s="267" t="str">
        <f t="array" ref="E49">INDEX('ESPN Data'!$C$3:$C$226,MATCH(1,('ESPN Data'!$A$3:$A$226='Point Data'!$D49)*('ESPN Data'!$B$3:$B$226='Point Data'!$B49),0))</f>
        <v>Team 3</v>
      </c>
      <c r="F49" s="250" t="str">
        <f>IF(C49&lt;&gt;VLOOKUP($E49,'ESPN Data'!$L$4:$M$19,2,FALSE),"Non Conf", "Conf")</f>
        <v>Conf</v>
      </c>
      <c r="G49" s="246">
        <f t="array" aca="1" ref="G49" ca="1">IF('Point Data'!$D49&gt;Standings!$Q$27,"",(COUNTIFS($D$2:$D$225,$D49,$AM$2:$AM$225,"&gt;"&amp;$AM49)+1))</f>
        <v>8</v>
      </c>
      <c r="H49" s="247">
        <f ca="1">IF('Point Data'!$D49&gt;Standings!$Q$27,"",$G48)</f>
        <v>10</v>
      </c>
      <c r="I49" s="249">
        <f ca="1">IF('Point Data'!D49&gt;Standings!$Q$27,"",H49-G49)</f>
        <v>2</v>
      </c>
      <c r="J49" s="247">
        <f ca="1">IF('Point Data'!D49&gt;Standings!$Q$27,"",OFFSET('ESPN Data'!D$3,$A49,0,1,1))</f>
        <v>133.94999999999999</v>
      </c>
      <c r="K49" s="248">
        <f ca="1">IF('Point Data'!D49&gt;Standings!$Q$27,"",OFFSET('ESPN Data'!E$3,$A49,0,1,1))</f>
        <v>67.37</v>
      </c>
      <c r="L49" s="249">
        <f ca="1">IF('Point Data'!D49&gt;Standings!$Q$27,"",OFFSET('ESPN Data'!I$3,$A49,0,1,1))</f>
        <v>69</v>
      </c>
      <c r="M49" s="249">
        <f ca="1">IF('Point Data'!D49&gt;Standings!$Q$27,"",OFFSET('ESPN Data'!I$3,$A49,-2,1,1))</f>
        <v>12</v>
      </c>
      <c r="N49" s="249">
        <f ca="1">IF('Point Data'!D49&gt;Standings!$Q$27,"",SUMIFS($M$2:$M$225,$D$2:$D$225,D49,$C$2:$C$225,C49))</f>
        <v>116</v>
      </c>
      <c r="O49" s="249">
        <f ca="1">IF('Point Data'!D49&gt;Standings!$Q$27,"",SUMIFS($L$2:$L$225,$D$2:$D$225,$D49,$C$2:$C$225,$C49))</f>
        <v>386</v>
      </c>
      <c r="P49" s="249">
        <f ca="1">IF('Point Data'!D49&gt;Standings!$Q$27,"",SUMIFS($M$2:$M$225,$D$2:$D$225,D49))</f>
        <v>183</v>
      </c>
      <c r="Q49" s="249">
        <f ca="1">IF('Point Data'!D49&gt;Standings!$Q$27,"",SUMIFS($L$2:$L$225,$D$2:$D$225,D49))</f>
        <v>856</v>
      </c>
      <c r="R49" s="249">
        <f ca="1">IF($D49&gt;Standings!$Q$27,"",IF(U49="T",(Z49+0.5)/(D49)*100,(Z49/D49)*100))</f>
        <v>66.666666666666657</v>
      </c>
      <c r="S49" s="248">
        <f ca="1">IF($D49&gt;Standings!$Q$27,"",$J49-$K49)</f>
        <v>66.579999999999984</v>
      </c>
      <c r="T49" s="248">
        <f ca="1">IF($D49&gt;Standings!$Q$27,"",AVERAGE(OFFSET(S49,(-$D49+1),0,1,1):S49))</f>
        <v>14.618333333333327</v>
      </c>
      <c r="U49" s="172">
        <f ca="1">IF($D49&gt;Standings!$Q$27,"",IF(J49&gt;K49,1,IF(J49=K49,"T",0)))</f>
        <v>1</v>
      </c>
      <c r="V49" s="172">
        <f ca="1">IF($D49&gt;Standings!$Q$27,"",IF(F49="Conf",V48,SUMIFS($U$2:$U$225,$D$2:$D$225,"&lt;="&amp;$D49,$B$2:$B$225,$B49,$F$2:$F$225,"Non Conf")))</f>
        <v>2</v>
      </c>
      <c r="W49" s="172" t="str">
        <f ca="1">IF($D49&gt;Standings!$Q$27,"",$V49&amp;"-"&amp;COUNTIF(OFFSET($F49,(-$D49+1),0,1,1):$F49,"Non Conf")-$V49)</f>
        <v>2-1</v>
      </c>
      <c r="X49" s="172">
        <f ca="1">IF($D49&gt;Standings!$Q$27,"",SUMIFS($U$2:$U$225,$D$2:$D$225,"&lt;="&amp;$D49,$B$2:$B$225,$B49,$F$2:$F$225,"Conf"))</f>
        <v>2</v>
      </c>
      <c r="Y49" s="172" t="str">
        <f ca="1">IF($D49&gt;Standings!$Q$27,"",$X49&amp;"-"&amp;COUNTIF(OFFSET($F49,(-$D49+1),0,1,1):$F49,"Conf")-$X49)</f>
        <v>2-1</v>
      </c>
      <c r="Z49" s="172">
        <f ca="1">IF($D49&gt;Standings!$Q$27,"",SUM(OFFSET(U49,(-$D49+1),0,1,1):U49))</f>
        <v>4</v>
      </c>
      <c r="AA49" s="172">
        <f ca="1">IF($D49&gt;Standings!$Q$27,"",IF(U49=1,1+AA48,0))</f>
        <v>2</v>
      </c>
      <c r="AB49" s="250">
        <f ca="1">IF($D49&gt;Standings!$Q$27,"",IF(AA49=0,1+AB48,0))</f>
        <v>0</v>
      </c>
      <c r="AC49" s="251">
        <f ca="1">IF($D49&gt;Standings!$Q$27,"",SUM(OFFSET(J49,(-$D49+1),0,1,1):J49))</f>
        <v>611.44000000000005</v>
      </c>
      <c r="AD49" s="248">
        <f ca="1">IF($D49&gt;Standings!$Q$27,"",SUM(OFFSET(K49,(-$D49+1),0,1,1):K49))</f>
        <v>523.73</v>
      </c>
      <c r="AE49" s="248">
        <f ca="1">IF($D49&gt;Standings!$Q$27,"",$J49-$K49)</f>
        <v>66.579999999999984</v>
      </c>
      <c r="AF49" s="248">
        <f ca="1">IF($D49&gt;Standings!$Q$27,"",AC49-AD49)</f>
        <v>87.710000000000036</v>
      </c>
      <c r="AG49" s="252">
        <f ca="1">IF($D49&gt;Standings!$Q$27,"",(COUNTIFS($D$2:$D$225,$D49,$C$2:$C$225,$C49,$AC$2:$AC$225,"&lt;"&amp;$AC49)+1)*0.01)</f>
        <v>0.04</v>
      </c>
      <c r="AH49" s="252">
        <f ca="1">IF($D49&gt;Standings!$Q$27,"",Z49+AG49)</f>
        <v>4.04</v>
      </c>
      <c r="AI49" s="252"/>
      <c r="AJ49" s="172">
        <f t="array" aca="1" ref="AJ49" ca="1">IF($D49&gt;Standings!$Q$27,"",(COUNTIFS($D$2:$D$225,$D49,$C$2:$C$225,$C49,$AM$2:$AM$225,"&gt;"&amp;$AM49)+1))</f>
        <v>5</v>
      </c>
      <c r="AK49" s="172">
        <f t="array" aca="1" ref="AK49" ca="1">IF($D49&gt;Standings!$Q$27,"",IF((COUNTIFS($D$2:$D$225,$D49,$C$2:$C$225,$C49,$AH$2:$AH$225,"&gt;"&amp;$AH49)+1)=2,1,0))</f>
        <v>0</v>
      </c>
      <c r="AL49" s="172">
        <f t="array" aca="1" ref="AL49" ca="1">IF($D49&gt;Standings!$Q$27,"",IF((COUNTIFS($D$2:$D$225,$D49,$C$2:$C$225,$C49,$AH$2:$AH$225,"&gt;"&amp;$AH49)+1)&lt;2,1,0))</f>
        <v>0</v>
      </c>
      <c r="AM49" s="172">
        <f ca="1">IF($D49&gt;Standings!$Q$27,"",IF(AL49=1,200+Z49+(16-AQ49)*0.01+AI49,IF(AK49=1,100+Z49+(16-AQ49)*0.01+AI49,IF(AN49=1,50+Z49+(16-AQ49)*0.01,IF(AO49=1,15+Z49+(16-AQ49)*0.01,Z49+(16-AQ49)*0.01+AI49)))))</f>
        <v>4.05</v>
      </c>
      <c r="AN49" s="172">
        <f ca="1">IF($D49&gt;Standings!$Q$27,"",IF(OR($AK49=1,$AL49=1),"Conf Playoff Spot",COUNTIFS($AL$2:$AL$225,0,$AK$2:$AK$225,0,$C$2:$C$225,$C49,$D$2:$D$225,$D49,$AC$2:$AC$225,"&gt;"&amp;$AC49)+1))</f>
        <v>3</v>
      </c>
      <c r="AO49" s="172">
        <f t="array" aca="1" ref="AO49" ca="1">IF($D49&gt;Standings!$Q$27,"",IF(OR($AK49=1,$AL49=1),"Conf Playoff Spot",COUNTIFS($AK$2:$AK$225,0,$AL$2:$AL$225,0,$D$2:$D$225,$D49,$AH$2:$AH$225,"&gt;"&amp;$AH49)+1))</f>
        <v>3</v>
      </c>
      <c r="AP49" s="172">
        <f t="array" aca="1" ref="AP49" ca="1">IF($D49&gt;Standings!$Q$27,"",(COUNTIFS($D$2:$D$225,$D49,$J$2:$J$225,"&gt;"&amp;$J49)+1))</f>
        <v>1</v>
      </c>
      <c r="AQ49" s="249">
        <f ca="1">IF($D49&gt;Standings!$Q$27,"",(COUNTIFS($D$2:$D$225,$D49,$AC$2:$AC$225,"&gt;"&amp;$AC49)+1))</f>
        <v>11</v>
      </c>
      <c r="AR49" s="249">
        <f ca="1">IF($D49&gt;Standings!$Q$27,"",(COUNTIFS($D$2:$D$225,$D49,$K$2:$K$225,"&gt;"&amp;$K49)+1))</f>
        <v>16</v>
      </c>
      <c r="AS49" s="249">
        <f ca="1">IF($D49&gt;Standings!$Q$27,"",(COUNTIFS($D$2:$D$225,$D49,$AD$2:$AD$225,"&gt;"&amp;$AD49)+1))</f>
        <v>16</v>
      </c>
      <c r="AT49" s="354">
        <f ca="1">IF($D49&gt;Standings!$Q$27,"",SUMIFS($J$2:$J$225,$D$2:$D$225,$D49,$C$2:$C$225,$C49))</f>
        <v>782.35</v>
      </c>
      <c r="AU49" s="253">
        <f ca="1">IF($D49&gt;Standings!$Q$27,"",SUMIFS($AC$2:$AC$225,$D$2:$D$225,$D49,$C$2:$C$225,$C49))</f>
        <v>5004.38</v>
      </c>
    </row>
    <row r="50" spans="1:47">
      <c r="A50" s="190">
        <f t="shared" si="0"/>
        <v>99</v>
      </c>
      <c r="B50" s="198" t="str">
        <f>'ESPN Data'!$L$7</f>
        <v>Team 4</v>
      </c>
      <c r="C50" s="346" t="str">
        <f>VLOOKUP(B50,'ESPN Data'!$L$4:$M$19,2,FALSE)</f>
        <v>Bone</v>
      </c>
      <c r="D50" s="397">
        <v>7</v>
      </c>
      <c r="E50" s="267" t="str">
        <f t="array" ref="E50">INDEX('ESPN Data'!$C$3:$C$226,MATCH(1,('ESPN Data'!$A$3:$A$226='Point Data'!$D50)*('ESPN Data'!$B$3:$B$226='Point Data'!$B50),0))</f>
        <v>Team 14</v>
      </c>
      <c r="F50" s="250" t="str">
        <f>IF(C50&lt;&gt;VLOOKUP($E50,'ESPN Data'!$L$4:$M$19,2,FALSE),"Non Conf", "Conf")</f>
        <v>Non Conf</v>
      </c>
      <c r="G50" s="246">
        <f t="array" aca="1" ref="G50" ca="1">IF('Point Data'!$D50&gt;Standings!$Q$27,"",(COUNTIFS($D$2:$D$225,$D50,$AM$2:$AM$225,"&gt;"&amp;$AM50)+1))</f>
        <v>7</v>
      </c>
      <c r="H50" s="247">
        <f ca="1">IF('Point Data'!$D50&gt;Standings!$Q$27,"",$G49)</f>
        <v>8</v>
      </c>
      <c r="I50" s="249">
        <f ca="1">IF('Point Data'!D50&gt;Standings!$Q$27,"",H50-G50)</f>
        <v>1</v>
      </c>
      <c r="J50" s="247">
        <f ca="1">IF('Point Data'!D50&gt;Standings!$Q$27,"",OFFSET('ESPN Data'!D$3,$A50,0,1,1))</f>
        <v>123.84</v>
      </c>
      <c r="K50" s="248">
        <f ca="1">IF('Point Data'!D50&gt;Standings!$Q$27,"",OFFSET('ESPN Data'!E$3,$A50,0,1,1))</f>
        <v>90.17</v>
      </c>
      <c r="L50" s="249">
        <f ca="1">IF('Point Data'!D50&gt;Standings!$Q$27,"",OFFSET('ESPN Data'!I$3,$A50,0,1,1))</f>
        <v>67</v>
      </c>
      <c r="M50" s="249">
        <f ca="1">IF('Point Data'!D50&gt;Standings!$Q$27,"",OFFSET('ESPN Data'!I$3,$A50,-2,1,1))</f>
        <v>2</v>
      </c>
      <c r="N50" s="249">
        <f ca="1">IF('Point Data'!D50&gt;Standings!$Q$27,"",SUMIFS($M$2:$M$225,$D$2:$D$225,D50,$C$2:$C$225,C50))</f>
        <v>28</v>
      </c>
      <c r="O50" s="249">
        <f ca="1">IF('Point Data'!D50&gt;Standings!$Q$27,"",SUMIFS($L$2:$L$225,$D$2:$D$225,$D50,$C$2:$C$225,$C50))</f>
        <v>358</v>
      </c>
      <c r="P50" s="249">
        <f ca="1">IF('Point Data'!D50&gt;Standings!$Q$27,"",SUMIFS($M$2:$M$225,$D$2:$D$225,D50))</f>
        <v>168</v>
      </c>
      <c r="Q50" s="249">
        <f ca="1">IF('Point Data'!D50&gt;Standings!$Q$27,"",SUMIFS($L$2:$L$225,$D$2:$D$225,D50))</f>
        <v>688</v>
      </c>
      <c r="R50" s="249">
        <f ca="1">IF($D50&gt;Standings!$Q$27,"",IF(U50="T",(Z50+0.5)/(D50)*100,(Z50/D50)*100))</f>
        <v>71.428571428571431</v>
      </c>
      <c r="S50" s="248">
        <f ca="1">IF($D50&gt;Standings!$Q$27,"",$J50-$K50)</f>
        <v>33.67</v>
      </c>
      <c r="T50" s="248">
        <f ca="1">IF($D50&gt;Standings!$Q$27,"",AVERAGE(OFFSET(S50,(-$D50+1),0,1,1):S50))</f>
        <v>17.339999999999996</v>
      </c>
      <c r="U50" s="172">
        <f ca="1">IF($D50&gt;Standings!$Q$27,"",IF(J50&gt;K50,1,IF(J50=K50,"T",0)))</f>
        <v>1</v>
      </c>
      <c r="V50" s="172">
        <f ca="1">IF($D50&gt;Standings!$Q$27,"",IF(F50="Conf",V49,SUMIFS($U$2:$U$225,$D$2:$D$225,"&lt;="&amp;$D50,$B$2:$B$225,$B50,$F$2:$F$225,"Non Conf")))</f>
        <v>3</v>
      </c>
      <c r="W50" s="172" t="str">
        <f ca="1">IF($D50&gt;Standings!$Q$27,"",$V50&amp;"-"&amp;COUNTIF(OFFSET($F50,(-$D50+1),0,1,1):$F50,"Non Conf")-$V50)</f>
        <v>3-1</v>
      </c>
      <c r="X50" s="172">
        <f ca="1">IF($D50&gt;Standings!$Q$27,"",SUMIFS($U$2:$U$225,$D$2:$D$225,"&lt;="&amp;$D50,$B$2:$B$225,$B50,$F$2:$F$225,"Conf"))</f>
        <v>2</v>
      </c>
      <c r="Y50" s="172" t="str">
        <f ca="1">IF($D50&gt;Standings!$Q$27,"",$X50&amp;"-"&amp;COUNTIF(OFFSET($F50,(-$D50+1),0,1,1):$F50,"Conf")-$X50)</f>
        <v>2-1</v>
      </c>
      <c r="Z50" s="172">
        <f ca="1">IF($D50&gt;Standings!$Q$27,"",SUM(OFFSET(U50,(-$D50+1),0,1,1):U50))</f>
        <v>5</v>
      </c>
      <c r="AA50" s="172">
        <f ca="1">IF($D50&gt;Standings!$Q$27,"",IF(U50=1,1+AA49,0))</f>
        <v>3</v>
      </c>
      <c r="AB50" s="250">
        <f ca="1">IF($D50&gt;Standings!$Q$27,"",IF(AA50=0,1+AB49,0))</f>
        <v>0</v>
      </c>
      <c r="AC50" s="251">
        <f ca="1">IF($D50&gt;Standings!$Q$27,"",SUM(OFFSET(J50,(-$D50+1),0,1,1):J50))</f>
        <v>735.28000000000009</v>
      </c>
      <c r="AD50" s="248">
        <f ca="1">IF($D50&gt;Standings!$Q$27,"",SUM(OFFSET(K50,(-$D50+1),0,1,1):K50))</f>
        <v>613.9</v>
      </c>
      <c r="AE50" s="248">
        <f ca="1">IF($D50&gt;Standings!$Q$27,"",$J50-$K50)</f>
        <v>33.67</v>
      </c>
      <c r="AF50" s="248">
        <f ca="1">IF($D50&gt;Standings!$Q$27,"",AC50-AD50)</f>
        <v>121.38000000000011</v>
      </c>
      <c r="AG50" s="252">
        <f ca="1">IF($D50&gt;Standings!$Q$27,"",(COUNTIFS($D$2:$D$225,$D50,$C$2:$C$225,$C50,$AC$2:$AC$225,"&lt;"&amp;$AC50)+1)*0.01)</f>
        <v>0.04</v>
      </c>
      <c r="AH50" s="252">
        <f ca="1">IF($D50&gt;Standings!$Q$27,"",Z50+AG50)</f>
        <v>5.04</v>
      </c>
      <c r="AI50" s="252"/>
      <c r="AJ50" s="172">
        <f t="array" aca="1" ref="AJ50" ca="1">IF($D50&gt;Standings!$Q$27,"",(COUNTIFS($D$2:$D$225,$D50,$C$2:$C$225,$C50,$AM$2:$AM$225,"&gt;"&amp;$AM50)+1))</f>
        <v>4</v>
      </c>
      <c r="AK50" s="172">
        <f t="array" aca="1" ref="AK50" ca="1">IF($D50&gt;Standings!$Q$27,"",IF((COUNTIFS($D$2:$D$225,$D50,$C$2:$C$225,$C50,$AH$2:$AH$225,"&gt;"&amp;$AH50)+1)=2,1,0))</f>
        <v>0</v>
      </c>
      <c r="AL50" s="172">
        <f t="array" aca="1" ref="AL50" ca="1">IF($D50&gt;Standings!$Q$27,"",IF((COUNTIFS($D$2:$D$225,$D50,$C$2:$C$225,$C50,$AH$2:$AH$225,"&gt;"&amp;$AH50)+1)&lt;2,1,0))</f>
        <v>0</v>
      </c>
      <c r="AM50" s="172">
        <f ca="1">IF($D50&gt;Standings!$Q$27,"",IF(AL50=1,200+Z50+(16-AQ50)*0.01+AI50,IF(AK50=1,100+Z50+(16-AQ50)*0.01+AI50,IF(AN50=1,50+Z50+(16-AQ50)*0.01,IF(AO50=1,15+Z50+(16-AQ50)*0.01,Z50+(16-AQ50)*0.01+AI50)))))</f>
        <v>5.09</v>
      </c>
      <c r="AN50" s="172">
        <f ca="1">IF($D50&gt;Standings!$Q$27,"",IF(OR($AK50=1,$AL50=1),"Conf Playoff Spot",COUNTIFS($AL$2:$AL$225,0,$AK$2:$AK$225,0,$C$2:$C$225,$C50,$D$2:$D$225,$D50,$AC$2:$AC$225,"&gt;"&amp;$AC50)+1))</f>
        <v>3</v>
      </c>
      <c r="AO50" s="172">
        <f t="array" aca="1" ref="AO50" ca="1">IF($D50&gt;Standings!$Q$27,"",IF(OR($AK50=1,$AL50=1),"Conf Playoff Spot",COUNTIFS($AK$2:$AK$225,0,$AL$2:$AL$225,0,$D$2:$D$225,$D50,$AH$2:$AH$225,"&gt;"&amp;$AH50)+1))</f>
        <v>2</v>
      </c>
      <c r="AP50" s="172">
        <f t="array" aca="1" ref="AP50" ca="1">IF($D50&gt;Standings!$Q$27,"",(COUNTIFS($D$2:$D$225,$D50,$J$2:$J$225,"&gt;"&amp;$J50)+1))</f>
        <v>3</v>
      </c>
      <c r="AQ50" s="249">
        <f ca="1">IF($D50&gt;Standings!$Q$27,"",(COUNTIFS($D$2:$D$225,$D50,$AC$2:$AC$225,"&gt;"&amp;$AC50)+1))</f>
        <v>7</v>
      </c>
      <c r="AR50" s="249">
        <f ca="1">IF($D50&gt;Standings!$Q$27,"",(COUNTIFS($D$2:$D$225,$D50,$K$2:$K$225,"&gt;"&amp;$K50)+1))</f>
        <v>13</v>
      </c>
      <c r="AS50" s="249">
        <f ca="1">IF($D50&gt;Standings!$Q$27,"",(COUNTIFS($D$2:$D$225,$D50,$AD$2:$AD$225,"&gt;"&amp;$AD50)+1))</f>
        <v>16</v>
      </c>
      <c r="AT50" s="354">
        <f ca="1">IF($D50&gt;Standings!$Q$27,"",SUMIFS($J$2:$J$225,$D$2:$D$225,$D50,$C$2:$C$225,$C50))</f>
        <v>939.21999999999991</v>
      </c>
      <c r="AU50" s="253">
        <f ca="1">IF($D50&gt;Standings!$Q$27,"",SUMIFS($AC$2:$AC$225,$D$2:$D$225,$D50,$C$2:$C$225,$C50))</f>
        <v>5943.6</v>
      </c>
    </row>
    <row r="51" spans="1:47">
      <c r="A51" s="190">
        <f t="shared" si="0"/>
        <v>115</v>
      </c>
      <c r="B51" s="198" t="str">
        <f>'ESPN Data'!$L$7</f>
        <v>Team 4</v>
      </c>
      <c r="C51" s="346" t="str">
        <f>VLOOKUP(B51,'ESPN Data'!$L$4:$M$19,2,FALSE)</f>
        <v>Bone</v>
      </c>
      <c r="D51" s="397">
        <v>8</v>
      </c>
      <c r="E51" s="267" t="str">
        <f t="array" ref="E51">INDEX('ESPN Data'!$C$3:$C$226,MATCH(1,('ESPN Data'!$A$3:$A$226='Point Data'!$D51)*('ESPN Data'!$B$3:$B$226='Point Data'!$B51),0))</f>
        <v>Team 6</v>
      </c>
      <c r="F51" s="250" t="str">
        <f>IF(C51&lt;&gt;VLOOKUP($E51,'ESPN Data'!$L$4:$M$19,2,FALSE),"Non Conf", "Conf")</f>
        <v>Conf</v>
      </c>
      <c r="G51" s="246">
        <f t="array" aca="1" ref="G51" ca="1">IF('Point Data'!$D51&gt;Standings!$Q$27,"",(COUNTIFS($D$2:$D$225,$D51,$AM$2:$AM$225,"&gt;"&amp;$AM51)+1))</f>
        <v>7</v>
      </c>
      <c r="H51" s="247">
        <f ca="1">IF('Point Data'!$D51&gt;Standings!$Q$27,"",$G50)</f>
        <v>7</v>
      </c>
      <c r="I51" s="249">
        <f ca="1">IF('Point Data'!D51&gt;Standings!$Q$27,"",H51-G51)</f>
        <v>0</v>
      </c>
      <c r="J51" s="247">
        <f ca="1">IF('Point Data'!D51&gt;Standings!$Q$27,"",OFFSET('ESPN Data'!D$3,$A51,0,1,1))</f>
        <v>92.41</v>
      </c>
      <c r="K51" s="248">
        <f ca="1">IF('Point Data'!D51&gt;Standings!$Q$27,"",OFFSET('ESPN Data'!E$3,$A51,0,1,1))</f>
        <v>96.07</v>
      </c>
      <c r="L51" s="249">
        <f ca="1">IF('Point Data'!D51&gt;Standings!$Q$27,"",OFFSET('ESPN Data'!I$3,$A51,0,1,1))</f>
        <v>52</v>
      </c>
      <c r="M51" s="249">
        <f ca="1">IF('Point Data'!D51&gt;Standings!$Q$27,"",OFFSET('ESPN Data'!I$3,$A51,-2,1,1))</f>
        <v>15</v>
      </c>
      <c r="N51" s="249">
        <f ca="1">IF('Point Data'!D51&gt;Standings!$Q$27,"",SUMIFS($M$2:$M$225,$D$2:$D$225,D51,$C$2:$C$225,C51))</f>
        <v>18</v>
      </c>
      <c r="O51" s="249">
        <f ca="1">IF('Point Data'!D51&gt;Standings!$Q$27,"",SUMIFS($L$2:$L$225,$D$2:$D$225,$D51,$C$2:$C$225,$C51))</f>
        <v>340</v>
      </c>
      <c r="P51" s="249">
        <f ca="1">IF('Point Data'!D51&gt;Standings!$Q$27,"",SUMIFS($M$2:$M$225,$D$2:$D$225,D51))</f>
        <v>80</v>
      </c>
      <c r="Q51" s="249">
        <f ca="1">IF('Point Data'!D51&gt;Standings!$Q$27,"",SUMIFS($L$2:$L$225,$D$2:$D$225,D51))</f>
        <v>608</v>
      </c>
      <c r="R51" s="249">
        <f ca="1">IF($D51&gt;Standings!$Q$27,"",IF(U51="T",(Z51+0.5)/(D51)*100,(Z51/D51)*100))</f>
        <v>62.5</v>
      </c>
      <c r="S51" s="248">
        <f ca="1">IF($D51&gt;Standings!$Q$27,"",$J51-$K51)</f>
        <v>-3.6599999999999966</v>
      </c>
      <c r="T51" s="248">
        <f ca="1">IF($D51&gt;Standings!$Q$27,"",AVERAGE(OFFSET(S51,(-$D51+1),0,1,1):S51))</f>
        <v>14.714999999999996</v>
      </c>
      <c r="U51" s="172">
        <f ca="1">IF($D51&gt;Standings!$Q$27,"",IF(J51&gt;K51,1,IF(J51=K51,"T",0)))</f>
        <v>0</v>
      </c>
      <c r="V51" s="172">
        <f ca="1">IF($D51&gt;Standings!$Q$27,"",IF(F51="Conf",V50,SUMIFS($U$2:$U$225,$D$2:$D$225,"&lt;="&amp;$D51,$B$2:$B$225,$B51,$F$2:$F$225,"Non Conf")))</f>
        <v>3</v>
      </c>
      <c r="W51" s="172" t="str">
        <f ca="1">IF($D51&gt;Standings!$Q$27,"",$V51&amp;"-"&amp;COUNTIF(OFFSET($F51,(-$D51+1),0,1,1):$F51,"Non Conf")-$V51)</f>
        <v>3-1</v>
      </c>
      <c r="X51" s="172">
        <f ca="1">IF($D51&gt;Standings!$Q$27,"",SUMIFS($U$2:$U$225,$D$2:$D$225,"&lt;="&amp;$D51,$B$2:$B$225,$B51,$F$2:$F$225,"Conf"))</f>
        <v>2</v>
      </c>
      <c r="Y51" s="172" t="str">
        <f ca="1">IF($D51&gt;Standings!$Q$27,"",$X51&amp;"-"&amp;COUNTIF(OFFSET($F51,(-$D51+1),0,1,1):$F51,"Conf")-$X51)</f>
        <v>2-2</v>
      </c>
      <c r="Z51" s="172">
        <f ca="1">IF($D51&gt;Standings!$Q$27,"",SUM(OFFSET(U51,(-$D51+1),0,1,1):U51))</f>
        <v>5</v>
      </c>
      <c r="AA51" s="172">
        <f ca="1">IF($D51&gt;Standings!$Q$27,"",IF(U51=1,1+AA50,0))</f>
        <v>0</v>
      </c>
      <c r="AB51" s="250">
        <f ca="1">IF($D51&gt;Standings!$Q$27,"",IF(AA51=0,1+AB50,0))</f>
        <v>1</v>
      </c>
      <c r="AC51" s="251">
        <f ca="1">IF($D51&gt;Standings!$Q$27,"",SUM(OFFSET(J51,(-$D51+1),0,1,1):J51))</f>
        <v>827.69</v>
      </c>
      <c r="AD51" s="248">
        <f ca="1">IF($D51&gt;Standings!$Q$27,"",SUM(OFFSET(K51,(-$D51+1),0,1,1):K51))</f>
        <v>709.97</v>
      </c>
      <c r="AE51" s="248">
        <f ca="1">IF($D51&gt;Standings!$Q$27,"",$J51-$K51)</f>
        <v>-3.6599999999999966</v>
      </c>
      <c r="AF51" s="248">
        <f ca="1">IF($D51&gt;Standings!$Q$27,"",AC51-AD51)</f>
        <v>117.72000000000003</v>
      </c>
      <c r="AG51" s="252">
        <f ca="1">IF($D51&gt;Standings!$Q$27,"",(COUNTIFS($D$2:$D$225,$D51,$C$2:$C$225,$C51,$AC$2:$AC$225,"&lt;"&amp;$AC51)+1)*0.01)</f>
        <v>0.04</v>
      </c>
      <c r="AH51" s="252">
        <f ca="1">IF($D51&gt;Standings!$Q$27,"",Z51+AG51)</f>
        <v>5.04</v>
      </c>
      <c r="AI51" s="252"/>
      <c r="AJ51" s="172">
        <f t="array" aca="1" ref="AJ51" ca="1">IF($D51&gt;Standings!$Q$27,"",(COUNTIFS($D$2:$D$225,$D51,$C$2:$C$225,$C51,$AM$2:$AM$225,"&gt;"&amp;$AM51)+1))</f>
        <v>4</v>
      </c>
      <c r="AK51" s="172">
        <f t="array" aca="1" ref="AK51" ca="1">IF($D51&gt;Standings!$Q$27,"",IF((COUNTIFS($D$2:$D$225,$D51,$C$2:$C$225,$C51,$AH$2:$AH$225,"&gt;"&amp;$AH51)+1)=2,1,0))</f>
        <v>0</v>
      </c>
      <c r="AL51" s="172">
        <f t="array" aca="1" ref="AL51" ca="1">IF($D51&gt;Standings!$Q$27,"",IF((COUNTIFS($D$2:$D$225,$D51,$C$2:$C$225,$C51,$AH$2:$AH$225,"&gt;"&amp;$AH51)+1)&lt;2,1,0))</f>
        <v>0</v>
      </c>
      <c r="AM51" s="172">
        <f ca="1">IF($D51&gt;Standings!$Q$27,"",IF(AL51=1,200+Z51+(16-AQ51)*0.01+AI51,IF(AK51=1,100+Z51+(16-AQ51)*0.01+AI51,IF(AN51=1,50+Z51+(16-AQ51)*0.01,IF(AO51=1,15+Z51+(16-AQ51)*0.01,Z51+(16-AQ51)*0.01+AI51)))))</f>
        <v>5.08</v>
      </c>
      <c r="AN51" s="172">
        <f ca="1">IF($D51&gt;Standings!$Q$27,"",IF(OR($AK51=1,$AL51=1),"Conf Playoff Spot",COUNTIFS($AL$2:$AL$225,0,$AK$2:$AK$225,0,$C$2:$C$225,$C51,$D$2:$D$225,$D51,$AC$2:$AC$225,"&gt;"&amp;$AC51)+1))</f>
        <v>3</v>
      </c>
      <c r="AO51" s="172">
        <f t="array" aca="1" ref="AO51" ca="1">IF($D51&gt;Standings!$Q$27,"",IF(OR($AK51=1,$AL51=1),"Conf Playoff Spot",COUNTIFS($AK$2:$AK$225,0,$AL$2:$AL$225,0,$D$2:$D$225,$D51,$AH$2:$AH$225,"&gt;"&amp;$AH51)+1))</f>
        <v>2</v>
      </c>
      <c r="AP51" s="172">
        <f t="array" aca="1" ref="AP51" ca="1">IF($D51&gt;Standings!$Q$27,"",(COUNTIFS($D$2:$D$225,$D51,$J$2:$J$225,"&gt;"&amp;$J51)+1))</f>
        <v>6</v>
      </c>
      <c r="AQ51" s="249">
        <f ca="1">IF($D51&gt;Standings!$Q$27,"",(COUNTIFS($D$2:$D$225,$D51,$AC$2:$AC$225,"&gt;"&amp;$AC51)+1))</f>
        <v>8</v>
      </c>
      <c r="AR51" s="249">
        <f ca="1">IF($D51&gt;Standings!$Q$27,"",(COUNTIFS($D$2:$D$225,$D51,$K$2:$K$225,"&gt;"&amp;$K51)+1))</f>
        <v>5</v>
      </c>
      <c r="AS51" s="249">
        <f ca="1">IF($D51&gt;Standings!$Q$27,"",(COUNTIFS($D$2:$D$225,$D51,$AD$2:$AD$225,"&gt;"&amp;$AD51)+1))</f>
        <v>16</v>
      </c>
      <c r="AT51" s="354">
        <f ca="1">IF($D51&gt;Standings!$Q$27,"",SUMIFS($J$2:$J$225,$D$2:$D$225,$D51,$C$2:$C$225,$C51))</f>
        <v>724.6400000000001</v>
      </c>
      <c r="AU51" s="253">
        <f ca="1">IF($D51&gt;Standings!$Q$27,"",SUMIFS($AC$2:$AC$225,$D$2:$D$225,$D51,$C$2:$C$225,$C51))</f>
        <v>6668.24</v>
      </c>
    </row>
    <row r="52" spans="1:47">
      <c r="A52" s="190">
        <f t="shared" si="0"/>
        <v>131</v>
      </c>
      <c r="B52" s="198" t="str">
        <f>'ESPN Data'!$L$7</f>
        <v>Team 4</v>
      </c>
      <c r="C52" s="346" t="str">
        <f>VLOOKUP(B52,'ESPN Data'!$L$4:$M$19,2,FALSE)</f>
        <v>Bone</v>
      </c>
      <c r="D52" s="397">
        <v>9</v>
      </c>
      <c r="E52" s="267" t="str">
        <f t="array" ref="E52">INDEX('ESPN Data'!$C$3:$C$226,MATCH(1,('ESPN Data'!$A$3:$A$226='Point Data'!$D52)*('ESPN Data'!$B$3:$B$226='Point Data'!$B52),0))</f>
        <v>Team 11</v>
      </c>
      <c r="F52" s="250" t="str">
        <f>IF(C52&lt;&gt;VLOOKUP($E52,'ESPN Data'!$L$4:$M$19,2,FALSE),"Non Conf", "Conf")</f>
        <v>Non Conf</v>
      </c>
      <c r="G52" s="246">
        <f t="array" aca="1" ref="G52" ca="1">IF('Point Data'!$D52&gt;Standings!$Q$27,"",(COUNTIFS($D$2:$D$225,$D52,$AM$2:$AM$225,"&gt;"&amp;$AM52)+1))</f>
        <v>10</v>
      </c>
      <c r="H52" s="247">
        <f ca="1">IF('Point Data'!$D52&gt;Standings!$Q$27,"",$G51)</f>
        <v>7</v>
      </c>
      <c r="I52" s="249">
        <f ca="1">IF('Point Data'!D52&gt;Standings!$Q$27,"",H52-G52)</f>
        <v>-3</v>
      </c>
      <c r="J52" s="247">
        <f ca="1">IF('Point Data'!D52&gt;Standings!$Q$27,"",OFFSET('ESPN Data'!D$3,$A52,0,1,1))</f>
        <v>56.32</v>
      </c>
      <c r="K52" s="248">
        <f ca="1">IF('Point Data'!D52&gt;Standings!$Q$27,"",OFFSET('ESPN Data'!E$3,$A52,0,1,1))</f>
        <v>95.29</v>
      </c>
      <c r="L52" s="249">
        <f ca="1">IF('Point Data'!D52&gt;Standings!$Q$27,"",OFFSET('ESPN Data'!I$3,$A52,0,1,1))</f>
        <v>52</v>
      </c>
      <c r="M52" s="249">
        <f ca="1">IF('Point Data'!D52&gt;Standings!$Q$27,"",OFFSET('ESPN Data'!I$3,$A52,-2,1,1))</f>
        <v>0</v>
      </c>
      <c r="N52" s="249">
        <f ca="1">IF('Point Data'!D52&gt;Standings!$Q$27,"",SUMIFS($M$2:$M$225,$D$2:$D$225,D52,$C$2:$C$225,C52))</f>
        <v>35</v>
      </c>
      <c r="O52" s="249">
        <f ca="1">IF('Point Data'!D52&gt;Standings!$Q$27,"",SUMIFS($L$2:$L$225,$D$2:$D$225,$D52,$C$2:$C$225,$C52))</f>
        <v>305</v>
      </c>
      <c r="P52" s="249">
        <f ca="1">IF('Point Data'!D52&gt;Standings!$Q$27,"",SUMIFS($M$2:$M$225,$D$2:$D$225,D52))</f>
        <v>63</v>
      </c>
      <c r="Q52" s="249">
        <f ca="1">IF('Point Data'!D52&gt;Standings!$Q$27,"",SUMIFS($L$2:$L$225,$D$2:$D$225,D52))</f>
        <v>545</v>
      </c>
      <c r="R52" s="249">
        <f ca="1">IF($D52&gt;Standings!$Q$27,"",IF(U52="T",(Z52+0.5)/(D52)*100,(Z52/D52)*100))</f>
        <v>55.555555555555557</v>
      </c>
      <c r="S52" s="248">
        <f ca="1">IF($D52&gt;Standings!$Q$27,"",$J52-$K52)</f>
        <v>-38.970000000000006</v>
      </c>
      <c r="T52" s="248">
        <f ca="1">IF($D52&gt;Standings!$Q$27,"",AVERAGE(OFFSET(S52,(-$D52+1),0,1,1):S52))</f>
        <v>8.7499999999999964</v>
      </c>
      <c r="U52" s="172">
        <f ca="1">IF($D52&gt;Standings!$Q$27,"",IF(J52&gt;K52,1,IF(J52=K52,"T",0)))</f>
        <v>0</v>
      </c>
      <c r="V52" s="172">
        <f ca="1">IF($D52&gt;Standings!$Q$27,"",IF(F52="Conf",V51,SUMIFS($U$2:$U$225,$D$2:$D$225,"&lt;="&amp;$D52,$B$2:$B$225,$B52,$F$2:$F$225,"Non Conf")))</f>
        <v>3</v>
      </c>
      <c r="W52" s="172" t="str">
        <f ca="1">IF($D52&gt;Standings!$Q$27,"",$V52&amp;"-"&amp;COUNTIF(OFFSET($F52,(-$D52+1),0,1,1):$F52,"Non Conf")-$V52)</f>
        <v>3-2</v>
      </c>
      <c r="X52" s="172">
        <f ca="1">IF($D52&gt;Standings!$Q$27,"",SUMIFS($U$2:$U$225,$D$2:$D$225,"&lt;="&amp;$D52,$B$2:$B$225,$B52,$F$2:$F$225,"Conf"))</f>
        <v>2</v>
      </c>
      <c r="Y52" s="172" t="str">
        <f ca="1">IF($D52&gt;Standings!$Q$27,"",$X52&amp;"-"&amp;COUNTIF(OFFSET($F52,(-$D52+1),0,1,1):$F52,"Conf")-$X52)</f>
        <v>2-2</v>
      </c>
      <c r="Z52" s="172">
        <f ca="1">IF($D52&gt;Standings!$Q$27,"",SUM(OFFSET(U52,(-$D52+1),0,1,1):U52))</f>
        <v>5</v>
      </c>
      <c r="AA52" s="172">
        <f ca="1">IF($D52&gt;Standings!$Q$27,"",IF(U52=1,1+AA51,0))</f>
        <v>0</v>
      </c>
      <c r="AB52" s="250">
        <f ca="1">IF($D52&gt;Standings!$Q$27,"",IF(AA52=0,1+AB51,0))</f>
        <v>2</v>
      </c>
      <c r="AC52" s="251">
        <f ca="1">IF($D52&gt;Standings!$Q$27,"",SUM(OFFSET(J52,(-$D52+1),0,1,1):J52))</f>
        <v>884.0100000000001</v>
      </c>
      <c r="AD52" s="248">
        <f ca="1">IF($D52&gt;Standings!$Q$27,"",SUM(OFFSET(K52,(-$D52+1),0,1,1):K52))</f>
        <v>805.26</v>
      </c>
      <c r="AE52" s="248">
        <f ca="1">IF($D52&gt;Standings!$Q$27,"",$J52-$K52)</f>
        <v>-38.970000000000006</v>
      </c>
      <c r="AF52" s="248">
        <f ca="1">IF($D52&gt;Standings!$Q$27,"",AC52-AD52)</f>
        <v>78.750000000000114</v>
      </c>
      <c r="AG52" s="252">
        <f ca="1">IF($D52&gt;Standings!$Q$27,"",(COUNTIFS($D$2:$D$225,$D52,$C$2:$C$225,$C52,$AC$2:$AC$225,"&lt;"&amp;$AC52)+1)*0.01)</f>
        <v>0.03</v>
      </c>
      <c r="AH52" s="252">
        <f ca="1">IF($D52&gt;Standings!$Q$27,"",Z52+AG52)</f>
        <v>5.03</v>
      </c>
      <c r="AI52" s="252"/>
      <c r="AJ52" s="172">
        <f t="array" aca="1" ref="AJ52" ca="1">IF($D52&gt;Standings!$Q$27,"",(COUNTIFS($D$2:$D$225,$D52,$C$2:$C$225,$C52,$AM$2:$AM$225,"&gt;"&amp;$AM52)+1))</f>
        <v>6</v>
      </c>
      <c r="AK52" s="172">
        <f t="array" aca="1" ref="AK52" ca="1">IF($D52&gt;Standings!$Q$27,"",IF((COUNTIFS($D$2:$D$225,$D52,$C$2:$C$225,$C52,$AH$2:$AH$225,"&gt;"&amp;$AH52)+1)=2,1,0))</f>
        <v>0</v>
      </c>
      <c r="AL52" s="172">
        <f t="array" aca="1" ref="AL52" ca="1">IF($D52&gt;Standings!$Q$27,"",IF((COUNTIFS($D$2:$D$225,$D52,$C$2:$C$225,$C52,$AH$2:$AH$225,"&gt;"&amp;$AH52)+1)&lt;2,1,0))</f>
        <v>0</v>
      </c>
      <c r="AM52" s="172">
        <f ca="1">IF($D52&gt;Standings!$Q$27,"",IF(AL52=1,200+Z52+(16-AQ52)*0.01+AI52,IF(AK52=1,100+Z52+(16-AQ52)*0.01+AI52,IF(AN52=1,50+Z52+(16-AQ52)*0.01,IF(AO52=1,15+Z52+(16-AQ52)*0.01,Z52+(16-AQ52)*0.01+AI52)))))</f>
        <v>5.05</v>
      </c>
      <c r="AN52" s="172">
        <f ca="1">IF($D52&gt;Standings!$Q$27,"",IF(OR($AK52=1,$AL52=1),"Conf Playoff Spot",COUNTIFS($AL$2:$AL$225,0,$AK$2:$AK$225,0,$C$2:$C$225,$C52,$D$2:$D$225,$D52,$AC$2:$AC$225,"&gt;"&amp;$AC52)+1))</f>
        <v>4</v>
      </c>
      <c r="AO52" s="172">
        <f t="array" aca="1" ref="AO52" ca="1">IF($D52&gt;Standings!$Q$27,"",IF(OR($AK52=1,$AL52=1),"Conf Playoff Spot",COUNTIFS($AK$2:$AK$225,0,$AL$2:$AL$225,0,$D$2:$D$225,$D52,$AH$2:$AH$225,"&gt;"&amp;$AH52)+1))</f>
        <v>6</v>
      </c>
      <c r="AP52" s="172">
        <f t="array" aca="1" ref="AP52" ca="1">IF($D52&gt;Standings!$Q$27,"",(COUNTIFS($D$2:$D$225,$D52,$J$2:$J$225,"&gt;"&amp;$J52)+1))</f>
        <v>16</v>
      </c>
      <c r="AQ52" s="249">
        <f ca="1">IF($D52&gt;Standings!$Q$27,"",(COUNTIFS($D$2:$D$225,$D52,$AC$2:$AC$225,"&gt;"&amp;$AC52)+1))</f>
        <v>11</v>
      </c>
      <c r="AR52" s="249">
        <f ca="1">IF($D52&gt;Standings!$Q$27,"",(COUNTIFS($D$2:$D$225,$D52,$K$2:$K$225,"&gt;"&amp;$K52)+1))</f>
        <v>7</v>
      </c>
      <c r="AS52" s="249">
        <f ca="1">IF($D52&gt;Standings!$Q$27,"",(COUNTIFS($D$2:$D$225,$D52,$AD$2:$AD$225,"&gt;"&amp;$AD52)+1))</f>
        <v>16</v>
      </c>
      <c r="AT52" s="354">
        <f ca="1">IF($D52&gt;Standings!$Q$27,"",SUMIFS($J$2:$J$225,$D$2:$D$225,$D52,$C$2:$C$225,$C52))</f>
        <v>780.12</v>
      </c>
      <c r="AU52" s="253">
        <f ca="1">IF($D52&gt;Standings!$Q$27,"",SUMIFS($AC$2:$AC$225,$D$2:$D$225,$D52,$C$2:$C$225,$C52))</f>
        <v>7448.3600000000006</v>
      </c>
    </row>
    <row r="53" spans="1:47">
      <c r="A53" s="190">
        <f t="shared" si="0"/>
        <v>147</v>
      </c>
      <c r="B53" s="198" t="str">
        <f>'ESPN Data'!$L$7</f>
        <v>Team 4</v>
      </c>
      <c r="C53" s="346" t="str">
        <f>VLOOKUP(B53,'ESPN Data'!$L$4:$M$19,2,FALSE)</f>
        <v>Bone</v>
      </c>
      <c r="D53" s="397">
        <v>10</v>
      </c>
      <c r="E53" s="267" t="str">
        <f t="array" ref="E53">INDEX('ESPN Data'!$C$3:$C$226,MATCH(1,('ESPN Data'!$A$3:$A$226='Point Data'!$D53)*('ESPN Data'!$B$3:$B$226='Point Data'!$B53),0))</f>
        <v>Team 7</v>
      </c>
      <c r="F53" s="250" t="str">
        <f>IF(C53&lt;&gt;VLOOKUP($E53,'ESPN Data'!$L$4:$M$19,2,FALSE),"Non Conf", "Conf")</f>
        <v>Conf</v>
      </c>
      <c r="G53" s="246">
        <f t="array" aca="1" ref="G53" ca="1">IF('Point Data'!$D53&gt;Standings!$Q$27,"",(COUNTIFS($D$2:$D$225,$D53,$AM$2:$AM$225,"&gt;"&amp;$AM53)+1))</f>
        <v>10</v>
      </c>
      <c r="H53" s="247">
        <f ca="1">IF('Point Data'!$D53&gt;Standings!$Q$27,"",$G52)</f>
        <v>10</v>
      </c>
      <c r="I53" s="249">
        <f ca="1">IF('Point Data'!D53&gt;Standings!$Q$27,"",H53-G53)</f>
        <v>0</v>
      </c>
      <c r="J53" s="247">
        <f ca="1">IF('Point Data'!D53&gt;Standings!$Q$27,"",OFFSET('ESPN Data'!D$3,$A53,0,1,1))</f>
        <v>100.87</v>
      </c>
      <c r="K53" s="248">
        <f ca="1">IF('Point Data'!D53&gt;Standings!$Q$27,"",OFFSET('ESPN Data'!E$3,$A53,0,1,1))</f>
        <v>104.01</v>
      </c>
      <c r="L53" s="249">
        <f ca="1">IF('Point Data'!D53&gt;Standings!$Q$27,"",OFFSET('ESPN Data'!I$3,$A53,0,1,1))</f>
        <v>39</v>
      </c>
      <c r="M53" s="249">
        <f ca="1">IF('Point Data'!D53&gt;Standings!$Q$27,"",OFFSET('ESPN Data'!I$3,$A53,-2,1,1))</f>
        <v>13</v>
      </c>
      <c r="N53" s="249">
        <f ca="1">IF('Point Data'!D53&gt;Standings!$Q$27,"",SUMIFS($M$2:$M$225,$D$2:$D$225,D53,$C$2:$C$225,C53))</f>
        <v>19</v>
      </c>
      <c r="O53" s="249">
        <f ca="1">IF('Point Data'!D53&gt;Standings!$Q$27,"",SUMIFS($L$2:$L$225,$D$2:$D$225,$D53,$C$2:$C$225,$C53))</f>
        <v>286</v>
      </c>
      <c r="P53" s="249">
        <f ca="1">IF('Point Data'!D53&gt;Standings!$Q$27,"",SUMIFS($M$2:$M$225,$D$2:$D$225,D53))</f>
        <v>32</v>
      </c>
      <c r="Q53" s="249">
        <f ca="1">IF('Point Data'!D53&gt;Standings!$Q$27,"",SUMIFS($L$2:$L$225,$D$2:$D$225,D53))</f>
        <v>513</v>
      </c>
      <c r="R53" s="249">
        <f ca="1">IF($D53&gt;Standings!$Q$27,"",IF(U53="T",(Z53+0.5)/(D53)*100,(Z53/D53)*100))</f>
        <v>50</v>
      </c>
      <c r="S53" s="248">
        <f ca="1">IF($D53&gt;Standings!$Q$27,"",$J53-$K53)</f>
        <v>-3.1400000000000006</v>
      </c>
      <c r="T53" s="248">
        <f ca="1">IF($D53&gt;Standings!$Q$27,"",AVERAGE(OFFSET(S53,(-$D53+1),0,1,1):S53))</f>
        <v>7.5609999999999973</v>
      </c>
      <c r="U53" s="172">
        <f ca="1">IF($D53&gt;Standings!$Q$27,"",IF(J53&gt;K53,1,IF(J53=K53,"T",0)))</f>
        <v>0</v>
      </c>
      <c r="V53" s="172">
        <f ca="1">IF($D53&gt;Standings!$Q$27,"",IF(F53="Conf",V52,SUMIFS($U$2:$U$225,$D$2:$D$225,"&lt;="&amp;$D53,$B$2:$B$225,$B53,$F$2:$F$225,"Non Conf")))</f>
        <v>3</v>
      </c>
      <c r="W53" s="172" t="str">
        <f ca="1">IF($D53&gt;Standings!$Q$27,"",$V53&amp;"-"&amp;COUNTIF(OFFSET($F53,(-$D53+1),0,1,1):$F53,"Non Conf")-$V53)</f>
        <v>3-2</v>
      </c>
      <c r="X53" s="172">
        <f ca="1">IF($D53&gt;Standings!$Q$27,"",SUMIFS($U$2:$U$225,$D$2:$D$225,"&lt;="&amp;$D53,$B$2:$B$225,$B53,$F$2:$F$225,"Conf"))</f>
        <v>2</v>
      </c>
      <c r="Y53" s="172" t="str">
        <f ca="1">IF($D53&gt;Standings!$Q$27,"",$X53&amp;"-"&amp;COUNTIF(OFFSET($F53,(-$D53+1),0,1,1):$F53,"Conf")-$X53)</f>
        <v>2-3</v>
      </c>
      <c r="Z53" s="172">
        <f ca="1">IF($D53&gt;Standings!$Q$27,"",SUM(OFFSET(U53,(-$D53+1),0,1,1):U53))</f>
        <v>5</v>
      </c>
      <c r="AA53" s="172">
        <f ca="1">IF($D53&gt;Standings!$Q$27,"",IF(U53=1,1+AA52,0))</f>
        <v>0</v>
      </c>
      <c r="AB53" s="250">
        <f ca="1">IF($D53&gt;Standings!$Q$27,"",IF(AA53=0,1+AB52,0))</f>
        <v>3</v>
      </c>
      <c r="AC53" s="251">
        <f ca="1">IF($D53&gt;Standings!$Q$27,"",SUM(OFFSET(J53,(-$D53+1),0,1,1):J53))</f>
        <v>984.88000000000011</v>
      </c>
      <c r="AD53" s="248">
        <f ca="1">IF($D53&gt;Standings!$Q$27,"",SUM(OFFSET(K53,(-$D53+1),0,1,1):K53))</f>
        <v>909.27</v>
      </c>
      <c r="AE53" s="248">
        <f ca="1">IF($D53&gt;Standings!$Q$27,"",$J53-$K53)</f>
        <v>-3.1400000000000006</v>
      </c>
      <c r="AF53" s="248">
        <f ca="1">IF($D53&gt;Standings!$Q$27,"",AC53-AD53)</f>
        <v>75.610000000000127</v>
      </c>
      <c r="AG53" s="252">
        <f ca="1">IF($D53&gt;Standings!$Q$27,"",(COUNTIFS($D$2:$D$225,$D53,$C$2:$C$225,$C53,$AC$2:$AC$225,"&lt;"&amp;$AC53)+1)*0.01)</f>
        <v>0.03</v>
      </c>
      <c r="AH53" s="252">
        <f ca="1">IF($D53&gt;Standings!$Q$27,"",Z53+AG53)</f>
        <v>5.03</v>
      </c>
      <c r="AI53" s="252"/>
      <c r="AJ53" s="172">
        <f t="array" aca="1" ref="AJ53" ca="1">IF($D53&gt;Standings!$Q$27,"",(COUNTIFS($D$2:$D$225,$D53,$C$2:$C$225,$C53,$AM$2:$AM$225,"&gt;"&amp;$AM53)+1))</f>
        <v>6</v>
      </c>
      <c r="AK53" s="172">
        <f t="array" aca="1" ref="AK53" ca="1">IF($D53&gt;Standings!$Q$27,"",IF((COUNTIFS($D$2:$D$225,$D53,$C$2:$C$225,$C53,$AH$2:$AH$225,"&gt;"&amp;$AH53)+1)=2,1,0))</f>
        <v>0</v>
      </c>
      <c r="AL53" s="172">
        <f t="array" aca="1" ref="AL53" ca="1">IF($D53&gt;Standings!$Q$27,"",IF((COUNTIFS($D$2:$D$225,$D53,$C$2:$C$225,$C53,$AH$2:$AH$225,"&gt;"&amp;$AH53)+1)&lt;2,1,0))</f>
        <v>0</v>
      </c>
      <c r="AM53" s="172">
        <f ca="1">IF($D53&gt;Standings!$Q$27,"",IF(AL53=1,200+Z53+(16-AQ53)*0.01+AI53,IF(AK53=1,100+Z53+(16-AQ53)*0.01+AI53,IF(AN53=1,50+Z53+(16-AQ53)*0.01,IF(AO53=1,15+Z53+(16-AQ53)*0.01,Z53+(16-AQ53)*0.01+AI53)))))</f>
        <v>5.07</v>
      </c>
      <c r="AN53" s="172">
        <f ca="1">IF($D53&gt;Standings!$Q$27,"",IF(OR($AK53=1,$AL53=1),"Conf Playoff Spot",COUNTIFS($AL$2:$AL$225,0,$AK$2:$AK$225,0,$C$2:$C$225,$C53,$D$2:$D$225,$D53,$AC$2:$AC$225,"&gt;"&amp;$AC53)+1))</f>
        <v>4</v>
      </c>
      <c r="AO53" s="172">
        <f t="array" aca="1" ref="AO53" ca="1">IF($D53&gt;Standings!$Q$27,"",IF(OR($AK53=1,$AL53=1),"Conf Playoff Spot",COUNTIFS($AK$2:$AK$225,0,$AL$2:$AL$225,0,$D$2:$D$225,$D53,$AH$2:$AH$225,"&gt;"&amp;$AH53)+1))</f>
        <v>6</v>
      </c>
      <c r="AP53" s="172">
        <f t="array" aca="1" ref="AP53" ca="1">IF($D53&gt;Standings!$Q$27,"",(COUNTIFS($D$2:$D$225,$D53,$J$2:$J$225,"&gt;"&amp;$J53)+1))</f>
        <v>7</v>
      </c>
      <c r="AQ53" s="249">
        <f ca="1">IF($D53&gt;Standings!$Q$27,"",(COUNTIFS($D$2:$D$225,$D53,$AC$2:$AC$225,"&gt;"&amp;$AC53)+1))</f>
        <v>9</v>
      </c>
      <c r="AR53" s="249">
        <f ca="1">IF($D53&gt;Standings!$Q$27,"",(COUNTIFS($D$2:$D$225,$D53,$K$2:$K$225,"&gt;"&amp;$K53)+1))</f>
        <v>5</v>
      </c>
      <c r="AS53" s="249">
        <f ca="1">IF($D53&gt;Standings!$Q$27,"",(COUNTIFS($D$2:$D$225,$D53,$AD$2:$AD$225,"&gt;"&amp;$AD53)+1))</f>
        <v>16</v>
      </c>
      <c r="AT53" s="354">
        <f ca="1">IF($D53&gt;Standings!$Q$27,"",SUMIFS($J$2:$J$225,$D$2:$D$225,$D53,$C$2:$C$225,$C53))</f>
        <v>753.38</v>
      </c>
      <c r="AU53" s="253">
        <f ca="1">IF($D53&gt;Standings!$Q$27,"",SUMIFS($AC$2:$AC$225,$D$2:$D$225,$D53,$C$2:$C$225,$C53))</f>
        <v>8201.74</v>
      </c>
    </row>
    <row r="54" spans="1:47">
      <c r="A54" s="190">
        <f t="shared" si="0"/>
        <v>163</v>
      </c>
      <c r="B54" s="198" t="str">
        <f>'ESPN Data'!$L$7</f>
        <v>Team 4</v>
      </c>
      <c r="C54" s="346" t="str">
        <f>VLOOKUP(B54,'ESPN Data'!$L$4:$M$19,2,FALSE)</f>
        <v>Bone</v>
      </c>
      <c r="D54" s="397">
        <v>11</v>
      </c>
      <c r="E54" s="267" t="str">
        <f t="array" ref="E54">INDEX('ESPN Data'!$C$3:$C$226,MATCH(1,('ESPN Data'!$A$3:$A$226='Point Data'!$D54)*('ESPN Data'!$B$3:$B$226='Point Data'!$B54),0))</f>
        <v>Team 10</v>
      </c>
      <c r="F54" s="250" t="str">
        <f>IF(C54&lt;&gt;VLOOKUP($E54,'ESPN Data'!$L$4:$M$19,2,FALSE),"Non Conf", "Conf")</f>
        <v>Non Conf</v>
      </c>
      <c r="G54" s="246">
        <f t="array" aca="1" ref="G54" ca="1">IF('Point Data'!$D54&gt;Standings!$Q$27,"",(COUNTIFS($D$2:$D$225,$D54,$AM$2:$AM$225,"&gt;"&amp;$AM54)+1))</f>
        <v>9</v>
      </c>
      <c r="H54" s="247">
        <f ca="1">IF('Point Data'!$D54&gt;Standings!$Q$27,"",$G53)</f>
        <v>10</v>
      </c>
      <c r="I54" s="249">
        <f ca="1">IF('Point Data'!D54&gt;Standings!$Q$27,"",H54-G54)</f>
        <v>1</v>
      </c>
      <c r="J54" s="247">
        <f ca="1">IF('Point Data'!D54&gt;Standings!$Q$27,"",OFFSET('ESPN Data'!D$3,$A54,0,1,1))</f>
        <v>91.73</v>
      </c>
      <c r="K54" s="248">
        <f ca="1">IF('Point Data'!D54&gt;Standings!$Q$27,"",OFFSET('ESPN Data'!E$3,$A54,0,1,1))</f>
        <v>91.31</v>
      </c>
      <c r="L54" s="249">
        <f ca="1">IF('Point Data'!D54&gt;Standings!$Q$27,"",OFFSET('ESPN Data'!I$3,$A54,0,1,1))</f>
        <v>36</v>
      </c>
      <c r="M54" s="249">
        <f ca="1">IF('Point Data'!D54&gt;Standings!$Q$27,"",OFFSET('ESPN Data'!I$3,$A54,-2,1,1))</f>
        <v>3</v>
      </c>
      <c r="N54" s="249">
        <f ca="1">IF('Point Data'!D54&gt;Standings!$Q$27,"",SUMIFS($M$2:$M$225,$D$2:$D$225,D54,$C$2:$C$225,C54))</f>
        <v>51</v>
      </c>
      <c r="O54" s="249">
        <f ca="1">IF('Point Data'!D54&gt;Standings!$Q$27,"",SUMIFS($L$2:$L$225,$D$2:$D$225,$D54,$C$2:$C$225,$C54))</f>
        <v>235</v>
      </c>
      <c r="P54" s="249">
        <f ca="1">IF('Point Data'!D54&gt;Standings!$Q$27,"",SUMIFS($M$2:$M$225,$D$2:$D$225,D54))</f>
        <v>61</v>
      </c>
      <c r="Q54" s="249">
        <f ca="1">IF('Point Data'!D54&gt;Standings!$Q$27,"",SUMIFS($L$2:$L$225,$D$2:$D$225,D54))</f>
        <v>452</v>
      </c>
      <c r="R54" s="249">
        <f ca="1">IF($D54&gt;Standings!$Q$27,"",IF(U54="T",(Z54+0.5)/(D54)*100,(Z54/D54)*100))</f>
        <v>54.54545454545454</v>
      </c>
      <c r="S54" s="248">
        <f ca="1">IF($D54&gt;Standings!$Q$27,"",$J54-$K54)</f>
        <v>0.42000000000000171</v>
      </c>
      <c r="T54" s="248">
        <f ca="1">IF($D54&gt;Standings!$Q$27,"",AVERAGE(OFFSET(S54,(-$D54+1),0,1,1):S54))</f>
        <v>6.9118181818181794</v>
      </c>
      <c r="U54" s="172">
        <f ca="1">IF($D54&gt;Standings!$Q$27,"",IF(J54&gt;K54,1,IF(J54=K54,"T",0)))</f>
        <v>1</v>
      </c>
      <c r="V54" s="172">
        <f ca="1">IF($D54&gt;Standings!$Q$27,"",IF(F54="Conf",V53,SUMIFS($U$2:$U$225,$D$2:$D$225,"&lt;="&amp;$D54,$B$2:$B$225,$B54,$F$2:$F$225,"Non Conf")))</f>
        <v>4</v>
      </c>
      <c r="W54" s="172" t="str">
        <f ca="1">IF($D54&gt;Standings!$Q$27,"",$V54&amp;"-"&amp;COUNTIF(OFFSET($F54,(-$D54+1),0,1,1):$F54,"Non Conf")-$V54)</f>
        <v>4-2</v>
      </c>
      <c r="X54" s="172">
        <f ca="1">IF($D54&gt;Standings!$Q$27,"",SUMIFS($U$2:$U$225,$D$2:$D$225,"&lt;="&amp;$D54,$B$2:$B$225,$B54,$F$2:$F$225,"Conf"))</f>
        <v>2</v>
      </c>
      <c r="Y54" s="172" t="str">
        <f ca="1">IF($D54&gt;Standings!$Q$27,"",$X54&amp;"-"&amp;COUNTIF(OFFSET($F54,(-$D54+1),0,1,1):$F54,"Conf")-$X54)</f>
        <v>2-3</v>
      </c>
      <c r="Z54" s="172">
        <f ca="1">IF($D54&gt;Standings!$Q$27,"",SUM(OFFSET(U54,(-$D54+1),0,1,1):U54))</f>
        <v>6</v>
      </c>
      <c r="AA54" s="172">
        <f ca="1">IF($D54&gt;Standings!$Q$27,"",IF(U54=1,1+AA53,0))</f>
        <v>1</v>
      </c>
      <c r="AB54" s="250">
        <f ca="1">IF($D54&gt;Standings!$Q$27,"",IF(AA54=0,1+AB53,0))</f>
        <v>0</v>
      </c>
      <c r="AC54" s="251">
        <f ca="1">IF($D54&gt;Standings!$Q$27,"",SUM(OFFSET(J54,(-$D54+1),0,1,1):J54))</f>
        <v>1076.6100000000001</v>
      </c>
      <c r="AD54" s="248">
        <f ca="1">IF($D54&gt;Standings!$Q$27,"",SUM(OFFSET(K54,(-$D54+1),0,1,1):K54))</f>
        <v>1000.5799999999999</v>
      </c>
      <c r="AE54" s="248">
        <f ca="1">IF($D54&gt;Standings!$Q$27,"",$J54-$K54)</f>
        <v>0.42000000000000171</v>
      </c>
      <c r="AF54" s="248">
        <f ca="1">IF($D54&gt;Standings!$Q$27,"",AC54-AD54)</f>
        <v>76.0300000000002</v>
      </c>
      <c r="AG54" s="252">
        <f ca="1">IF($D54&gt;Standings!$Q$27,"",(COUNTIFS($D$2:$D$225,$D54,$C$2:$C$225,$C54,$AC$2:$AC$225,"&lt;"&amp;$AC54)+1)*0.01)</f>
        <v>0.03</v>
      </c>
      <c r="AH54" s="252">
        <f ca="1">IF($D54&gt;Standings!$Q$27,"",Z54+AG54)</f>
        <v>6.03</v>
      </c>
      <c r="AI54" s="252"/>
      <c r="AJ54" s="172">
        <f t="array" aca="1" ref="AJ54" ca="1">IF($D54&gt;Standings!$Q$27,"",(COUNTIFS($D$2:$D$225,$D54,$C$2:$C$225,$C54,$AM$2:$AM$225,"&gt;"&amp;$AM54)+1))</f>
        <v>6</v>
      </c>
      <c r="AK54" s="172">
        <f t="array" aca="1" ref="AK54" ca="1">IF($D54&gt;Standings!$Q$27,"",IF((COUNTIFS($D$2:$D$225,$D54,$C$2:$C$225,$C54,$AH$2:$AH$225,"&gt;"&amp;$AH54)+1)=2,1,0))</f>
        <v>0</v>
      </c>
      <c r="AL54" s="172">
        <f t="array" aca="1" ref="AL54" ca="1">IF($D54&gt;Standings!$Q$27,"",IF((COUNTIFS($D$2:$D$225,$D54,$C$2:$C$225,$C54,$AH$2:$AH$225,"&gt;"&amp;$AH54)+1)&lt;2,1,0))</f>
        <v>0</v>
      </c>
      <c r="AM54" s="172">
        <f ca="1">IF($D54&gt;Standings!$Q$27,"",IF(AL54=1,200+Z54+(16-AQ54)*0.01+AI54,IF(AK54=1,100+Z54+(16-AQ54)*0.01+AI54,IF(AN54=1,50+Z54+(16-AQ54)*0.01,IF(AO54=1,15+Z54+(16-AQ54)*0.01,Z54+(16-AQ54)*0.01+AI54)))))</f>
        <v>6.07</v>
      </c>
      <c r="AN54" s="172">
        <f ca="1">IF($D54&gt;Standings!$Q$27,"",IF(OR($AK54=1,$AL54=1),"Conf Playoff Spot",COUNTIFS($AL$2:$AL$225,0,$AK$2:$AK$225,0,$C$2:$C$225,$C54,$D$2:$D$225,$D54,$AC$2:$AC$225,"&gt;"&amp;$AC54)+1))</f>
        <v>4</v>
      </c>
      <c r="AO54" s="172">
        <f t="array" aca="1" ref="AO54" ca="1">IF($D54&gt;Standings!$Q$27,"",IF(OR($AK54=1,$AL54=1),"Conf Playoff Spot",COUNTIFS($AK$2:$AK$225,0,$AL$2:$AL$225,0,$D$2:$D$225,$D54,$AH$2:$AH$225,"&gt;"&amp;$AH54)+1))</f>
        <v>5</v>
      </c>
      <c r="AP54" s="172">
        <f t="array" aca="1" ref="AP54" ca="1">IF($D54&gt;Standings!$Q$27,"",(COUNTIFS($D$2:$D$225,$D54,$J$2:$J$225,"&gt;"&amp;$J54)+1))</f>
        <v>11</v>
      </c>
      <c r="AQ54" s="249">
        <f ca="1">IF($D54&gt;Standings!$Q$27,"",(COUNTIFS($D$2:$D$225,$D54,$AC$2:$AC$225,"&gt;"&amp;$AC54)+1))</f>
        <v>9</v>
      </c>
      <c r="AR54" s="249">
        <f ca="1">IF($D54&gt;Standings!$Q$27,"",(COUNTIFS($D$2:$D$225,$D54,$K$2:$K$225,"&gt;"&amp;$K54)+1))</f>
        <v>12</v>
      </c>
      <c r="AS54" s="249">
        <f ca="1">IF($D54&gt;Standings!$Q$27,"",(COUNTIFS($D$2:$D$225,$D54,$AD$2:$AD$225,"&gt;"&amp;$AD54)+1))</f>
        <v>16</v>
      </c>
      <c r="AT54" s="354">
        <f ca="1">IF($D54&gt;Standings!$Q$27,"",SUMIFS($J$2:$J$225,$D$2:$D$225,$D54,$C$2:$C$225,$C54))</f>
        <v>833.56000000000006</v>
      </c>
      <c r="AU54" s="253">
        <f ca="1">IF($D54&gt;Standings!$Q$27,"",SUMIFS($AC$2:$AC$225,$D$2:$D$225,$D54,$C$2:$C$225,$C54))</f>
        <v>9035.3000000000011</v>
      </c>
    </row>
    <row r="55" spans="1:47">
      <c r="A55" s="190">
        <f t="shared" si="0"/>
        <v>179</v>
      </c>
      <c r="B55" s="198" t="str">
        <f>'ESPN Data'!$L$7</f>
        <v>Team 4</v>
      </c>
      <c r="C55" s="346" t="str">
        <f>VLOOKUP(B55,'ESPN Data'!$L$4:$M$19,2,FALSE)</f>
        <v>Bone</v>
      </c>
      <c r="D55" s="397">
        <v>12</v>
      </c>
      <c r="E55" s="267" t="str">
        <f t="array" ref="E55">INDEX('ESPN Data'!$C$3:$C$226,MATCH(1,('ESPN Data'!$A$3:$A$226='Point Data'!$D55)*('ESPN Data'!$B$3:$B$226='Point Data'!$B55),0))</f>
        <v>Team 15</v>
      </c>
      <c r="F55" s="250" t="str">
        <f>IF(C55&lt;&gt;VLOOKUP($E55,'ESPN Data'!$L$4:$M$19,2,FALSE),"Non Conf", "Conf")</f>
        <v>Non Conf</v>
      </c>
      <c r="G55" s="246">
        <f t="array" aca="1" ref="G55" ca="1">IF('Point Data'!$D55&gt;Standings!$Q$27,"",(COUNTIFS($D$2:$D$225,$D55,$AM$2:$AM$225,"&gt;"&amp;$AM55)+1))</f>
        <v>9</v>
      </c>
      <c r="H55" s="247">
        <f ca="1">IF('Point Data'!$D55&gt;Standings!$Q$27,"",$G54)</f>
        <v>9</v>
      </c>
      <c r="I55" s="249">
        <f ca="1">IF('Point Data'!D55&gt;Standings!$Q$27,"",H55-G55)</f>
        <v>0</v>
      </c>
      <c r="J55" s="247">
        <f ca="1">IF('Point Data'!D55&gt;Standings!$Q$27,"",OFFSET('ESPN Data'!D$3,$A55,0,1,1))</f>
        <v>117.48</v>
      </c>
      <c r="K55" s="248">
        <f ca="1">IF('Point Data'!D55&gt;Standings!$Q$27,"",OFFSET('ESPN Data'!E$3,$A55,0,1,1))</f>
        <v>64.040000000000006</v>
      </c>
      <c r="L55" s="249">
        <f ca="1">IF('Point Data'!D55&gt;Standings!$Q$27,"",OFFSET('ESPN Data'!I$3,$A55,0,1,1))</f>
        <v>30</v>
      </c>
      <c r="M55" s="249">
        <f ca="1">IF('Point Data'!D55&gt;Standings!$Q$27,"",OFFSET('ESPN Data'!I$3,$A55,-2,1,1))</f>
        <v>6</v>
      </c>
      <c r="N55" s="249">
        <f ca="1">IF('Point Data'!D55&gt;Standings!$Q$27,"",SUMIFS($M$2:$M$225,$D$2:$D$225,D55,$C$2:$C$225,C55))</f>
        <v>6</v>
      </c>
      <c r="O55" s="249">
        <f ca="1">IF('Point Data'!D55&gt;Standings!$Q$27,"",SUMIFS($L$2:$L$225,$D$2:$D$225,$D55,$C$2:$C$225,$C55))</f>
        <v>229</v>
      </c>
      <c r="P55" s="249">
        <f ca="1">IF('Point Data'!D55&gt;Standings!$Q$27,"",SUMIFS($M$2:$M$225,$D$2:$D$225,D55))</f>
        <v>41</v>
      </c>
      <c r="Q55" s="249">
        <f ca="1">IF('Point Data'!D55&gt;Standings!$Q$27,"",SUMIFS($L$2:$L$225,$D$2:$D$225,D55))</f>
        <v>411</v>
      </c>
      <c r="R55" s="249">
        <f ca="1">IF($D55&gt;Standings!$Q$27,"",IF(U55="T",(Z55+0.5)/(D55)*100,(Z55/D55)*100))</f>
        <v>58.333333333333336</v>
      </c>
      <c r="S55" s="248">
        <f ca="1">IF($D55&gt;Standings!$Q$27,"",$J55-$K55)</f>
        <v>53.44</v>
      </c>
      <c r="T55" s="248">
        <f ca="1">IF($D55&gt;Standings!$Q$27,"",AVERAGE(OFFSET(S55,(-$D55+1),0,1,1):S55))</f>
        <v>10.789166666666665</v>
      </c>
      <c r="U55" s="172">
        <f ca="1">IF($D55&gt;Standings!$Q$27,"",IF(J55&gt;K55,1,IF(J55=K55,"T",0)))</f>
        <v>1</v>
      </c>
      <c r="V55" s="172">
        <f ca="1">IF($D55&gt;Standings!$Q$27,"",IF(F55="Conf",V54,SUMIFS($U$2:$U$225,$D$2:$D$225,"&lt;="&amp;$D55,$B$2:$B$225,$B55,$F$2:$F$225,"Non Conf")))</f>
        <v>5</v>
      </c>
      <c r="W55" s="172" t="str">
        <f ca="1">IF($D55&gt;Standings!$Q$27,"",$V55&amp;"-"&amp;COUNTIF(OFFSET($F55,(-$D55+1),0,1,1):$F55,"Non Conf")-$V55)</f>
        <v>5-2</v>
      </c>
      <c r="X55" s="172">
        <f ca="1">IF($D55&gt;Standings!$Q$27,"",SUMIFS($U$2:$U$225,$D$2:$D$225,"&lt;="&amp;$D55,$B$2:$B$225,$B55,$F$2:$F$225,"Conf"))</f>
        <v>2</v>
      </c>
      <c r="Y55" s="172" t="str">
        <f ca="1">IF($D55&gt;Standings!$Q$27,"",$X55&amp;"-"&amp;COUNTIF(OFFSET($F55,(-$D55+1),0,1,1):$F55,"Conf")-$X55)</f>
        <v>2-3</v>
      </c>
      <c r="Z55" s="172">
        <f ca="1">IF($D55&gt;Standings!$Q$27,"",SUM(OFFSET(U55,(-$D55+1),0,1,1):U55))</f>
        <v>7</v>
      </c>
      <c r="AA55" s="172">
        <f ca="1">IF($D55&gt;Standings!$Q$27,"",IF(U55=1,1+AA54,0))</f>
        <v>2</v>
      </c>
      <c r="AB55" s="250">
        <f ca="1">IF($D55&gt;Standings!$Q$27,"",IF(AA55=0,1+AB54,0))</f>
        <v>0</v>
      </c>
      <c r="AC55" s="251">
        <f ca="1">IF($D55&gt;Standings!$Q$27,"",SUM(OFFSET(J55,(-$D55+1),0,1,1):J55))</f>
        <v>1194.0900000000001</v>
      </c>
      <c r="AD55" s="248">
        <f ca="1">IF($D55&gt;Standings!$Q$27,"",SUM(OFFSET(K55,(-$D55+1),0,1,1):K55))</f>
        <v>1064.6199999999999</v>
      </c>
      <c r="AE55" s="248">
        <f ca="1">IF($D55&gt;Standings!$Q$27,"",$J55-$K55)</f>
        <v>53.44</v>
      </c>
      <c r="AF55" s="248">
        <f ca="1">IF($D55&gt;Standings!$Q$27,"",AC55-AD55)</f>
        <v>129.47000000000025</v>
      </c>
      <c r="AG55" s="252">
        <f ca="1">IF($D55&gt;Standings!$Q$27,"",(COUNTIFS($D$2:$D$225,$D55,$C$2:$C$225,$C55,$AC$2:$AC$225,"&lt;"&amp;$AC55)+1)*0.01)</f>
        <v>0.03</v>
      </c>
      <c r="AH55" s="252">
        <f ca="1">IF($D55&gt;Standings!$Q$27,"",Z55+AG55)</f>
        <v>7.03</v>
      </c>
      <c r="AI55" s="252"/>
      <c r="AJ55" s="172">
        <f t="array" aca="1" ref="AJ55" ca="1">IF($D55&gt;Standings!$Q$27,"",(COUNTIFS($D$2:$D$225,$D55,$C$2:$C$225,$C55,$AM$2:$AM$225,"&gt;"&amp;$AM55)+1))</f>
        <v>6</v>
      </c>
      <c r="AK55" s="172">
        <f t="array" aca="1" ref="AK55" ca="1">IF($D55&gt;Standings!$Q$27,"",IF((COUNTIFS($D$2:$D$225,$D55,$C$2:$C$225,$C55,$AH$2:$AH$225,"&gt;"&amp;$AH55)+1)=2,1,0))</f>
        <v>0</v>
      </c>
      <c r="AL55" s="172">
        <f t="array" aca="1" ref="AL55" ca="1">IF($D55&gt;Standings!$Q$27,"",IF((COUNTIFS($D$2:$D$225,$D55,$C$2:$C$225,$C55,$AH$2:$AH$225,"&gt;"&amp;$AH55)+1)&lt;2,1,0))</f>
        <v>0</v>
      </c>
      <c r="AM55" s="172">
        <f ca="1">IF($D55&gt;Standings!$Q$27,"",IF(AL55=1,200+Z55+(16-AQ55)*0.01+AI55,IF(AK55=1,100+Z55+(16-AQ55)*0.01+AI55,IF(AN55=1,50+Z55+(16-AQ55)*0.01,IF(AO55=1,15+Z55+(16-AQ55)*0.01,Z55+(16-AQ55)*0.01+AI55)))))</f>
        <v>7.07</v>
      </c>
      <c r="AN55" s="172">
        <f ca="1">IF($D55&gt;Standings!$Q$27,"",IF(OR($AK55=1,$AL55=1),"Conf Playoff Spot",COUNTIFS($AL$2:$AL$225,0,$AK$2:$AK$225,0,$C$2:$C$225,$C55,$D$2:$D$225,$D55,$AC$2:$AC$225,"&gt;"&amp;$AC55)+1))</f>
        <v>4</v>
      </c>
      <c r="AO55" s="172">
        <f t="array" aca="1" ref="AO55" ca="1">IF($D55&gt;Standings!$Q$27,"",IF(OR($AK55=1,$AL55=1),"Conf Playoff Spot",COUNTIFS($AK$2:$AK$225,0,$AL$2:$AL$225,0,$D$2:$D$225,$D55,$AH$2:$AH$225,"&gt;"&amp;$AH55)+1))</f>
        <v>4</v>
      </c>
      <c r="AP55" s="172">
        <f t="array" aca="1" ref="AP55" ca="1">IF($D55&gt;Standings!$Q$27,"",(COUNTIFS($D$2:$D$225,$D55,$J$2:$J$225,"&gt;"&amp;$J55)+1))</f>
        <v>3</v>
      </c>
      <c r="AQ55" s="249">
        <f ca="1">IF($D55&gt;Standings!$Q$27,"",(COUNTIFS($D$2:$D$225,$D55,$AC$2:$AC$225,"&gt;"&amp;$AC55)+1))</f>
        <v>9</v>
      </c>
      <c r="AR55" s="249">
        <f ca="1">IF($D55&gt;Standings!$Q$27,"",(COUNTIFS($D$2:$D$225,$D55,$K$2:$K$225,"&gt;"&amp;$K55)+1))</f>
        <v>15</v>
      </c>
      <c r="AS55" s="249">
        <f ca="1">IF($D55&gt;Standings!$Q$27,"",(COUNTIFS($D$2:$D$225,$D55,$AD$2:$AD$225,"&gt;"&amp;$AD55)+1))</f>
        <v>16</v>
      </c>
      <c r="AT55" s="354">
        <f ca="1">IF($D55&gt;Standings!$Q$27,"",SUMIFS($J$2:$J$225,$D$2:$D$225,$D55,$C$2:$C$225,$C55))</f>
        <v>841.41000000000008</v>
      </c>
      <c r="AU55" s="253">
        <f ca="1">IF($D55&gt;Standings!$Q$27,"",SUMIFS($AC$2:$AC$225,$D$2:$D$225,$D55,$C$2:$C$225,$C55))</f>
        <v>9876.7100000000009</v>
      </c>
    </row>
    <row r="56" spans="1:47" s="190" customFormat="1">
      <c r="A56" s="190">
        <f t="shared" si="0"/>
        <v>195</v>
      </c>
      <c r="B56" s="227" t="str">
        <f>'ESPN Data'!$L$7</f>
        <v>Team 4</v>
      </c>
      <c r="C56" s="347" t="str">
        <f>VLOOKUP(B56,'ESPN Data'!$L$4:$M$19,2,FALSE)</f>
        <v>Bone</v>
      </c>
      <c r="D56" s="550">
        <v>13</v>
      </c>
      <c r="E56" s="275" t="str">
        <f t="array" ref="E56">INDEX('ESPN Data'!$C$3:$C$226,MATCH(1,('ESPN Data'!$A$3:$A$226='Point Data'!$D56)*('ESPN Data'!$B$3:$B$226='Point Data'!$B56),0))</f>
        <v>Team 8</v>
      </c>
      <c r="F56" s="274" t="str">
        <f>IF(C56&lt;&gt;VLOOKUP($E56,'ESPN Data'!$L$4:$M$19,2,FALSE),"Non Conf", "Conf")</f>
        <v>Conf</v>
      </c>
      <c r="G56" s="271">
        <f t="array" aca="1" ref="G56" ca="1">IF('Point Data'!$D56&gt;Standings!$Q$27,"",(COUNTIFS($D$2:$D$225,$D56,$AM$2:$AM$225,"&gt;"&amp;$AM56)+1))</f>
        <v>8</v>
      </c>
      <c r="H56" s="551">
        <f ca="1">IF('Point Data'!$D56&gt;Standings!$Q$27,"",$G55)</f>
        <v>9</v>
      </c>
      <c r="I56" s="265">
        <f ca="1">IF('Point Data'!D56&gt;Standings!$Q$27,"",H56-G56)</f>
        <v>1</v>
      </c>
      <c r="J56" s="551">
        <f ca="1">IF('Point Data'!D56&gt;Standings!$Q$27,"",OFFSET('ESPN Data'!D$3,$A56,0,1,1))</f>
        <v>104.84</v>
      </c>
      <c r="K56" s="272">
        <f ca="1">IF('Point Data'!D56&gt;Standings!$Q$27,"",OFFSET('ESPN Data'!E$3,$A56,0,1,1))</f>
        <v>102.1</v>
      </c>
      <c r="L56" s="265">
        <f ca="1">IF('Point Data'!D56&gt;Standings!$Q$27,"",OFFSET('ESPN Data'!I$3,$A56,0,1,1))</f>
        <v>28</v>
      </c>
      <c r="M56" s="265">
        <f ca="1">IF('Point Data'!D56&gt;Standings!$Q$27,"",OFFSET('ESPN Data'!I$3,$A56,-2,1,1))</f>
        <v>2</v>
      </c>
      <c r="N56" s="265">
        <f ca="1">IF('Point Data'!D56&gt;Standings!$Q$27,"",SUMIFS($M$2:$M$225,$D$2:$D$225,D56,$C$2:$C$225,C56))</f>
        <v>5</v>
      </c>
      <c r="O56" s="265">
        <f ca="1">IF('Point Data'!D56&gt;Standings!$Q$27,"",SUMIFS($L$2:$L$225,$D$2:$D$225,$D56,$C$2:$C$225,$C56))</f>
        <v>224</v>
      </c>
      <c r="P56" s="265">
        <f ca="1">IF('Point Data'!D56&gt;Standings!$Q$27,"",SUMIFS($M$2:$M$225,$D$2:$D$225,D56))</f>
        <v>41</v>
      </c>
      <c r="Q56" s="265">
        <f ca="1">IF('Point Data'!D56&gt;Standings!$Q$27,"",SUMIFS($L$2:$L$225,$D$2:$D$225,D56))</f>
        <v>370</v>
      </c>
      <c r="R56" s="265">
        <f ca="1">IF($D56&gt;Standings!$Q$27,"",IF(U56="T",(Z56+0.5)/(D56)*100,(Z56/D56)*100))</f>
        <v>61.53846153846154</v>
      </c>
      <c r="S56" s="272">
        <f ca="1">IF($D56&gt;Standings!$Q$27,"",$J56-$K56)</f>
        <v>2.7400000000000091</v>
      </c>
      <c r="T56" s="272">
        <f ca="1">IF($D56&gt;Standings!$Q$27,"",AVERAGE(OFFSET(S56,(-$D56+1),0,1,1):S56))</f>
        <v>10.169999999999998</v>
      </c>
      <c r="U56" s="264">
        <f ca="1">IF($D56&gt;Standings!$Q$27,"",IF(J56&gt;K56,1,IF(J56=K56,"T",0)))</f>
        <v>1</v>
      </c>
      <c r="V56" s="264">
        <f ca="1">IF($D56&gt;Standings!$Q$27,"",IF(F56="Conf",V55,SUMIFS($U$2:$U$225,$D$2:$D$225,"&lt;="&amp;$D56,$B$2:$B$225,$B56,$F$2:$F$225,"Non Conf")))</f>
        <v>5</v>
      </c>
      <c r="W56" s="264" t="str">
        <f ca="1">IF($D56&gt;Standings!$Q$27,"",$V56&amp;"-"&amp;COUNTIF(OFFSET($F56,(-$D56+1),0,1,1):$F56,"Non Conf")-$V56)</f>
        <v>5-2</v>
      </c>
      <c r="X56" s="264">
        <f ca="1">IF($D56&gt;Standings!$Q$27,"",SUMIFS($U$2:$U$225,$D$2:$D$225,"&lt;="&amp;$D56,$B$2:$B$225,$B56,$F$2:$F$225,"Conf"))</f>
        <v>3</v>
      </c>
      <c r="Y56" s="264" t="str">
        <f ca="1">IF($D56&gt;Standings!$Q$27,"",$X56&amp;"-"&amp;COUNTIF(OFFSET($F56,(-$D56+1),0,1,1):$F56,"Conf")-$X56)</f>
        <v>3-3</v>
      </c>
      <c r="Z56" s="264">
        <f ca="1">IF($D56&gt;Standings!$Q$27,"",SUM(OFFSET(U56,(-$D56+1),0,1,1):U56))</f>
        <v>8</v>
      </c>
      <c r="AA56" s="264">
        <f ca="1">IF($D56&gt;Standings!$Q$27,"",IF(U56=1,1+AA55,0))</f>
        <v>3</v>
      </c>
      <c r="AB56" s="274">
        <f ca="1">IF($D56&gt;Standings!$Q$27,"",IF(AA56=0,1+AB55,0))</f>
        <v>0</v>
      </c>
      <c r="AC56" s="273">
        <f ca="1">IF($D56&gt;Standings!$Q$27,"",SUM(OFFSET(J56,(-$D56+1),0,1,1):J56))</f>
        <v>1298.93</v>
      </c>
      <c r="AD56" s="272">
        <f ca="1">IF($D56&gt;Standings!$Q$27,"",SUM(OFFSET(K56,(-$D56+1),0,1,1):K56))</f>
        <v>1166.7199999999998</v>
      </c>
      <c r="AE56" s="272">
        <f ca="1">IF($D56&gt;Standings!$Q$27,"",$J56-$K56)</f>
        <v>2.7400000000000091</v>
      </c>
      <c r="AF56" s="272">
        <f ca="1">IF($D56&gt;Standings!$Q$27,"",AC56-AD56)</f>
        <v>132.21000000000026</v>
      </c>
      <c r="AG56" s="263">
        <f ca="1">IF($D56&gt;Standings!$Q$27,"",(COUNTIFS($D$2:$D$225,$D56,$C$2:$C$225,$C56,$AC$2:$AC$225,"&lt;"&amp;$AC56)+1)*0.01)</f>
        <v>0.03</v>
      </c>
      <c r="AH56" s="263">
        <f ca="1">IF($D56&gt;Standings!$Q$27,"",Z56+AG56)</f>
        <v>8.0299999999999994</v>
      </c>
      <c r="AI56" s="263"/>
      <c r="AJ56" s="264">
        <f t="array" aca="1" ref="AJ56" ca="1">IF($D56&gt;Standings!$Q$27,"",(COUNTIFS($D$2:$D$225,$D56,$C$2:$C$225,$C56,$AM$2:$AM$225,"&gt;"&amp;$AM56)+1))</f>
        <v>5</v>
      </c>
      <c r="AK56" s="264">
        <f t="array" aca="1" ref="AK56" ca="1">IF($D56&gt;Standings!$Q$27,"",IF((COUNTIFS($D$2:$D$225,$D56,$C$2:$C$225,$C56,$AH$2:$AH$225,"&gt;"&amp;$AH56)+1)=2,1,0))</f>
        <v>0</v>
      </c>
      <c r="AL56" s="264">
        <f t="array" aca="1" ref="AL56" ca="1">IF($D56&gt;Standings!$Q$27,"",IF((COUNTIFS($D$2:$D$225,$D56,$C$2:$C$225,$C56,$AH$2:$AH$225,"&gt;"&amp;$AH56)+1)&lt;2,1,0))</f>
        <v>0</v>
      </c>
      <c r="AM56" s="264">
        <f ca="1">IF($D56&gt;Standings!$Q$27,"",IF(AL56=1,200+Z56+(16-AQ56)*0.01+AI56,IF(AK56=1,100+Z56+(16-AQ56)*0.01+AI56,IF(AN56=1,50+Z56+(16-AQ56)*0.01,IF(AO56=1,15+Z56+(16-AQ56)*0.01,Z56+(16-AQ56)*0.01+AI56)))))</f>
        <v>8.07</v>
      </c>
      <c r="AN56" s="264">
        <f ca="1">IF($D56&gt;Standings!$Q$27,"",IF(OR($AK56=1,$AL56=1),"Conf Playoff Spot",COUNTIFS($AL$2:$AL$225,0,$AK$2:$AK$225,0,$C$2:$C$225,$C56,$D$2:$D$225,$D56,$AC$2:$AC$225,"&gt;"&amp;$AC56)+1))</f>
        <v>4</v>
      </c>
      <c r="AO56" s="264">
        <f t="array" aca="1" ref="AO56" ca="1">IF($D56&gt;Standings!$Q$27,"",IF(OR($AK56=1,$AL56=1),"Conf Playoff Spot",COUNTIFS($AK$2:$AK$225,0,$AL$2:$AL$225,0,$D$2:$D$225,$D56,$AH$2:$AH$225,"&gt;"&amp;$AH56)+1))</f>
        <v>2</v>
      </c>
      <c r="AP56" s="264">
        <f t="array" aca="1" ref="AP56" ca="1">IF($D56&gt;Standings!$Q$27,"",(COUNTIFS($D$2:$D$225,$D56,$J$2:$J$225,"&gt;"&amp;$J56)+1))</f>
        <v>6</v>
      </c>
      <c r="AQ56" s="265">
        <f ca="1">IF($D56&gt;Standings!$Q$27,"",(COUNTIFS($D$2:$D$225,$D56,$AC$2:$AC$225,"&gt;"&amp;$AC56)+1))</f>
        <v>9</v>
      </c>
      <c r="AR56" s="265">
        <f ca="1">IF($D56&gt;Standings!$Q$27,"",(COUNTIFS($D$2:$D$225,$D56,$K$2:$K$225,"&gt;"&amp;$K56)+1))</f>
        <v>7</v>
      </c>
      <c r="AS56" s="265">
        <f ca="1">IF($D56&gt;Standings!$Q$27,"",(COUNTIFS($D$2:$D$225,$D56,$AD$2:$AD$225,"&gt;"&amp;$AD56)+1))</f>
        <v>16</v>
      </c>
      <c r="AT56" s="356">
        <f ca="1">IF($D56&gt;Standings!$Q$27,"",SUMIFS($J$2:$J$225,$D$2:$D$225,$D56,$C$2:$C$225,$C56))</f>
        <v>774.50000000000011</v>
      </c>
      <c r="AU56" s="340">
        <f ca="1">IF($D56&gt;Standings!$Q$27,"",SUMIFS($AC$2:$AC$225,$D$2:$D$225,$D56,$C$2:$C$225,$C56))</f>
        <v>10651.210000000001</v>
      </c>
    </row>
    <row r="57" spans="1:47" ht="16" thickBot="1">
      <c r="A57" s="190">
        <f t="shared" si="0"/>
        <v>211</v>
      </c>
      <c r="B57" s="199" t="str">
        <f>'ESPN Data'!$L$7</f>
        <v>Team 4</v>
      </c>
      <c r="C57" s="348" t="str">
        <f>VLOOKUP(B57,'ESPN Data'!$L$4:$M$19,2,FALSE)</f>
        <v>Bone</v>
      </c>
      <c r="D57" s="398">
        <v>14</v>
      </c>
      <c r="E57" s="268" t="str">
        <f t="array" ref="E57">INDEX('ESPN Data'!$C$3:$C$226,MATCH(1,('ESPN Data'!$A$3:$A$226='Point Data'!$D57)*('ESPN Data'!$B$3:$B$226='Point Data'!$B57),0))</f>
        <v>Team 8</v>
      </c>
      <c r="F57" s="258" t="str">
        <f>IF(C57&lt;&gt;VLOOKUP($E57,'ESPN Data'!$L$4:$M$19,2,FALSE),"Non Conf", "Conf")</f>
        <v>Conf</v>
      </c>
      <c r="G57" s="262" t="str">
        <f t="array" ref="G57">IF('Point Data'!$D57&gt;Standings!$Q$27,"",(COUNTIFS($D$2:$D$225,$D57,$AM$2:$AM$225,"&gt;"&amp;$AM57)+1))</f>
        <v/>
      </c>
      <c r="H57" s="254" t="str">
        <f>IF('Point Data'!$D57&gt;Standings!$Q$27,"",$G55)</f>
        <v/>
      </c>
      <c r="I57" s="256" t="str">
        <f>IF('Point Data'!D57&gt;Standings!$Q$27,"",H57-G57)</f>
        <v/>
      </c>
      <c r="J57" s="254" t="str">
        <f ca="1">IF('Point Data'!D57&gt;Standings!$Q$27,"",OFFSET('ESPN Data'!D$3,$A57,0,1,1))</f>
        <v/>
      </c>
      <c r="K57" s="255" t="str">
        <f ca="1">IF('Point Data'!D57&gt;Standings!$Q$27,"",OFFSET('ESPN Data'!E$3,$A57,0,1,1))</f>
        <v/>
      </c>
      <c r="L57" s="256" t="str">
        <f ca="1">IF('Point Data'!D57&gt;Standings!$Q$27,"",OFFSET('ESPN Data'!I$3,$A57,0,1,1))</f>
        <v/>
      </c>
      <c r="M57" s="256" t="str">
        <f ca="1">IF('Point Data'!D57&gt;Standings!$Q$27,"",OFFSET('ESPN Data'!I$3,$A57,-2,1,1))</f>
        <v/>
      </c>
      <c r="N57" s="256" t="str">
        <f>IF('Point Data'!D57&gt;Standings!$Q$27,"",SUMIFS($M$2:$M$225,$D$2:$D$225,D57,$C$2:$C$225,C57))</f>
        <v/>
      </c>
      <c r="O57" s="256" t="str">
        <f>IF('Point Data'!D57&gt;Standings!$Q$27,"",SUMIFS($L$2:$L$225,$D$2:$D$225,$D57,$C$2:$C$225,$C57))</f>
        <v/>
      </c>
      <c r="P57" s="256" t="str">
        <f>IF('Point Data'!D57&gt;Standings!$Q$27,"",SUMIFS($M$2:$M$225,$D$2:$D$225,D57))</f>
        <v/>
      </c>
      <c r="Q57" s="256" t="str">
        <f>IF('Point Data'!D57&gt;Standings!$Q$27,"",SUMIFS($L$2:$L$225,$D$2:$D$225,D57))</f>
        <v/>
      </c>
      <c r="R57" s="256" t="str">
        <f>IF($D57&gt;Standings!$Q$27,"",IF(U57="T",(Z57+0.5)/(D57)*100,(Z57/D57)*100))</f>
        <v/>
      </c>
      <c r="S57" s="255" t="str">
        <f>IF($D57&gt;Standings!$Q$27,"",$J57-$K57)</f>
        <v/>
      </c>
      <c r="T57" s="255" t="str">
        <f ca="1">IF($D57&gt;Standings!$Q$27,"",AVERAGE(OFFSET(S57,(-$D57+1),0,1,1):S57))</f>
        <v/>
      </c>
      <c r="U57" s="257" t="str">
        <f>IF($D57&gt;Standings!$Q$27,"",IF(J57&gt;K57,1,IF(J57=K57,"T",0)))</f>
        <v/>
      </c>
      <c r="V57" s="257" t="str">
        <f>IF($D57&gt;Standings!$Q$27,"",SUMIFS($U$2:$U$225,$D$2:$D$225,"&lt;="&amp;$D57,$B$2:$B$225,$B57,$F$2:$F$225,"Non Conf"))</f>
        <v/>
      </c>
      <c r="W57" s="257" t="str">
        <f ca="1">IF($D57&gt;Standings!$Q$27,"",$V57&amp;"-"&amp;COUNTIF(OFFSET($F57,(-$D57+1),0,1,1):$F57,"Non Conf")-$V57)</f>
        <v/>
      </c>
      <c r="X57" s="257" t="str">
        <f>IF($D57&gt;Standings!$Q$27,"",SUMIFS($U$2:$U$225,$D$2:$D$225,"&lt;="&amp;$D57,$B$2:$B$225,$B57,$F$2:$F$225,"Conf"))</f>
        <v/>
      </c>
      <c r="Y57" s="257" t="str">
        <f ca="1">IF($D57&gt;Standings!$Q$27,"",$X57&amp;"-"&amp;COUNTIF(OFFSET($F57,(-$D57+1),0,1,1):$F57,"Conf")-$X57)</f>
        <v/>
      </c>
      <c r="Z57" s="257" t="str">
        <f ca="1">IF($D57&gt;Standings!$Q$27,"",SUM(OFFSET(U57,(-$D57+1),0,1,1):U57))</f>
        <v/>
      </c>
      <c r="AA57" s="257" t="str">
        <f>IF($D57&gt;Standings!$Q$27,"",IF(U57=1,1+AA55,0))</f>
        <v/>
      </c>
      <c r="AB57" s="258" t="str">
        <f>IF($D57&gt;Standings!$Q$27,"",IF(AA57=0,1+AB55,0))</f>
        <v/>
      </c>
      <c r="AC57" s="259" t="str">
        <f ca="1">IF($D57&gt;Standings!$Q$27,"",SUM(OFFSET(J57,(-$D57+1),0,1,1):J57))</f>
        <v/>
      </c>
      <c r="AD57" s="255" t="str">
        <f ca="1">IF($D57&gt;Standings!$Q$27,"",SUM(OFFSET(K57,(-$D57+1),0,1,1):K57))</f>
        <v/>
      </c>
      <c r="AE57" s="255" t="str">
        <f>IF($D57&gt;Standings!$Q$27,"",$J57-$K57)</f>
        <v/>
      </c>
      <c r="AF57" s="255" t="str">
        <f>IF($D57&gt;Standings!$Q$27,"",AC57-AD57)</f>
        <v/>
      </c>
      <c r="AG57" s="263" t="str">
        <f>IF($D57&gt;Standings!$Q$27,"",(COUNTIFS($D$2:$D$225,$D57,$C$2:$C$225,$C57,$AC$2:$AC$225,"&lt;"&amp;$AC57)+1)*0.01)</f>
        <v/>
      </c>
      <c r="AH57" s="263" t="str">
        <f>IF($D57&gt;Standings!$Q$27,"",Z57+AG57)</f>
        <v/>
      </c>
      <c r="AI57" s="263"/>
      <c r="AJ57" s="264" t="str">
        <f t="array" ref="AJ57">IF($D57&gt;Standings!$Q$27,"",(COUNTIFS($D$2:$D$225,$D57,$C$2:$C$225,$C57,$AM$2:$AM$225,"&gt;"&amp;$AM57)+1))</f>
        <v/>
      </c>
      <c r="AK57" s="264" t="str">
        <f t="array" ref="AK57">IF($D57&gt;Standings!$Q$27,"",IF((COUNTIFS($D$2:$D$225,$D57,$C$2:$C$225,$C57,$AH$2:$AH$225,"&gt;"&amp;$AH57)+1)=2,1,0))</f>
        <v/>
      </c>
      <c r="AL57" s="264" t="str">
        <f t="array" ref="AL57">IF($D57&gt;Standings!$Q$27,"",IF((COUNTIFS($D$2:$D$225,$D57,$C$2:$C$225,$C57,$AH$2:$AH$225,"&gt;"&amp;$AH57)+1)&lt;2,1,0))</f>
        <v/>
      </c>
      <c r="AM57" s="264" t="str">
        <f>IF($D57&gt;Standings!$Q$27,"",IF(AL57=1,200+Z57+(16-AQ57)*0.01+AI57,IF(AK57=1,100+Z57+(16-AQ57)*0.01+AI57,IF(AN57=1,50+Z57+(16-AQ57)*0.01,IF(AO57=1,15+Z57+(16-AQ57)*0.01,Z57+(16-AQ57)*0.01+AI57)))))</f>
        <v/>
      </c>
      <c r="AN57" s="264" t="str">
        <f>IF($D57&gt;Standings!$Q$27,"",IF(OR($AK57=1,$AL57=1),"Conf Playoff Spot",COUNTIFS($AL$2:$AL$225,0,$AK$2:$AK$225,0,$C$2:$C$225,$C57,$D$2:$D$225,$D57,$AC$2:$AC$225,"&gt;"&amp;$AC57)+1))</f>
        <v/>
      </c>
      <c r="AO57" s="264" t="str">
        <f t="array" ref="AO57">IF($D57&gt;Standings!$Q$27,"",IF(OR($AK57=1,$AL57=1),"Conf Playoff Spot",COUNTIFS($AK$2:$AK$225,0,$AL$2:$AL$225,0,$D$2:$D$225,$D57,$AH$2:$AH$225,"&gt;"&amp;$AH57)+1))</f>
        <v/>
      </c>
      <c r="AP57" s="264" t="str">
        <f t="array" ref="AP57">IF($D57&gt;Standings!$Q$27,"",(COUNTIFS($D$2:$D$225,$D57,$J$2:$J$225,"&gt;"&amp;$J57)+1))</f>
        <v/>
      </c>
      <c r="AQ57" s="265" t="str">
        <f>IF($D57&gt;Standings!$Q$27,"",(COUNTIFS($D$2:$D$225,$D57,$AC$2:$AC$225,"&gt;"&amp;$AC57)+1))</f>
        <v/>
      </c>
      <c r="AR57" s="265" t="str">
        <f>IF($D57&gt;Standings!$Q$27,"",(COUNTIFS($D$2:$D$225,$D57,$K$2:$K$225,"&gt;"&amp;$K57)+1))</f>
        <v/>
      </c>
      <c r="AS57" s="265" t="str">
        <f>IF($D57&gt;Standings!$Q$27,"",(COUNTIFS($D$2:$D$225,$D57,$AD$2:$AD$225,"&gt;"&amp;$AD57)+1))</f>
        <v/>
      </c>
      <c r="AT57" s="356" t="str">
        <f>IF($D57&gt;Standings!$Q$27,"",SUMIFS($J$2:$J$225,$D$2:$D$225,$D57,$C$2:$C$225,$C57))</f>
        <v/>
      </c>
      <c r="AU57" s="261" t="str">
        <f>IF($D57&gt;Standings!$Q$27,"",SUMIFS($AC$2:$AC$225,$D$2:$D$225,$D57,$C$2:$C$225,$C57))</f>
        <v/>
      </c>
    </row>
    <row r="58" spans="1:47">
      <c r="A58" s="190">
        <f t="shared" si="0"/>
        <v>4</v>
      </c>
      <c r="B58" s="197" t="str">
        <f>'ESPN Data'!$L$8</f>
        <v>Team 5</v>
      </c>
      <c r="C58" s="345" t="str">
        <f>VLOOKUP(B58,'ESPN Data'!$L$4:$M$19,2,FALSE)</f>
        <v>Bone</v>
      </c>
      <c r="D58" s="396">
        <v>1</v>
      </c>
      <c r="E58" s="266" t="str">
        <f t="array" ref="E58">INDEX('ESPN Data'!$C$3:$C$226,MATCH(1,('ESPN Data'!$A$3:$A$226='Point Data'!$D58)*('ESPN Data'!$B$3:$B$226='Point Data'!$B58),0))</f>
        <v>Team 11</v>
      </c>
      <c r="F58" s="242" t="str">
        <f>IF(C58&lt;&gt;VLOOKUP($E58,'ESPN Data'!$L$4:$M$19,2,FALSE),"Non Conf", "Conf")</f>
        <v>Non Conf</v>
      </c>
      <c r="G58" s="237">
        <f t="array" aca="1" ref="G58" ca="1">IF('Point Data'!$D58&gt;Standings!$Q$27,"",(COUNTIFS($D$2:$D$225,$D58,$AM$2:$AM$225,"&gt;"&amp;$AM58)+1))</f>
        <v>13</v>
      </c>
      <c r="H58" s="241">
        <f>IF('Point Data'!$D58&gt;Standings!$Q$27,"",VLOOKUP($B58,'ESPN Data'!$L$4:$N$19,3,FALSE))</f>
        <v>15</v>
      </c>
      <c r="I58" s="240">
        <f ca="1">IF('Point Data'!$D58&gt;Standings!$Q$27,"",H58-G58)</f>
        <v>2</v>
      </c>
      <c r="J58" s="241">
        <f ca="1">IF('Point Data'!D58&gt;Standings!$Q$27,"",OFFSET('ESPN Data'!D$3,$A58,0,1,1))</f>
        <v>96.78</v>
      </c>
      <c r="K58" s="239">
        <f ca="1">IF('Point Data'!D58&gt;Standings!$Q$27,"",OFFSET('ESPN Data'!E$3,$A58,0,1,1))</f>
        <v>123.72</v>
      </c>
      <c r="L58" s="336">
        <f ca="1">IF('Point Data'!D58&gt;Standings!$Q$27,"",OFFSET('ESPN Data'!I$3,$A58,0,1,1))</f>
        <v>100</v>
      </c>
      <c r="M58" s="336">
        <f ca="1">IF('Point Data'!D58&gt;Standings!$Q$27,"",OFFSET('ESPN Data'!I$3,$A58,-2,1,1))</f>
        <v>0</v>
      </c>
      <c r="N58" s="336">
        <f ca="1">IF('Point Data'!D58&gt;Standings!$Q$27,"",SUMIFS($M$2:$M$225,$D$2:$D$225,D58,$C$2:$C$225,C58))</f>
        <v>3</v>
      </c>
      <c r="O58" s="336">
        <f ca="1">IF('Point Data'!D58&gt;Standings!$Q$27,"",SUMIFS($L$2:$L$225,$D$2:$D$225,$D58,$C$2:$C$225,$C58))</f>
        <v>797</v>
      </c>
      <c r="P58" s="336">
        <f ca="1">IF('Point Data'!D58&gt;Standings!$Q$27,"",SUMIFS($M$2:$M$225,$D$2:$D$225,D58))</f>
        <v>3</v>
      </c>
      <c r="Q58" s="336">
        <f ca="1">IF('Point Data'!D58&gt;Standings!$Q$27,"",SUMIFS($L$2:$L$225,$D$2:$D$225,$D58))</f>
        <v>1597</v>
      </c>
      <c r="R58" s="240">
        <f ca="1">IF($D58&gt;Standings!$Q$27,"",IF(U58="T",(Z58+0.5)/(D58)*100,(Z58/D58)*100))</f>
        <v>0</v>
      </c>
      <c r="S58" s="245">
        <f ca="1">IF($D58&gt;Standings!$Q$27,"",$J58-$K58)</f>
        <v>-26.939999999999998</v>
      </c>
      <c r="T58" s="245">
        <f ca="1">IF($D58&gt;Standings!$Q$27,"",AVERAGE(OFFSET(S58,(-$D58+1),0,1,1):S58))</f>
        <v>-26.939999999999998</v>
      </c>
      <c r="U58" s="241">
        <f ca="1">IF($D58&gt;Standings!$Q$27,"",IF(J58&gt;K58,1,IF(J58=K58,"T",0)))</f>
        <v>0</v>
      </c>
      <c r="V58" s="266">
        <f ca="1">IF($D58&gt;Standings!$Q$27,"",IF(F58="Conf",0,SUMIFS($U$2:$U$225,$D$2:$D$225,"&lt;="&amp;$D58,$B$2:$B$225,$B58,$F$2:$F$225,"Non Conf")))</f>
        <v>0</v>
      </c>
      <c r="W58" s="266" t="str">
        <f ca="1">IF($D58&gt;Standings!$Q$27,"",$V58&amp;"-"&amp;COUNTIF(OFFSET($F58,(-$D58+1),0,1,1):$F58,"Non Conf")-$V58)</f>
        <v>0-1</v>
      </c>
      <c r="X58" s="266">
        <f>IF($D58&gt;Standings!$Q$27,"",SUMIFS($U$2:$U$225,$D$2:$D$225,"&lt;="&amp;$D58,$B$2:$B$225,$B58,$F$2:$F$225,"Conf"))</f>
        <v>0</v>
      </c>
      <c r="Y58" s="266" t="str">
        <f ca="1">IF($D58&gt;Standings!$Q$27,"",$X58&amp;"-"&amp;COUNTIF(OFFSET($F58,(-$D58+1),0,1,1):$F58,"Conf")-$X58)</f>
        <v>0-0</v>
      </c>
      <c r="Z58" s="266">
        <f ca="1">IF($D58&gt;Standings!$Q$27,"",SUM(OFFSET(U58,(-$D58+1),0,1,1):U58))</f>
        <v>0</v>
      </c>
      <c r="AA58" s="241">
        <f ca="1">IF($D58&gt;Standings!$Q$27,"",IF(U58=1,1,0))</f>
        <v>0</v>
      </c>
      <c r="AB58" s="242">
        <f ca="1">IF($D58&gt;Standings!$Q$27,"",IF(AA58=0,1,0))</f>
        <v>1</v>
      </c>
      <c r="AC58" s="243">
        <f ca="1">IF($D58&gt;Standings!$Q$27,"",SUM(OFFSET(J58,(-$D58+1),0,1,1):J58))</f>
        <v>96.78</v>
      </c>
      <c r="AD58" s="239">
        <f ca="1">IF($D58&gt;Standings!$Q$27,"",SUM(OFFSET(K58,(-$D58+1),0,1,1):K58))</f>
        <v>123.72</v>
      </c>
      <c r="AE58" s="239">
        <f ca="1">IF($D58&gt;Standings!$Q$27,"",$J58-$K58)</f>
        <v>-26.939999999999998</v>
      </c>
      <c r="AF58" s="239">
        <f ca="1">IF($D58&gt;Standings!$Q$27,"",AC58-AD58)</f>
        <v>-26.939999999999998</v>
      </c>
      <c r="AG58" s="241">
        <f ca="1">IF($D58&gt;Standings!$Q$27,"",(COUNTIFS($D$2:$D$225,$D58,$C$2:$C$225,$C58,$AC$2:$AC$225,"&lt;"&amp;$AC58)+1)*0.01)</f>
        <v>0.02</v>
      </c>
      <c r="AH58" s="241">
        <f ca="1">IF($D58&gt;Standings!$Q$27,"",Z58+AG58)</f>
        <v>0.02</v>
      </c>
      <c r="AI58" s="266"/>
      <c r="AJ58" s="266">
        <f t="array" aca="1" ref="AJ58" ca="1">IF($D58&gt;Standings!$Q$27,"",(COUNTIFS($D$2:$D$225,$D58,$C$2:$C$225,$C58,$AM$2:$AM$225,"&gt;"&amp;$AM58)+1))</f>
        <v>8</v>
      </c>
      <c r="AK58" s="266">
        <f t="array" aca="1" ref="AK58" ca="1">IF($D58&gt;Standings!$Q$27,"",IF((COUNTIFS($D$2:$D$225,$D58,$C$2:$C$225,$C58,$AH$2:$AH$225,"&gt;"&amp;$AH58)+1)=2,1,0))</f>
        <v>0</v>
      </c>
      <c r="AL58" s="266">
        <f t="array" aca="1" ref="AL58" ca="1">IF($D58&gt;Standings!$Q$27,"",IF((COUNTIFS($D$2:$D$225,$D58,$C$2:$C$225,$C58,$AH$2:$AH$225,"&gt;"&amp;$AH58)+1)&lt;2,1,0))</f>
        <v>0</v>
      </c>
      <c r="AM58" s="266">
        <f ca="1">IF($D58&gt;Standings!$Q$27,"",IF(AL58=1,200+Z58+(16-AQ58)*0.01+AI58,IF(AK58=1,100+Z58+(16-AQ58)*0.01+AI58,IF(AN58=1,50+Z58+(16-AQ58)*0.01,IF(AO58=1,15+Z58+(16-AQ58)*0.01,Z58+(16-AQ58)*0.01+AI58)))))</f>
        <v>0.04</v>
      </c>
      <c r="AN58" s="266">
        <f ca="1">IF($D58&gt;Standings!$Q$27,"",IF(OR($AK58=1,$AL58=1),"Conf Playoff Spot",COUNTIFS($AL$2:$AL$225,0,$AK$2:$AK$225,0,$C$2:$C$225,$C58,$D$2:$D$225,$D58,$AC$2:$AC$225,"&gt;"&amp;$AC58)+1))</f>
        <v>5</v>
      </c>
      <c r="AO58" s="266">
        <f t="array" aca="1" ref="AO58" ca="1">IF($D58&gt;Standings!$Q$27,"",IF(OR($AK58=1,$AL58=1),"Conf Playoff Spot",COUNTIFS($AK$2:$AK$225,0,$AL$2:$AL$225,0,$D$2:$D$225,$D58,$AH$2:$AH$225,"&gt;"&amp;$AH58)+1))</f>
        <v>10</v>
      </c>
      <c r="AP58" s="266">
        <f t="array" aca="1" ref="AP58" ca="1">IF($D58&gt;Standings!$Q$27,"",(COUNTIFS($D$2:$D$225,$D58,$J$2:$J$225,"&gt;"&amp;$J58)+1))</f>
        <v>12</v>
      </c>
      <c r="AQ58" s="241">
        <f ca="1">IF($D58&gt;Standings!$Q$27,"",(COUNTIFS($D$2:$D$225,$D58,$AC$2:$AC$225,"&gt;"&amp;$AC58)+1))</f>
        <v>12</v>
      </c>
      <c r="AR58" s="241">
        <f ca="1">IF($D58&gt;Standings!$Q$27,"",(COUNTIFS($D$2:$D$225,$D58,$K$2:$K$225,"&gt;"&amp;$K58)+1))</f>
        <v>2</v>
      </c>
      <c r="AS58" s="241">
        <f ca="1">IF($D58&gt;Standings!$Q$27,"",(COUNTIFS($D$2:$D$225,$D58,$AD$2:$AD$225,"&gt;"&amp;$AD58)+1))</f>
        <v>2</v>
      </c>
      <c r="AT58" s="357">
        <f ca="1">IF($D58&gt;Standings!$Q$27,"",SUMIFS($J$2:$J$225,$D$2:$D$225,$D58,$C$2:$C$225,$C58))</f>
        <v>827.09</v>
      </c>
      <c r="AU58" s="245">
        <f ca="1">IF($D58&gt;Standings!$Q$27,"",SUMIFS($AC$2:$AC$225,$D$2:$D$225,$D58,$C$2:$C$225,$C58))</f>
        <v>827.09</v>
      </c>
    </row>
    <row r="59" spans="1:47">
      <c r="A59" s="190">
        <f t="shared" si="0"/>
        <v>20</v>
      </c>
      <c r="B59" s="198" t="str">
        <f>'ESPN Data'!$L$8</f>
        <v>Team 5</v>
      </c>
      <c r="C59" s="346" t="str">
        <f>VLOOKUP(B59,'ESPN Data'!$L$4:$M$19,2,FALSE)</f>
        <v>Bone</v>
      </c>
      <c r="D59" s="397">
        <v>2</v>
      </c>
      <c r="E59" s="267" t="str">
        <f t="array" ref="E59">INDEX('ESPN Data'!$C$3:$C$226,MATCH(1,('ESPN Data'!$A$3:$A$226='Point Data'!$D59)*('ESPN Data'!$B$3:$B$226='Point Data'!$B59),0))</f>
        <v>Team 4</v>
      </c>
      <c r="F59" s="250" t="str">
        <f>IF(C59&lt;&gt;VLOOKUP($E59,'ESPN Data'!$L$4:$M$19,2,FALSE),"Non Conf", "Conf")</f>
        <v>Conf</v>
      </c>
      <c r="G59" s="246">
        <f t="array" aca="1" ref="G59" ca="1">IF('Point Data'!$D59&gt;Standings!$Q$27,"",(COUNTIFS($D$2:$D$225,$D59,$AM$2:$AM$225,"&gt;"&amp;$AM59)+1))</f>
        <v>10</v>
      </c>
      <c r="H59" s="172">
        <f ca="1">IF('Point Data'!$D59&gt;Standings!$Q$27,"",$G58)</f>
        <v>13</v>
      </c>
      <c r="I59" s="249">
        <f ca="1">IF('Point Data'!D59&gt;Standings!$Q$27,"",H59-G59)</f>
        <v>3</v>
      </c>
      <c r="J59" s="172">
        <f ca="1">IF('Point Data'!D59&gt;Standings!$Q$27,"",OFFSET('ESPN Data'!D$3,$A59,0,1,1))</f>
        <v>98.65</v>
      </c>
      <c r="K59" s="248">
        <f ca="1">IF('Point Data'!D59&gt;Standings!$Q$27,"",OFFSET('ESPN Data'!E$3,$A59,0,1,1))</f>
        <v>89.02</v>
      </c>
      <c r="L59" s="337">
        <f ca="1">IF('Point Data'!D59&gt;Standings!$Q$27,"",OFFSET('ESPN Data'!I$3,$A59,0,1,1))</f>
        <v>75</v>
      </c>
      <c r="M59" s="337">
        <f ca="1">IF('Point Data'!D59&gt;Standings!$Q$27,"",OFFSET('ESPN Data'!I$3,$A59,-2,1,1))</f>
        <v>25</v>
      </c>
      <c r="N59" s="337">
        <f ca="1">IF('Point Data'!D59&gt;Standings!$Q$27,"",SUMIFS($M$2:$M$225,$D$2:$D$225,D59,$C$2:$C$225,C59))</f>
        <v>44</v>
      </c>
      <c r="O59" s="337">
        <f ca="1">IF('Point Data'!D59&gt;Standings!$Q$27,"",SUMIFS($L$2:$L$225,$D$2:$D$225,$D59,$C$2:$C$225,$C59))</f>
        <v>753</v>
      </c>
      <c r="P59" s="337">
        <f ca="1">IF('Point Data'!D59&gt;Standings!$Q$27,"",SUMIFS($M$2:$M$225,$D$2:$D$225,D59))</f>
        <v>73</v>
      </c>
      <c r="Q59" s="337">
        <f ca="1">IF('Point Data'!D59&gt;Standings!$Q$27,"",SUMIFS($L$2:$L$225,$D$2:$D$225,D59))</f>
        <v>1524</v>
      </c>
      <c r="R59" s="249">
        <f ca="1">IF($D59&gt;Standings!$Q$27,"",IF(U59="T",(Z59+0.5)/(D59)*100,(Z59/D59)*100))</f>
        <v>50</v>
      </c>
      <c r="S59" s="253">
        <f ca="1">IF($D59&gt;Standings!$Q$27,"",$J59-$K59)</f>
        <v>9.6300000000000097</v>
      </c>
      <c r="T59" s="253">
        <f ca="1">IF($D59&gt;Standings!$Q$27,"",AVERAGE(OFFSET(S59,(-$D59+1),0,1,1):S59))</f>
        <v>-8.654999999999994</v>
      </c>
      <c r="U59" s="172">
        <f ca="1">IF($D59&gt;Standings!$Q$27,"",IF(J59&gt;K59,1,IF(J59=K59,"T",0)))</f>
        <v>1</v>
      </c>
      <c r="V59" s="267">
        <f ca="1">IF($D59&gt;Standings!$Q$27,"",IF(F59="Conf",V58,SUMIFS($U$2:$U$225,$D$2:$D$225,"&lt;="&amp;$D59,$B$2:$B$225,$B59,$F$2:$F$225,"Non Conf")))</f>
        <v>0</v>
      </c>
      <c r="W59" s="267" t="str">
        <f ca="1">IF($D59&gt;Standings!$Q$27,"",$V59&amp;"-"&amp;COUNTIF(OFFSET($F59,(-$D59+1),0,1,1):$F59,"Non Conf")-$V59)</f>
        <v>0-1</v>
      </c>
      <c r="X59" s="267">
        <f ca="1">IF($D59&gt;Standings!$Q$27,"",SUMIFS($U$2:$U$225,$D$2:$D$225,"&lt;="&amp;$D59,$B$2:$B$225,$B59,$F$2:$F$225,"Conf"))</f>
        <v>1</v>
      </c>
      <c r="Y59" s="267" t="str">
        <f ca="1">IF($D59&gt;Standings!$Q$27,"",$X59&amp;"-"&amp;COUNTIF(OFFSET($F59,(-$D59+1),0,1,1):$F59,"Conf")-$X59)</f>
        <v>1-0</v>
      </c>
      <c r="Z59" s="267">
        <f ca="1">IF($D59&gt;Standings!$Q$27,"",SUM(OFFSET(U59,(-$D59+1),0,1,1):U59))</f>
        <v>1</v>
      </c>
      <c r="AA59" s="172">
        <f ca="1">IF($D59&gt;Standings!$Q$27,"",IF(U59=1,1+AA58,0))</f>
        <v>1</v>
      </c>
      <c r="AB59" s="250">
        <f ca="1">IF($D59&gt;Standings!$Q$27,"",IF(AA59=0,1+AB58,0))</f>
        <v>0</v>
      </c>
      <c r="AC59" s="251">
        <f ca="1">IF($D59&gt;Standings!$Q$27,"",SUM(OFFSET(J59,(-$D59+1),0,1,1):J59))</f>
        <v>195.43</v>
      </c>
      <c r="AD59" s="248">
        <f ca="1">IF($D59&gt;Standings!$Q$27,"",SUM(OFFSET(K59,(-$D59+1),0,1,1):K59))</f>
        <v>212.74</v>
      </c>
      <c r="AE59" s="248">
        <f ca="1">IF($D59&gt;Standings!$Q$27,"",$J59-$K59)</f>
        <v>9.6300000000000097</v>
      </c>
      <c r="AF59" s="248">
        <f ca="1">IF($D59&gt;Standings!$Q$27,"",AC59-AD59)</f>
        <v>-17.310000000000002</v>
      </c>
      <c r="AG59" s="172">
        <f ca="1">IF($D59&gt;Standings!$Q$27,"",(COUNTIFS($D$2:$D$225,$D59,$C$2:$C$225,$C59,$AC$2:$AC$225,"&lt;"&amp;$AC59)+1)*0.01)</f>
        <v>0.02</v>
      </c>
      <c r="AH59" s="172">
        <f ca="1">IF($D59&gt;Standings!$Q$27,"",Z59+AG59)</f>
        <v>1.02</v>
      </c>
      <c r="AI59" s="267"/>
      <c r="AJ59" s="267">
        <f t="array" aca="1" ref="AJ59" ca="1">IF($D59&gt;Standings!$Q$27,"",(COUNTIFS($D$2:$D$225,$D59,$C$2:$C$225,$C59,$AM$2:$AM$225,"&gt;"&amp;$AM59)+1))</f>
        <v>5</v>
      </c>
      <c r="AK59" s="267">
        <f t="array" aca="1" ref="AK59" ca="1">IF($D59&gt;Standings!$Q$27,"",IF((COUNTIFS($D$2:$D$225,$D59,$C$2:$C$225,$C59,$AH$2:$AH$225,"&gt;"&amp;$AH59)+1)=2,1,0))</f>
        <v>0</v>
      </c>
      <c r="AL59" s="267">
        <f t="array" aca="1" ref="AL59" ca="1">IF($D59&gt;Standings!$Q$27,"",IF((COUNTIFS($D$2:$D$225,$D59,$C$2:$C$225,$C59,$AH$2:$AH$225,"&gt;"&amp;$AH59)+1)&lt;2,1,0))</f>
        <v>0</v>
      </c>
      <c r="AM59" s="267">
        <f ca="1">IF($D59&gt;Standings!$Q$27,"",IF(AL59=1,200+Z59+(16-AQ59)*0.01+AI59,IF(AK59=1,100+Z59+(16-AQ59)*0.01+AI59,IF(AN59=1,50+Z59+(16-AQ59)*0.01,IF(AO59=1,15+Z59+(16-AQ59)*0.01,Z59+(16-AQ59)*0.01+AI59)))))</f>
        <v>1.03</v>
      </c>
      <c r="AN59" s="267">
        <f ca="1">IF($D59&gt;Standings!$Q$27,"",IF(OR($AK59=1,$AL59=1),"Conf Playoff Spot",COUNTIFS($AL$2:$AL$225,0,$AK$2:$AK$225,0,$C$2:$C$225,$C59,$D$2:$D$225,$D59,$AC$2:$AC$225,"&gt;"&amp;$AC59)+1))</f>
        <v>5</v>
      </c>
      <c r="AO59" s="267">
        <f t="array" aca="1" ref="AO59" ca="1">IF($D59&gt;Standings!$Q$27,"",IF(OR($AK59=1,$AL59=1),"Conf Playoff Spot",COUNTIFS($AK$2:$AK$225,0,$AL$2:$AL$225,0,$D$2:$D$225,$D59,$AH$2:$AH$225,"&gt;"&amp;$AH59)+1))</f>
        <v>6</v>
      </c>
      <c r="AP59" s="267">
        <f t="array" aca="1" ref="AP59" ca="1">IF($D59&gt;Standings!$Q$27,"",(COUNTIFS($D$2:$D$225,$D59,$J$2:$J$225,"&gt;"&amp;$J59)+1))</f>
        <v>13</v>
      </c>
      <c r="AQ59" s="249">
        <f ca="1">IF($D59&gt;Standings!$Q$27,"",(COUNTIFS($D$2:$D$225,$D59,$AC$2:$AC$225,"&gt;"&amp;$AC59)+1))</f>
        <v>13</v>
      </c>
      <c r="AR59" s="249">
        <f ca="1">IF($D59&gt;Standings!$Q$27,"",(COUNTIFS($D$2:$D$225,$D59,$K$2:$K$225,"&gt;"&amp;$K59)+1))</f>
        <v>15</v>
      </c>
      <c r="AS59" s="249">
        <f ca="1">IF($D59&gt;Standings!$Q$27,"",(COUNTIFS($D$2:$D$225,$D59,$AD$2:$AD$225,"&gt;"&amp;$AD59)+1))</f>
        <v>9</v>
      </c>
      <c r="AT59" s="354">
        <f ca="1">IF($D59&gt;Standings!$Q$27,"",SUMIFS($J$2:$J$225,$D$2:$D$225,$D59,$C$2:$C$225,$C59))</f>
        <v>849.17</v>
      </c>
      <c r="AU59" s="253">
        <f ca="1">IF($D59&gt;Standings!$Q$27,"",SUMIFS($AC$2:$AC$225,$D$2:$D$225,$D59,$C$2:$C$225,$C59))</f>
        <v>1676.26</v>
      </c>
    </row>
    <row r="60" spans="1:47">
      <c r="A60" s="190">
        <f t="shared" si="0"/>
        <v>36</v>
      </c>
      <c r="B60" s="198" t="str">
        <f>'ESPN Data'!$L$8</f>
        <v>Team 5</v>
      </c>
      <c r="C60" s="346" t="str">
        <f>VLOOKUP(B60,'ESPN Data'!$L$4:$M$19,2,FALSE)</f>
        <v>Bone</v>
      </c>
      <c r="D60" s="397">
        <v>3</v>
      </c>
      <c r="E60" s="267" t="str">
        <f t="array" ref="E60">INDEX('ESPN Data'!$C$3:$C$226,MATCH(1,('ESPN Data'!$A$3:$A$226='Point Data'!$D60)*('ESPN Data'!$B$3:$B$226='Point Data'!$B60),0))</f>
        <v>Team 8</v>
      </c>
      <c r="F60" s="250" t="str">
        <f>IF(C60&lt;&gt;VLOOKUP($E60,'ESPN Data'!$L$4:$M$19,2,FALSE),"Non Conf", "Conf")</f>
        <v>Conf</v>
      </c>
      <c r="G60" s="246">
        <f t="array" aca="1" ref="G60" ca="1">IF('Point Data'!$D60&gt;Standings!$Q$27,"",(COUNTIFS($D$2:$D$225,$D60,$AM$2:$AM$225,"&gt;"&amp;$AM60)+1))</f>
        <v>4</v>
      </c>
      <c r="H60" s="172">
        <f ca="1">IF('Point Data'!$D60&gt;Standings!$Q$27,"",$G59)</f>
        <v>10</v>
      </c>
      <c r="I60" s="249">
        <f ca="1">IF('Point Data'!D60&gt;Standings!$Q$27,"",H60-G60)</f>
        <v>6</v>
      </c>
      <c r="J60" s="172">
        <f ca="1">IF('Point Data'!D60&gt;Standings!$Q$27,"",OFFSET('ESPN Data'!D$3,$A60,0,1,1))</f>
        <v>155.85</v>
      </c>
      <c r="K60" s="248">
        <f ca="1">IF('Point Data'!D60&gt;Standings!$Q$27,"",OFFSET('ESPN Data'!E$3,$A60,0,1,1))</f>
        <v>133.66</v>
      </c>
      <c r="L60" s="337">
        <f ca="1">IF('Point Data'!D60&gt;Standings!$Q$27,"",OFFSET('ESPN Data'!I$3,$A60,0,1,1))</f>
        <v>64</v>
      </c>
      <c r="M60" s="337">
        <f ca="1">IF('Point Data'!D60&gt;Standings!$Q$27,"",OFFSET('ESPN Data'!I$3,$A60,-2,1,1))</f>
        <v>11</v>
      </c>
      <c r="N60" s="337">
        <f ca="1">IF('Point Data'!D60&gt;Standings!$Q$27,"",SUMIFS($M$2:$M$225,$D$2:$D$225,D60,$C$2:$C$225,C60))</f>
        <v>25</v>
      </c>
      <c r="O60" s="337">
        <f ca="1">IF('Point Data'!D60&gt;Standings!$Q$27,"",SUMIFS($L$2:$L$225,$D$2:$D$225,$D60,$C$2:$C$225,$C60))</f>
        <v>728</v>
      </c>
      <c r="P60" s="337">
        <f ca="1">IF('Point Data'!D60&gt;Standings!$Q$27,"",SUMIFS($M$2:$M$225,$D$2:$D$225,D60))</f>
        <v>210</v>
      </c>
      <c r="Q60" s="337">
        <f ca="1">IF('Point Data'!D60&gt;Standings!$Q$27,"",SUMIFS($L$2:$L$225,$D$2:$D$225,D60))</f>
        <v>1314</v>
      </c>
      <c r="R60" s="249">
        <f ca="1">IF($D60&gt;Standings!$Q$27,"",IF(U60="T",(Z60+0.5)/(D60)*100,(Z60/D60)*100))</f>
        <v>66.666666666666657</v>
      </c>
      <c r="S60" s="253">
        <f ca="1">IF($D60&gt;Standings!$Q$27,"",$J60-$K60)</f>
        <v>22.189999999999998</v>
      </c>
      <c r="T60" s="253">
        <f ca="1">IF($D60&gt;Standings!$Q$27,"",AVERAGE(OFFSET(S60,(-$D60+1),0,1,1):S60))</f>
        <v>1.6266666666666698</v>
      </c>
      <c r="U60" s="172">
        <f ca="1">IF($D60&gt;Standings!$Q$27,"",IF(J60&gt;K60,1,IF(J60=K60,"T",0)))</f>
        <v>1</v>
      </c>
      <c r="V60" s="267">
        <f ca="1">IF($D60&gt;Standings!$Q$27,"",IF(F60="Conf",V59,SUMIFS($U$2:$U$225,$D$2:$D$225,"&lt;="&amp;$D60,$B$2:$B$225,$B60,$F$2:$F$225,"Non Conf")))</f>
        <v>0</v>
      </c>
      <c r="W60" s="267" t="str">
        <f ca="1">IF($D60&gt;Standings!$Q$27,"",$V60&amp;"-"&amp;COUNTIF(OFFSET($F60,(-$D60+1),0,1,1):$F60,"Non Conf")-$V60)</f>
        <v>0-1</v>
      </c>
      <c r="X60" s="267">
        <f ca="1">IF($D60&gt;Standings!$Q$27,"",SUMIFS($U$2:$U$225,$D$2:$D$225,"&lt;="&amp;$D60,$B$2:$B$225,$B60,$F$2:$F$225,"Conf"))</f>
        <v>2</v>
      </c>
      <c r="Y60" s="267" t="str">
        <f ca="1">IF($D60&gt;Standings!$Q$27,"",$X60&amp;"-"&amp;COUNTIF(OFFSET($F60,(-$D60+1),0,1,1):$F60,"Conf")-$X60)</f>
        <v>2-0</v>
      </c>
      <c r="Z60" s="267">
        <f ca="1">IF($D60&gt;Standings!$Q$27,"",SUM(OFFSET(U60,(-$D60+1),0,1,1):U60))</f>
        <v>2</v>
      </c>
      <c r="AA60" s="172">
        <f ca="1">IF($D60&gt;Standings!$Q$27,"",IF(U60=1,1+AA59,0))</f>
        <v>2</v>
      </c>
      <c r="AB60" s="250">
        <f ca="1">IF($D60&gt;Standings!$Q$27,"",IF(AA60=0,1+AB59,0))</f>
        <v>0</v>
      </c>
      <c r="AC60" s="251">
        <f ca="1">IF($D60&gt;Standings!$Q$27,"",SUM(OFFSET(J60,(-$D60+1),0,1,1):J60))</f>
        <v>351.28</v>
      </c>
      <c r="AD60" s="248">
        <f ca="1">IF($D60&gt;Standings!$Q$27,"",SUM(OFFSET(K60,(-$D60+1),0,1,1):K60))</f>
        <v>346.4</v>
      </c>
      <c r="AE60" s="248">
        <f ca="1">IF($D60&gt;Standings!$Q$27,"",$J60-$K60)</f>
        <v>22.189999999999998</v>
      </c>
      <c r="AF60" s="248">
        <f ca="1">IF($D60&gt;Standings!$Q$27,"",AC60-AD60)</f>
        <v>4.8799999999999955</v>
      </c>
      <c r="AG60" s="172">
        <f ca="1">IF($D60&gt;Standings!$Q$27,"",(COUNTIFS($D$2:$D$225,$D60,$C$2:$C$225,$C60,$AC$2:$AC$225,"&lt;"&amp;$AC60)+1)*0.01)</f>
        <v>0.06</v>
      </c>
      <c r="AH60" s="172">
        <f ca="1">IF($D60&gt;Standings!$Q$27,"",Z60+AG60)</f>
        <v>2.06</v>
      </c>
      <c r="AI60" s="267"/>
      <c r="AJ60" s="267">
        <f t="array" aca="1" ref="AJ60" ca="1">IF($D60&gt;Standings!$Q$27,"",(COUNTIFS($D$2:$D$225,$D60,$C$2:$C$225,$C60,$AM$2:$AM$225,"&gt;"&amp;$AM60)+1))</f>
        <v>2</v>
      </c>
      <c r="AK60" s="267">
        <f t="array" aca="1" ref="AK60" ca="1">IF($D60&gt;Standings!$Q$27,"",IF((COUNTIFS($D$2:$D$225,$D60,$C$2:$C$225,$C60,$AH$2:$AH$225,"&gt;"&amp;$AH60)+1)=2,1,0))</f>
        <v>1</v>
      </c>
      <c r="AL60" s="267">
        <f t="array" aca="1" ref="AL60" ca="1">IF($D60&gt;Standings!$Q$27,"",IF((COUNTIFS($D$2:$D$225,$D60,$C$2:$C$225,$C60,$AH$2:$AH$225,"&gt;"&amp;$AH60)+1)&lt;2,1,0))</f>
        <v>0</v>
      </c>
      <c r="AM60" s="267">
        <f ca="1">IF($D60&gt;Standings!$Q$27,"",IF(AL60=1,200+Z60+(16-AQ60)*0.01+AI60,IF(AK60=1,100+Z60+(16-AQ60)*0.01+AI60,IF(AN60=1,50+Z60+(16-AQ60)*0.01,IF(AO60=1,15+Z60+(16-AQ60)*0.01,Z60+(16-AQ60)*0.01+AI60)))))</f>
        <v>102.1</v>
      </c>
      <c r="AN60" s="267" t="str">
        <f ca="1">IF($D60&gt;Standings!$Q$27,"",IF(OR($AK60=1,$AL60=1),"Conf Playoff Spot",COUNTIFS($AL$2:$AL$225,0,$AK$2:$AK$225,0,$C$2:$C$225,$C60,$D$2:$D$225,$D60,$AC$2:$AC$225,"&gt;"&amp;$AC60)+1))</f>
        <v>Conf Playoff Spot</v>
      </c>
      <c r="AO60" s="267" t="str">
        <f t="array" aca="1" ref="AO60" ca="1">IF($D60&gt;Standings!$Q$27,"",IF(OR($AK60=1,$AL60=1),"Conf Playoff Spot",COUNTIFS($AK$2:$AK$225,0,$AL$2:$AL$225,0,$D$2:$D$225,$D60,$AH$2:$AH$225,"&gt;"&amp;$AH60)+1))</f>
        <v>Conf Playoff Spot</v>
      </c>
      <c r="AP60" s="267">
        <f t="array" aca="1" ref="AP60" ca="1">IF($D60&gt;Standings!$Q$27,"",(COUNTIFS($D$2:$D$225,$D60,$J$2:$J$225,"&gt;"&amp;$J60)+1))</f>
        <v>1</v>
      </c>
      <c r="AQ60" s="249">
        <f ca="1">IF($D60&gt;Standings!$Q$27,"",(COUNTIFS($D$2:$D$225,$D60,$AC$2:$AC$225,"&gt;"&amp;$AC60)+1))</f>
        <v>6</v>
      </c>
      <c r="AR60" s="249">
        <f ca="1">IF($D60&gt;Standings!$Q$27,"",(COUNTIFS($D$2:$D$225,$D60,$K$2:$K$225,"&gt;"&amp;$K60)+1))</f>
        <v>3</v>
      </c>
      <c r="AS60" s="249">
        <f ca="1">IF($D60&gt;Standings!$Q$27,"",(COUNTIFS($D$2:$D$225,$D60,$AD$2:$AD$225,"&gt;"&amp;$AD60)+1))</f>
        <v>4</v>
      </c>
      <c r="AT60" s="354">
        <f ca="1">IF($D60&gt;Standings!$Q$27,"",SUMIFS($J$2:$J$225,$D$2:$D$225,$D60,$C$2:$C$225,$C60))</f>
        <v>927.32</v>
      </c>
      <c r="AU60" s="253">
        <f ca="1">IF($D60&gt;Standings!$Q$27,"",SUMIFS($AC$2:$AC$225,$D$2:$D$225,$D60,$C$2:$C$225,$C60))</f>
        <v>2603.58</v>
      </c>
    </row>
    <row r="61" spans="1:47">
      <c r="A61" s="190">
        <f t="shared" si="0"/>
        <v>52</v>
      </c>
      <c r="B61" s="198" t="str">
        <f>'ESPN Data'!$L$8</f>
        <v>Team 5</v>
      </c>
      <c r="C61" s="346" t="str">
        <f>VLOOKUP(B61,'ESPN Data'!$L$4:$M$19,2,FALSE)</f>
        <v>Bone</v>
      </c>
      <c r="D61" s="397">
        <v>4</v>
      </c>
      <c r="E61" s="267" t="str">
        <f t="array" ref="E61">INDEX('ESPN Data'!$C$3:$C$226,MATCH(1,('ESPN Data'!$A$3:$A$226='Point Data'!$D61)*('ESPN Data'!$B$3:$B$226='Point Data'!$B61),0))</f>
        <v>Team 6</v>
      </c>
      <c r="F61" s="250" t="str">
        <f>IF(C61&lt;&gt;VLOOKUP($E61,'ESPN Data'!$L$4:$M$19,2,FALSE),"Non Conf", "Conf")</f>
        <v>Conf</v>
      </c>
      <c r="G61" s="246">
        <f t="array" aca="1" ref="G61" ca="1">IF('Point Data'!$D61&gt;Standings!$Q$27,"",(COUNTIFS($D$2:$D$225,$D61,$AM$2:$AM$225,"&gt;"&amp;$AM61)+1))</f>
        <v>2</v>
      </c>
      <c r="H61" s="172">
        <f ca="1">IF('Point Data'!$D61&gt;Standings!$Q$27,"",$G60)</f>
        <v>4</v>
      </c>
      <c r="I61" s="249">
        <f ca="1">IF('Point Data'!D61&gt;Standings!$Q$27,"",H61-G61)</f>
        <v>2</v>
      </c>
      <c r="J61" s="172">
        <f ca="1">IF('Point Data'!D61&gt;Standings!$Q$27,"",OFFSET('ESPN Data'!D$3,$A61,0,1,1))</f>
        <v>114.82</v>
      </c>
      <c r="K61" s="248">
        <f ca="1">IF('Point Data'!D61&gt;Standings!$Q$27,"",OFFSET('ESPN Data'!E$3,$A61,0,1,1))</f>
        <v>93.77</v>
      </c>
      <c r="L61" s="337">
        <f ca="1">IF('Point Data'!D61&gt;Standings!$Q$27,"",OFFSET('ESPN Data'!I$3,$A61,0,1,1))</f>
        <v>46</v>
      </c>
      <c r="M61" s="337">
        <f ca="1">IF('Point Data'!D61&gt;Standings!$Q$27,"",OFFSET('ESPN Data'!I$3,$A61,-2,1,1))</f>
        <v>18</v>
      </c>
      <c r="N61" s="337">
        <f ca="1">IF('Point Data'!D61&gt;Standings!$Q$27,"",SUMIFS($M$2:$M$225,$D$2:$D$225,D61,$C$2:$C$225,C61))</f>
        <v>161</v>
      </c>
      <c r="O61" s="337">
        <f ca="1">IF('Point Data'!D61&gt;Standings!$Q$27,"",SUMIFS($L$2:$L$225,$D$2:$D$225,$D61,$C$2:$C$225,$C61))</f>
        <v>567</v>
      </c>
      <c r="P61" s="337">
        <f ca="1">IF('Point Data'!D61&gt;Standings!$Q$27,"",SUMIFS($M$2:$M$225,$D$2:$D$225,D61))</f>
        <v>171</v>
      </c>
      <c r="Q61" s="337">
        <f ca="1">IF('Point Data'!D61&gt;Standings!$Q$27,"",SUMIFS($L$2:$L$225,$D$2:$D$225,D61))</f>
        <v>1143</v>
      </c>
      <c r="R61" s="249">
        <f ca="1">IF($D61&gt;Standings!$Q$27,"",IF(U61="T",(Z61+0.5)/(D61)*100,(Z61/D61)*100))</f>
        <v>75</v>
      </c>
      <c r="S61" s="253">
        <f ca="1">IF($D61&gt;Standings!$Q$27,"",$J61-$K61)</f>
        <v>21.049999999999997</v>
      </c>
      <c r="T61" s="253">
        <f ca="1">IF($D61&gt;Standings!$Q$27,"",AVERAGE(OFFSET(S61,(-$D61+1),0,1,1):S61))</f>
        <v>6.4825000000000017</v>
      </c>
      <c r="U61" s="172">
        <f ca="1">IF($D61&gt;Standings!$Q$27,"",IF(J61&gt;K61,1,IF(J61=K61,"T",0)))</f>
        <v>1</v>
      </c>
      <c r="V61" s="267">
        <f ca="1">IF($D61&gt;Standings!$Q$27,"",IF(F61="Conf",V60,SUMIFS($U$2:$U$225,$D$2:$D$225,"&lt;="&amp;$D61,$B$2:$B$225,$B61,$F$2:$F$225,"Non Conf")))</f>
        <v>0</v>
      </c>
      <c r="W61" s="267" t="str">
        <f ca="1">IF($D61&gt;Standings!$Q$27,"",$V61&amp;"-"&amp;COUNTIF(OFFSET($F61,(-$D61+1),0,1,1):$F61,"Non Conf")-$V61)</f>
        <v>0-1</v>
      </c>
      <c r="X61" s="267">
        <f ca="1">IF($D61&gt;Standings!$Q$27,"",SUMIFS($U$2:$U$225,$D$2:$D$225,"&lt;="&amp;$D61,$B$2:$B$225,$B61,$F$2:$F$225,"Conf"))</f>
        <v>3</v>
      </c>
      <c r="Y61" s="267" t="str">
        <f ca="1">IF($D61&gt;Standings!$Q$27,"",$X61&amp;"-"&amp;COUNTIF(OFFSET($F61,(-$D61+1),0,1,1):$F61,"Conf")-$X61)</f>
        <v>3-0</v>
      </c>
      <c r="Z61" s="267">
        <f ca="1">IF($D61&gt;Standings!$Q$27,"",SUM(OFFSET(U61,(-$D61+1),0,1,1):U61))</f>
        <v>3</v>
      </c>
      <c r="AA61" s="172">
        <f ca="1">IF($D61&gt;Standings!$Q$27,"",IF(U61=1,1+AA60,0))</f>
        <v>3</v>
      </c>
      <c r="AB61" s="250">
        <f ca="1">IF($D61&gt;Standings!$Q$27,"",IF(AA61=0,1+AB60,0))</f>
        <v>0</v>
      </c>
      <c r="AC61" s="251">
        <f ca="1">IF($D61&gt;Standings!$Q$27,"",SUM(OFFSET(J61,(-$D61+1),0,1,1):J61))</f>
        <v>466.09999999999997</v>
      </c>
      <c r="AD61" s="248">
        <f ca="1">IF($D61&gt;Standings!$Q$27,"",SUM(OFFSET(K61,(-$D61+1),0,1,1):K61))</f>
        <v>440.16999999999996</v>
      </c>
      <c r="AE61" s="248">
        <f ca="1">IF($D61&gt;Standings!$Q$27,"",$J61-$K61)</f>
        <v>21.049999999999997</v>
      </c>
      <c r="AF61" s="248">
        <f ca="1">IF($D61&gt;Standings!$Q$27,"",AC61-AD61)</f>
        <v>25.930000000000007</v>
      </c>
      <c r="AG61" s="172">
        <f ca="1">IF($D61&gt;Standings!$Q$27,"",(COUNTIFS($D$2:$D$225,$D61,$C$2:$C$225,$C61,$AC$2:$AC$225,"&lt;"&amp;$AC61)+1)*0.01)</f>
        <v>7.0000000000000007E-2</v>
      </c>
      <c r="AH61" s="172">
        <f ca="1">IF($D61&gt;Standings!$Q$27,"",Z61+AG61)</f>
        <v>3.07</v>
      </c>
      <c r="AI61" s="267"/>
      <c r="AJ61" s="267">
        <f t="array" aca="1" ref="AJ61" ca="1">IF($D61&gt;Standings!$Q$27,"",(COUNTIFS($D$2:$D$225,$D61,$C$2:$C$225,$C61,$AM$2:$AM$225,"&gt;"&amp;$AM61)+1))</f>
        <v>1</v>
      </c>
      <c r="AK61" s="267">
        <f t="array" aca="1" ref="AK61" ca="1">IF($D61&gt;Standings!$Q$27,"",IF((COUNTIFS($D$2:$D$225,$D61,$C$2:$C$225,$C61,$AH$2:$AH$225,"&gt;"&amp;$AH61)+1)=2,1,0))</f>
        <v>0</v>
      </c>
      <c r="AL61" s="267">
        <f t="array" aca="1" ref="AL61" ca="1">IF($D61&gt;Standings!$Q$27,"",IF((COUNTIFS($D$2:$D$225,$D61,$C$2:$C$225,$C61,$AH$2:$AH$225,"&gt;"&amp;$AH61)+1)&lt;2,1,0))</f>
        <v>1</v>
      </c>
      <c r="AM61" s="267">
        <f ca="1">IF($D61&gt;Standings!$Q$27,"",IF(AL61=1,200+Z61+(16-AQ61)*0.01+AI61,IF(AK61=1,100+Z61+(16-AQ61)*0.01+AI61,IF(AN61=1,50+Z61+(16-AQ61)*0.01,IF(AO61=1,15+Z61+(16-AQ61)*0.01,Z61+(16-AQ61)*0.01+AI61)))))</f>
        <v>203.11</v>
      </c>
      <c r="AN61" s="267" t="str">
        <f ca="1">IF($D61&gt;Standings!$Q$27,"",IF(OR($AK61=1,$AL61=1),"Conf Playoff Spot",COUNTIFS($AL$2:$AL$225,0,$AK$2:$AK$225,0,$C$2:$C$225,$C61,$D$2:$D$225,$D61,$AC$2:$AC$225,"&gt;"&amp;$AC61)+1))</f>
        <v>Conf Playoff Spot</v>
      </c>
      <c r="AO61" s="267" t="str">
        <f t="array" aca="1" ref="AO61" ca="1">IF($D61&gt;Standings!$Q$27,"",IF(OR($AK61=1,$AL61=1),"Conf Playoff Spot",COUNTIFS($AK$2:$AK$225,0,$AL$2:$AL$225,0,$D$2:$D$225,$D61,$AH$2:$AH$225,"&gt;"&amp;$AH61)+1))</f>
        <v>Conf Playoff Spot</v>
      </c>
      <c r="AP61" s="267">
        <f t="array" aca="1" ref="AP61" ca="1">IF($D61&gt;Standings!$Q$27,"",(COUNTIFS($D$2:$D$225,$D61,$J$2:$J$225,"&gt;"&amp;$J61)+1))</f>
        <v>5</v>
      </c>
      <c r="AQ61" s="249">
        <f ca="1">IF($D61&gt;Standings!$Q$27,"",(COUNTIFS($D$2:$D$225,$D61,$AC$2:$AC$225,"&gt;"&amp;$AC61)+1))</f>
        <v>5</v>
      </c>
      <c r="AR61" s="249">
        <f ca="1">IF($D61&gt;Standings!$Q$27,"",(COUNTIFS($D$2:$D$225,$D61,$K$2:$K$225,"&gt;"&amp;$K61)+1))</f>
        <v>12</v>
      </c>
      <c r="AS61" s="249">
        <f ca="1">IF($D61&gt;Standings!$Q$27,"",(COUNTIFS($D$2:$D$225,$D61,$AD$2:$AD$225,"&gt;"&amp;$AD61)+1))</f>
        <v>6</v>
      </c>
      <c r="AT61" s="354">
        <f ca="1">IF($D61&gt;Standings!$Q$27,"",SUMIFS($J$2:$J$225,$D$2:$D$225,$D61,$C$2:$C$225,$C61))</f>
        <v>806.98</v>
      </c>
      <c r="AU61" s="253">
        <f ca="1">IF($D61&gt;Standings!$Q$27,"",SUMIFS($AC$2:$AC$225,$D$2:$D$225,$D61,$C$2:$C$225,$C61))</f>
        <v>3410.56</v>
      </c>
    </row>
    <row r="62" spans="1:47">
      <c r="A62" s="190">
        <f t="shared" si="0"/>
        <v>68</v>
      </c>
      <c r="B62" s="198" t="str">
        <f>'ESPN Data'!$L$8</f>
        <v>Team 5</v>
      </c>
      <c r="C62" s="346" t="str">
        <f>VLOOKUP(B62,'ESPN Data'!$L$4:$M$19,2,FALSE)</f>
        <v>Bone</v>
      </c>
      <c r="D62" s="397">
        <v>5</v>
      </c>
      <c r="E62" s="267" t="str">
        <f t="array" ref="E62">INDEX('ESPN Data'!$C$3:$C$226,MATCH(1,('ESPN Data'!$A$3:$A$226='Point Data'!$D62)*('ESPN Data'!$B$3:$B$226='Point Data'!$B62),0))</f>
        <v>Team 14</v>
      </c>
      <c r="F62" s="250" t="str">
        <f>IF(C62&lt;&gt;VLOOKUP($E62,'ESPN Data'!$L$4:$M$19,2,FALSE),"Non Conf", "Conf")</f>
        <v>Non Conf</v>
      </c>
      <c r="G62" s="246">
        <f t="array" aca="1" ref="G62" ca="1">IF('Point Data'!$D62&gt;Standings!$Q$27,"",(COUNTIFS($D$2:$D$225,$D62,$AM$2:$AM$225,"&gt;"&amp;$AM62)+1))</f>
        <v>2</v>
      </c>
      <c r="H62" s="172">
        <f ca="1">IF('Point Data'!$D62&gt;Standings!$Q$27,"",$G61)</f>
        <v>2</v>
      </c>
      <c r="I62" s="249">
        <f ca="1">IF('Point Data'!D62&gt;Standings!$Q$27,"",H62-G62)</f>
        <v>0</v>
      </c>
      <c r="J62" s="172">
        <f ca="1">IF('Point Data'!D62&gt;Standings!$Q$27,"",OFFSET('ESPN Data'!D$3,$A62,0,1,1))</f>
        <v>105.79</v>
      </c>
      <c r="K62" s="248">
        <f ca="1">IF('Point Data'!D62&gt;Standings!$Q$27,"",OFFSET('ESPN Data'!E$3,$A62,0,1,1))</f>
        <v>99.27</v>
      </c>
      <c r="L62" s="337">
        <f ca="1">IF('Point Data'!D62&gt;Standings!$Q$27,"",OFFSET('ESPN Data'!I$3,$A62,0,1,1))</f>
        <v>0</v>
      </c>
      <c r="M62" s="337">
        <f ca="1">IF('Point Data'!D62&gt;Standings!$Q$27,"",OFFSET('ESPN Data'!I$3,$A62,-2,1,1))</f>
        <v>46</v>
      </c>
      <c r="N62" s="337">
        <f ca="1">IF('Point Data'!D62&gt;Standings!$Q$27,"",SUMIFS($M$2:$M$225,$D$2:$D$225,D62,$C$2:$C$225,C62))</f>
        <v>65</v>
      </c>
      <c r="O62" s="337">
        <f ca="1">IF('Point Data'!D62&gt;Standings!$Q$27,"",SUMIFS($L$2:$L$225,$D$2:$D$225,$D62,$C$2:$C$225,$C62))</f>
        <v>502</v>
      </c>
      <c r="P62" s="337">
        <f ca="1">IF('Point Data'!D62&gt;Standings!$Q$27,"",SUMIFS($M$2:$M$225,$D$2:$D$225,D62))</f>
        <v>104</v>
      </c>
      <c r="Q62" s="337">
        <f ca="1">IF('Point Data'!D62&gt;Standings!$Q$27,"",SUMIFS($L$2:$L$225,$D$2:$D$225,D62))</f>
        <v>1039</v>
      </c>
      <c r="R62" s="249">
        <f ca="1">IF($D62&gt;Standings!$Q$27,"",IF(U62="T",(Z62+0.5)/(D62)*100,(Z62/D62)*100))</f>
        <v>80</v>
      </c>
      <c r="S62" s="253">
        <f ca="1">IF($D62&gt;Standings!$Q$27,"",$J62-$K62)</f>
        <v>6.5200000000000102</v>
      </c>
      <c r="T62" s="253">
        <f ca="1">IF($D62&gt;Standings!$Q$27,"",AVERAGE(OFFSET(S62,(-$D62+1),0,1,1):S62))</f>
        <v>6.4900000000000038</v>
      </c>
      <c r="U62" s="172">
        <f ca="1">IF($D62&gt;Standings!$Q$27,"",IF(J62&gt;K62,1,IF(J62=K62,"T",0)))</f>
        <v>1</v>
      </c>
      <c r="V62" s="267">
        <f ca="1">IF($D62&gt;Standings!$Q$27,"",IF(F62="Conf",V61,SUMIFS($U$2:$U$225,$D$2:$D$225,"&lt;="&amp;$D62,$B$2:$B$225,$B62,$F$2:$F$225,"Non Conf")))</f>
        <v>1</v>
      </c>
      <c r="W62" s="267" t="str">
        <f ca="1">IF($D62&gt;Standings!$Q$27,"",$V62&amp;"-"&amp;COUNTIF(OFFSET($F62,(-$D62+1),0,1,1):$F62,"Non Conf")-$V62)</f>
        <v>1-1</v>
      </c>
      <c r="X62" s="267">
        <f ca="1">IF($D62&gt;Standings!$Q$27,"",SUMIFS($U$2:$U$225,$D$2:$D$225,"&lt;="&amp;$D62,$B$2:$B$225,$B62,$F$2:$F$225,"Conf"))</f>
        <v>3</v>
      </c>
      <c r="Y62" s="267" t="str">
        <f ca="1">IF($D62&gt;Standings!$Q$27,"",$X62&amp;"-"&amp;COUNTIF(OFFSET($F62,(-$D62+1),0,1,1):$F62,"Conf")-$X62)</f>
        <v>3-0</v>
      </c>
      <c r="Z62" s="267">
        <f ca="1">IF($D62&gt;Standings!$Q$27,"",SUM(OFFSET(U62,(-$D62+1),0,1,1):U62))</f>
        <v>4</v>
      </c>
      <c r="AA62" s="172">
        <f ca="1">IF($D62&gt;Standings!$Q$27,"",IF(U62=1,1+AA61,0))</f>
        <v>4</v>
      </c>
      <c r="AB62" s="250">
        <f ca="1">IF($D62&gt;Standings!$Q$27,"",IF(AA62=0,1+AB61,0))</f>
        <v>0</v>
      </c>
      <c r="AC62" s="251">
        <f ca="1">IF($D62&gt;Standings!$Q$27,"",SUM(OFFSET(J62,(-$D62+1),0,1,1):J62))</f>
        <v>571.89</v>
      </c>
      <c r="AD62" s="248">
        <f ca="1">IF($D62&gt;Standings!$Q$27,"",SUM(OFFSET(K62,(-$D62+1),0,1,1):K62))</f>
        <v>539.43999999999994</v>
      </c>
      <c r="AE62" s="248">
        <f ca="1">IF($D62&gt;Standings!$Q$27,"",$J62-$K62)</f>
        <v>6.5200000000000102</v>
      </c>
      <c r="AF62" s="248">
        <f ca="1">IF($D62&gt;Standings!$Q$27,"",AC62-AD62)</f>
        <v>32.450000000000045</v>
      </c>
      <c r="AG62" s="172">
        <f ca="1">IF($D62&gt;Standings!$Q$27,"",(COUNTIFS($D$2:$D$225,$D62,$C$2:$C$225,$C62,$AC$2:$AC$225,"&lt;"&amp;$AC62)+1)*0.01)</f>
        <v>0.08</v>
      </c>
      <c r="AH62" s="172">
        <f ca="1">IF($D62&gt;Standings!$Q$27,"",Z62+AG62)</f>
        <v>4.08</v>
      </c>
      <c r="AI62" s="267"/>
      <c r="AJ62" s="267">
        <f t="array" aca="1" ref="AJ62" ca="1">IF($D62&gt;Standings!$Q$27,"",(COUNTIFS($D$2:$D$225,$D62,$C$2:$C$225,$C62,$AM$2:$AM$225,"&gt;"&amp;$AM62)+1))</f>
        <v>1</v>
      </c>
      <c r="AK62" s="267">
        <f t="array" aca="1" ref="AK62" ca="1">IF($D62&gt;Standings!$Q$27,"",IF((COUNTIFS($D$2:$D$225,$D62,$C$2:$C$225,$C62,$AH$2:$AH$225,"&gt;"&amp;$AH62)+1)=2,1,0))</f>
        <v>0</v>
      </c>
      <c r="AL62" s="267">
        <f t="array" aca="1" ref="AL62" ca="1">IF($D62&gt;Standings!$Q$27,"",IF((COUNTIFS($D$2:$D$225,$D62,$C$2:$C$225,$C62,$AH$2:$AH$225,"&gt;"&amp;$AH62)+1)&lt;2,1,0))</f>
        <v>1</v>
      </c>
      <c r="AM62" s="267">
        <f ca="1">IF($D62&gt;Standings!$Q$27,"",IF(AL62=1,200+Z62+(16-AQ62)*0.01+AI62,IF(AK62=1,100+Z62+(16-AQ62)*0.01+AI62,IF(AN62=1,50+Z62+(16-AQ62)*0.01,IF(AO62=1,15+Z62+(16-AQ62)*0.01,Z62+(16-AQ62)*0.01+AI62)))))</f>
        <v>204.13</v>
      </c>
      <c r="AN62" s="267" t="str">
        <f ca="1">IF($D62&gt;Standings!$Q$27,"",IF(OR($AK62=1,$AL62=1),"Conf Playoff Spot",COUNTIFS($AL$2:$AL$225,0,$AK$2:$AK$225,0,$C$2:$C$225,$C62,$D$2:$D$225,$D62,$AC$2:$AC$225,"&gt;"&amp;$AC62)+1))</f>
        <v>Conf Playoff Spot</v>
      </c>
      <c r="AO62" s="267" t="str">
        <f t="array" aca="1" ref="AO62" ca="1">IF($D62&gt;Standings!$Q$27,"",IF(OR($AK62=1,$AL62=1),"Conf Playoff Spot",COUNTIFS($AK$2:$AK$225,0,$AL$2:$AL$225,0,$D$2:$D$225,$D62,$AH$2:$AH$225,"&gt;"&amp;$AH62)+1))</f>
        <v>Conf Playoff Spot</v>
      </c>
      <c r="AP62" s="267">
        <f t="array" aca="1" ref="AP62" ca="1">IF($D62&gt;Standings!$Q$27,"",(COUNTIFS($D$2:$D$225,$D62,$J$2:$J$225,"&gt;"&amp;$J62)+1))</f>
        <v>7</v>
      </c>
      <c r="AQ62" s="249">
        <f ca="1">IF($D62&gt;Standings!$Q$27,"",(COUNTIFS($D$2:$D$225,$D62,$AC$2:$AC$225,"&gt;"&amp;$AC62)+1))</f>
        <v>3</v>
      </c>
      <c r="AR62" s="249">
        <f ca="1">IF($D62&gt;Standings!$Q$27,"",(COUNTIFS($D$2:$D$225,$D62,$K$2:$K$225,"&gt;"&amp;$K62)+1))</f>
        <v>10</v>
      </c>
      <c r="AS62" s="249">
        <f ca="1">IF($D62&gt;Standings!$Q$27,"",(COUNTIFS($D$2:$D$225,$D62,$AD$2:$AD$225,"&gt;"&amp;$AD62)+1))</f>
        <v>8</v>
      </c>
      <c r="AT62" s="354">
        <f ca="1">IF($D62&gt;Standings!$Q$27,"",SUMIFS($J$2:$J$225,$D$2:$D$225,$D62,$C$2:$C$225,$C62))</f>
        <v>811.47</v>
      </c>
      <c r="AU62" s="253">
        <f ca="1">IF($D62&gt;Standings!$Q$27,"",SUMIFS($AC$2:$AC$225,$D$2:$D$225,$D62,$C$2:$C$225,$C62))</f>
        <v>4222.03</v>
      </c>
    </row>
    <row r="63" spans="1:47">
      <c r="A63" s="190">
        <f t="shared" si="0"/>
        <v>84</v>
      </c>
      <c r="B63" s="198" t="str">
        <f>'ESPN Data'!$L$8</f>
        <v>Team 5</v>
      </c>
      <c r="C63" s="346" t="str">
        <f>VLOOKUP(B63,'ESPN Data'!$L$4:$M$19,2,FALSE)</f>
        <v>Bone</v>
      </c>
      <c r="D63" s="397">
        <v>6</v>
      </c>
      <c r="E63" s="267" t="str">
        <f t="array" ref="E63">INDEX('ESPN Data'!$C$3:$C$226,MATCH(1,('ESPN Data'!$A$3:$A$226='Point Data'!$D63)*('ESPN Data'!$B$3:$B$226='Point Data'!$B63),0))</f>
        <v>Team 7</v>
      </c>
      <c r="F63" s="250" t="str">
        <f>IF(C63&lt;&gt;VLOOKUP($E63,'ESPN Data'!$L$4:$M$19,2,FALSE),"Non Conf", "Conf")</f>
        <v>Conf</v>
      </c>
      <c r="G63" s="246">
        <f t="array" aca="1" ref="G63" ca="1">IF('Point Data'!$D63&gt;Standings!$Q$27,"",(COUNTIFS($D$2:$D$225,$D63,$AM$2:$AM$225,"&gt;"&amp;$AM63)+1))</f>
        <v>7</v>
      </c>
      <c r="H63" s="172">
        <f ca="1">IF('Point Data'!$D63&gt;Standings!$Q$27,"",$G62)</f>
        <v>2</v>
      </c>
      <c r="I63" s="249">
        <f ca="1">IF('Point Data'!D63&gt;Standings!$Q$27,"",H63-G63)</f>
        <v>-5</v>
      </c>
      <c r="J63" s="172">
        <f ca="1">IF('Point Data'!D63&gt;Standings!$Q$27,"",OFFSET('ESPN Data'!D$3,$A63,0,1,1))</f>
        <v>94.69</v>
      </c>
      <c r="K63" s="248">
        <f ca="1">IF('Point Data'!D63&gt;Standings!$Q$27,"",OFFSET('ESPN Data'!E$3,$A63,0,1,1))</f>
        <v>113.46</v>
      </c>
      <c r="L63" s="337">
        <f ca="1">IF('Point Data'!D63&gt;Standings!$Q$27,"",OFFSET('ESPN Data'!I$3,$A63,0,1,1))</f>
        <v>0</v>
      </c>
      <c r="M63" s="337">
        <f ca="1">IF('Point Data'!D63&gt;Standings!$Q$27,"",OFFSET('ESPN Data'!I$3,$A63,-2,1,1))</f>
        <v>0</v>
      </c>
      <c r="N63" s="337">
        <f ca="1">IF('Point Data'!D63&gt;Standings!$Q$27,"",SUMIFS($M$2:$M$225,$D$2:$D$225,D63,$C$2:$C$225,C63))</f>
        <v>116</v>
      </c>
      <c r="O63" s="337">
        <f ca="1">IF('Point Data'!D63&gt;Standings!$Q$27,"",SUMIFS($L$2:$L$225,$D$2:$D$225,$D63,$C$2:$C$225,$C63))</f>
        <v>386</v>
      </c>
      <c r="P63" s="337">
        <f ca="1">IF('Point Data'!D63&gt;Standings!$Q$27,"",SUMIFS($M$2:$M$225,$D$2:$D$225,D63))</f>
        <v>183</v>
      </c>
      <c r="Q63" s="337">
        <f ca="1">IF('Point Data'!D63&gt;Standings!$Q$27,"",SUMIFS($L$2:$L$225,$D$2:$D$225,D63))</f>
        <v>856</v>
      </c>
      <c r="R63" s="249">
        <f ca="1">IF($D63&gt;Standings!$Q$27,"",IF(U63="T",(Z63+0.5)/(D63)*100,(Z63/D63)*100))</f>
        <v>66.666666666666657</v>
      </c>
      <c r="S63" s="253">
        <f ca="1">IF($D63&gt;Standings!$Q$27,"",$J63-$K63)</f>
        <v>-18.769999999999996</v>
      </c>
      <c r="T63" s="253">
        <f ca="1">IF($D63&gt;Standings!$Q$27,"",AVERAGE(OFFSET(S63,(-$D63+1),0,1,1):S63))</f>
        <v>2.2800000000000034</v>
      </c>
      <c r="U63" s="172">
        <f ca="1">IF($D63&gt;Standings!$Q$27,"",IF(J63&gt;K63,1,IF(J63=K63,"T",0)))</f>
        <v>0</v>
      </c>
      <c r="V63" s="267">
        <f ca="1">IF($D63&gt;Standings!$Q$27,"",IF(F63="Conf",V62,SUMIFS($U$2:$U$225,$D$2:$D$225,"&lt;="&amp;$D63,$B$2:$B$225,$B63,$F$2:$F$225,"Non Conf")))</f>
        <v>1</v>
      </c>
      <c r="W63" s="267" t="str">
        <f ca="1">IF($D63&gt;Standings!$Q$27,"",$V63&amp;"-"&amp;COUNTIF(OFFSET($F63,(-$D63+1),0,1,1):$F63,"Non Conf")-$V63)</f>
        <v>1-1</v>
      </c>
      <c r="X63" s="267">
        <f ca="1">IF($D63&gt;Standings!$Q$27,"",SUMIFS($U$2:$U$225,$D$2:$D$225,"&lt;="&amp;$D63,$B$2:$B$225,$B63,$F$2:$F$225,"Conf"))</f>
        <v>3</v>
      </c>
      <c r="Y63" s="267" t="str">
        <f ca="1">IF($D63&gt;Standings!$Q$27,"",$X63&amp;"-"&amp;COUNTIF(OFFSET($F63,(-$D63+1),0,1,1):$F63,"Conf")-$X63)</f>
        <v>3-1</v>
      </c>
      <c r="Z63" s="267">
        <f ca="1">IF($D63&gt;Standings!$Q$27,"",SUM(OFFSET(U63,(-$D63+1),0,1,1):U63))</f>
        <v>4</v>
      </c>
      <c r="AA63" s="172">
        <f ca="1">IF($D63&gt;Standings!$Q$27,"",IF(U63=1,1+AA62,0))</f>
        <v>0</v>
      </c>
      <c r="AB63" s="250">
        <f ca="1">IF($D63&gt;Standings!$Q$27,"",IF(AA63=0,1+AB62,0))</f>
        <v>1</v>
      </c>
      <c r="AC63" s="251">
        <f ca="1">IF($D63&gt;Standings!$Q$27,"",SUM(OFFSET(J63,(-$D63+1),0,1,1):J63))</f>
        <v>666.57999999999993</v>
      </c>
      <c r="AD63" s="248">
        <f ca="1">IF($D63&gt;Standings!$Q$27,"",SUM(OFFSET(K63,(-$D63+1),0,1,1):K63))</f>
        <v>652.9</v>
      </c>
      <c r="AE63" s="248">
        <f ca="1">IF($D63&gt;Standings!$Q$27,"",$J63-$K63)</f>
        <v>-18.769999999999996</v>
      </c>
      <c r="AF63" s="248">
        <f ca="1">IF($D63&gt;Standings!$Q$27,"",AC63-AD63)</f>
        <v>13.67999999999995</v>
      </c>
      <c r="AG63" s="172">
        <f ca="1">IF($D63&gt;Standings!$Q$27,"",(COUNTIFS($D$2:$D$225,$D63,$C$2:$C$225,$C63,$AC$2:$AC$225,"&lt;"&amp;$AC63)+1)*0.01)</f>
        <v>0.06</v>
      </c>
      <c r="AH63" s="172">
        <f ca="1">IF($D63&gt;Standings!$Q$27,"",Z63+AG63)</f>
        <v>4.0599999999999996</v>
      </c>
      <c r="AI63" s="267"/>
      <c r="AJ63" s="267">
        <f t="array" aca="1" ref="AJ63" ca="1">IF($D63&gt;Standings!$Q$27,"",(COUNTIFS($D$2:$D$225,$D63,$C$2:$C$225,$C63,$AM$2:$AM$225,"&gt;"&amp;$AM63)+1))</f>
        <v>4</v>
      </c>
      <c r="AK63" s="267">
        <f t="array" aca="1" ref="AK63" ca="1">IF($D63&gt;Standings!$Q$27,"",IF((COUNTIFS($D$2:$D$225,$D63,$C$2:$C$225,$C63,$AH$2:$AH$225,"&gt;"&amp;$AH63)+1)=2,1,0))</f>
        <v>0</v>
      </c>
      <c r="AL63" s="267">
        <f t="array" aca="1" ref="AL63" ca="1">IF($D63&gt;Standings!$Q$27,"",IF((COUNTIFS($D$2:$D$225,$D63,$C$2:$C$225,$C63,$AH$2:$AH$225,"&gt;"&amp;$AH63)+1)&lt;2,1,0))</f>
        <v>0</v>
      </c>
      <c r="AM63" s="267">
        <f ca="1">IF($D63&gt;Standings!$Q$27,"",IF(AL63=1,200+Z63+(16-AQ63)*0.01+AI63,IF(AK63=1,100+Z63+(16-AQ63)*0.01+AI63,IF(AN63=1,50+Z63+(16-AQ63)*0.01,IF(AO63=1,15+Z63+(16-AQ63)*0.01,Z63+(16-AQ63)*0.01+AI63)))))</f>
        <v>4.12</v>
      </c>
      <c r="AN63" s="267">
        <f ca="1">IF($D63&gt;Standings!$Q$27,"",IF(OR($AK63=1,$AL63=1),"Conf Playoff Spot",COUNTIFS($AL$2:$AL$225,0,$AK$2:$AK$225,0,$C$2:$C$225,$C63,$D$2:$D$225,$D63,$AC$2:$AC$225,"&gt;"&amp;$AC63)+1))</f>
        <v>2</v>
      </c>
      <c r="AO63" s="267">
        <f t="array" aca="1" ref="AO63" ca="1">IF($D63&gt;Standings!$Q$27,"",IF(OR($AK63=1,$AL63=1),"Conf Playoff Spot",COUNTIFS($AK$2:$AK$225,0,$AL$2:$AL$225,0,$D$2:$D$225,$D63,$AH$2:$AH$225,"&gt;"&amp;$AH63)+1))</f>
        <v>2</v>
      </c>
      <c r="AP63" s="267">
        <f t="array" aca="1" ref="AP63" ca="1">IF($D63&gt;Standings!$Q$27,"",(COUNTIFS($D$2:$D$225,$D63,$J$2:$J$225,"&gt;"&amp;$J63)+1))</f>
        <v>10</v>
      </c>
      <c r="AQ63" s="249">
        <f ca="1">IF($D63&gt;Standings!$Q$27,"",(COUNTIFS($D$2:$D$225,$D63,$AC$2:$AC$225,"&gt;"&amp;$AC63)+1))</f>
        <v>4</v>
      </c>
      <c r="AR63" s="249">
        <f ca="1">IF($D63&gt;Standings!$Q$27,"",(COUNTIFS($D$2:$D$225,$D63,$K$2:$K$225,"&gt;"&amp;$K63)+1))</f>
        <v>4</v>
      </c>
      <c r="AS63" s="249">
        <f ca="1">IF($D63&gt;Standings!$Q$27,"",(COUNTIFS($D$2:$D$225,$D63,$AD$2:$AD$225,"&gt;"&amp;$AD63)+1))</f>
        <v>5</v>
      </c>
      <c r="AT63" s="354">
        <f ca="1">IF($D63&gt;Standings!$Q$27,"",SUMIFS($J$2:$J$225,$D$2:$D$225,$D63,$C$2:$C$225,$C63))</f>
        <v>782.35</v>
      </c>
      <c r="AU63" s="253">
        <f ca="1">IF($D63&gt;Standings!$Q$27,"",SUMIFS($AC$2:$AC$225,$D$2:$D$225,$D63,$C$2:$C$225,$C63))</f>
        <v>5004.38</v>
      </c>
    </row>
    <row r="64" spans="1:47">
      <c r="A64" s="190">
        <f t="shared" si="0"/>
        <v>100</v>
      </c>
      <c r="B64" s="198" t="str">
        <f>'ESPN Data'!$L$8</f>
        <v>Team 5</v>
      </c>
      <c r="C64" s="346" t="str">
        <f>VLOOKUP(B64,'ESPN Data'!$L$4:$M$19,2,FALSE)</f>
        <v>Bone</v>
      </c>
      <c r="D64" s="397">
        <v>7</v>
      </c>
      <c r="E64" s="267" t="str">
        <f t="array" ref="E64">INDEX('ESPN Data'!$C$3:$C$226,MATCH(1,('ESPN Data'!$A$3:$A$226='Point Data'!$D64)*('ESPN Data'!$B$3:$B$226='Point Data'!$B64),0))</f>
        <v>Team 9</v>
      </c>
      <c r="F64" s="250" t="str">
        <f>IF(C64&lt;&gt;VLOOKUP($E64,'ESPN Data'!$L$4:$M$19,2,FALSE),"Non Conf", "Conf")</f>
        <v>Non Conf</v>
      </c>
      <c r="G64" s="246">
        <f t="array" aca="1" ref="G64" ca="1">IF('Point Data'!$D64&gt;Standings!$Q$27,"",(COUNTIFS($D$2:$D$225,$D64,$AM$2:$AM$225,"&gt;"&amp;$AM64)+1))</f>
        <v>3</v>
      </c>
      <c r="H64" s="172">
        <f ca="1">IF('Point Data'!$D64&gt;Standings!$Q$27,"",$G63)</f>
        <v>7</v>
      </c>
      <c r="I64" s="249">
        <f ca="1">IF('Point Data'!D64&gt;Standings!$Q$27,"",H64-G64)</f>
        <v>4</v>
      </c>
      <c r="J64" s="172">
        <f ca="1">IF('Point Data'!D64&gt;Standings!$Q$27,"",OFFSET('ESPN Data'!D$3,$A64,0,1,1))</f>
        <v>154.35</v>
      </c>
      <c r="K64" s="248">
        <f ca="1">IF('Point Data'!D64&gt;Standings!$Q$27,"",OFFSET('ESPN Data'!E$3,$A64,0,1,1))</f>
        <v>119.96</v>
      </c>
      <c r="L64" s="337">
        <f ca="1">IF('Point Data'!D64&gt;Standings!$Q$27,"",OFFSET('ESPN Data'!I$3,$A64,0,1,1))</f>
        <v>0</v>
      </c>
      <c r="M64" s="337">
        <f ca="1">IF('Point Data'!D64&gt;Standings!$Q$27,"",OFFSET('ESPN Data'!I$3,$A64,-2,1,1))</f>
        <v>0</v>
      </c>
      <c r="N64" s="337">
        <f ca="1">IF('Point Data'!D64&gt;Standings!$Q$27,"",SUMIFS($M$2:$M$225,$D$2:$D$225,D64,$C$2:$C$225,C64))</f>
        <v>28</v>
      </c>
      <c r="O64" s="337">
        <f ca="1">IF('Point Data'!D64&gt;Standings!$Q$27,"",SUMIFS($L$2:$L$225,$D$2:$D$225,$D64,$C$2:$C$225,$C64))</f>
        <v>358</v>
      </c>
      <c r="P64" s="337">
        <f ca="1">IF('Point Data'!D64&gt;Standings!$Q$27,"",SUMIFS($M$2:$M$225,$D$2:$D$225,D64))</f>
        <v>168</v>
      </c>
      <c r="Q64" s="337">
        <f ca="1">IF('Point Data'!D64&gt;Standings!$Q$27,"",SUMIFS($L$2:$L$225,$D$2:$D$225,D64))</f>
        <v>688</v>
      </c>
      <c r="R64" s="249">
        <f ca="1">IF($D64&gt;Standings!$Q$27,"",IF(U64="T",(Z64+0.5)/(D64)*100,(Z64/D64)*100))</f>
        <v>71.428571428571431</v>
      </c>
      <c r="S64" s="253">
        <f ca="1">IF($D64&gt;Standings!$Q$27,"",$J64-$K64)</f>
        <v>34.39</v>
      </c>
      <c r="T64" s="253">
        <f ca="1">IF($D64&gt;Standings!$Q$27,"",AVERAGE(OFFSET(S64,(-$D64+1),0,1,1):S64))</f>
        <v>6.8671428571428601</v>
      </c>
      <c r="U64" s="172">
        <f ca="1">IF($D64&gt;Standings!$Q$27,"",IF(J64&gt;K64,1,IF(J64=K64,"T",0)))</f>
        <v>1</v>
      </c>
      <c r="V64" s="267">
        <f ca="1">IF($D64&gt;Standings!$Q$27,"",IF(F64="Conf",V63,SUMIFS($U$2:$U$225,$D$2:$D$225,"&lt;="&amp;$D64,$B$2:$B$225,$B64,$F$2:$F$225,"Non Conf")))</f>
        <v>2</v>
      </c>
      <c r="W64" s="267" t="str">
        <f ca="1">IF($D64&gt;Standings!$Q$27,"",$V64&amp;"-"&amp;COUNTIF(OFFSET($F64,(-$D64+1),0,1,1):$F64,"Non Conf")-$V64)</f>
        <v>2-1</v>
      </c>
      <c r="X64" s="267">
        <f ca="1">IF($D64&gt;Standings!$Q$27,"",SUMIFS($U$2:$U$225,$D$2:$D$225,"&lt;="&amp;$D64,$B$2:$B$225,$B64,$F$2:$F$225,"Conf"))</f>
        <v>3</v>
      </c>
      <c r="Y64" s="267" t="str">
        <f ca="1">IF($D64&gt;Standings!$Q$27,"",$X64&amp;"-"&amp;COUNTIF(OFFSET($F64,(-$D64+1),0,1,1):$F64,"Conf")-$X64)</f>
        <v>3-1</v>
      </c>
      <c r="Z64" s="267">
        <f ca="1">IF($D64&gt;Standings!$Q$27,"",SUM(OFFSET(U64,(-$D64+1),0,1,1):U64))</f>
        <v>5</v>
      </c>
      <c r="AA64" s="172">
        <f ca="1">IF($D64&gt;Standings!$Q$27,"",IF(U64=1,1+AA63,0))</f>
        <v>1</v>
      </c>
      <c r="AB64" s="250">
        <f ca="1">IF($D64&gt;Standings!$Q$27,"",IF(AA64=0,1+AB63,0))</f>
        <v>0</v>
      </c>
      <c r="AC64" s="251">
        <f ca="1">IF($D64&gt;Standings!$Q$27,"",SUM(OFFSET(J64,(-$D64+1),0,1,1):J64))</f>
        <v>820.93</v>
      </c>
      <c r="AD64" s="248">
        <f ca="1">IF($D64&gt;Standings!$Q$27,"",SUM(OFFSET(K64,(-$D64+1),0,1,1):K64))</f>
        <v>772.86</v>
      </c>
      <c r="AE64" s="248">
        <f ca="1">IF($D64&gt;Standings!$Q$27,"",$J64-$K64)</f>
        <v>34.39</v>
      </c>
      <c r="AF64" s="248">
        <f ca="1">IF($D64&gt;Standings!$Q$27,"",AC64-AD64)</f>
        <v>48.069999999999936</v>
      </c>
      <c r="AG64" s="172">
        <f ca="1">IF($D64&gt;Standings!$Q$27,"",(COUNTIFS($D$2:$D$225,$D64,$C$2:$C$225,$C64,$AC$2:$AC$225,"&lt;"&amp;$AC64)+1)*0.01)</f>
        <v>0.08</v>
      </c>
      <c r="AH64" s="172">
        <f ca="1">IF($D64&gt;Standings!$Q$27,"",Z64+AG64)</f>
        <v>5.08</v>
      </c>
      <c r="AI64" s="267"/>
      <c r="AJ64" s="267">
        <f t="array" aca="1" ref="AJ64" ca="1">IF($D64&gt;Standings!$Q$27,"",(COUNTIFS($D$2:$D$225,$D64,$C$2:$C$225,$C64,$AM$2:$AM$225,"&gt;"&amp;$AM64)+1))</f>
        <v>2</v>
      </c>
      <c r="AK64" s="267">
        <f t="array" aca="1" ref="AK64" ca="1">IF($D64&gt;Standings!$Q$27,"",IF((COUNTIFS($D$2:$D$225,$D64,$C$2:$C$225,$C64,$AH$2:$AH$225,"&gt;"&amp;$AH64)+1)=2,1,0))</f>
        <v>1</v>
      </c>
      <c r="AL64" s="267">
        <f t="array" aca="1" ref="AL64" ca="1">IF($D64&gt;Standings!$Q$27,"",IF((COUNTIFS($D$2:$D$225,$D64,$C$2:$C$225,$C64,$AH$2:$AH$225,"&gt;"&amp;$AH64)+1)&lt;2,1,0))</f>
        <v>0</v>
      </c>
      <c r="AM64" s="267">
        <f ca="1">IF($D64&gt;Standings!$Q$27,"",IF(AL64=1,200+Z64+(16-AQ64)*0.01+AI64,IF(AK64=1,100+Z64+(16-AQ64)*0.01+AI64,IF(AN64=1,50+Z64+(16-AQ64)*0.01,IF(AO64=1,15+Z64+(16-AQ64)*0.01,Z64+(16-AQ64)*0.01+AI64)))))</f>
        <v>105.14</v>
      </c>
      <c r="AN64" s="267" t="str">
        <f ca="1">IF($D64&gt;Standings!$Q$27,"",IF(OR($AK64=1,$AL64=1),"Conf Playoff Spot",COUNTIFS($AL$2:$AL$225,0,$AK$2:$AK$225,0,$C$2:$C$225,$C64,$D$2:$D$225,$D64,$AC$2:$AC$225,"&gt;"&amp;$AC64)+1))</f>
        <v>Conf Playoff Spot</v>
      </c>
      <c r="AO64" s="267" t="str">
        <f t="array" aca="1" ref="AO64" ca="1">IF($D64&gt;Standings!$Q$27,"",IF(OR($AK64=1,$AL64=1),"Conf Playoff Spot",COUNTIFS($AK$2:$AK$225,0,$AL$2:$AL$225,0,$D$2:$D$225,$D64,$AH$2:$AH$225,"&gt;"&amp;$AH64)+1))</f>
        <v>Conf Playoff Spot</v>
      </c>
      <c r="AP64" s="267">
        <f t="array" aca="1" ref="AP64" ca="1">IF($D64&gt;Standings!$Q$27,"",(COUNTIFS($D$2:$D$225,$D64,$J$2:$J$225,"&gt;"&amp;$J64)+1))</f>
        <v>1</v>
      </c>
      <c r="AQ64" s="249">
        <f ca="1">IF($D64&gt;Standings!$Q$27,"",(COUNTIFS($D$2:$D$225,$D64,$AC$2:$AC$225,"&gt;"&amp;$AC64)+1))</f>
        <v>2</v>
      </c>
      <c r="AR64" s="249">
        <f ca="1">IF($D64&gt;Standings!$Q$27,"",(COUNTIFS($D$2:$D$225,$D64,$K$2:$K$225,"&gt;"&amp;$K64)+1))</f>
        <v>5</v>
      </c>
      <c r="AS64" s="249">
        <f ca="1">IF($D64&gt;Standings!$Q$27,"",(COUNTIFS($D$2:$D$225,$D64,$AD$2:$AD$225,"&gt;"&amp;$AD64)+1))</f>
        <v>3</v>
      </c>
      <c r="AT64" s="354">
        <f ca="1">IF($D64&gt;Standings!$Q$27,"",SUMIFS($J$2:$J$225,$D$2:$D$225,$D64,$C$2:$C$225,$C64))</f>
        <v>939.21999999999991</v>
      </c>
      <c r="AU64" s="253">
        <f ca="1">IF($D64&gt;Standings!$Q$27,"",SUMIFS($AC$2:$AC$225,$D$2:$D$225,$D64,$C$2:$C$225,$C64))</f>
        <v>5943.6</v>
      </c>
    </row>
    <row r="65" spans="1:47">
      <c r="A65" s="190">
        <f t="shared" si="0"/>
        <v>116</v>
      </c>
      <c r="B65" s="198" t="str">
        <f>'ESPN Data'!$L$8</f>
        <v>Team 5</v>
      </c>
      <c r="C65" s="346" t="str">
        <f>VLOOKUP(B65,'ESPN Data'!$L$4:$M$19,2,FALSE)</f>
        <v>Bone</v>
      </c>
      <c r="D65" s="397">
        <v>8</v>
      </c>
      <c r="E65" s="267" t="str">
        <f t="array" ref="E65">INDEX('ESPN Data'!$C$3:$C$226,MATCH(1,('ESPN Data'!$A$3:$A$226='Point Data'!$D65)*('ESPN Data'!$B$3:$B$226='Point Data'!$B65),0))</f>
        <v>Team 2</v>
      </c>
      <c r="F65" s="250" t="str">
        <f>IF(C65&lt;&gt;VLOOKUP($E65,'ESPN Data'!$L$4:$M$19,2,FALSE),"Non Conf", "Conf")</f>
        <v>Conf</v>
      </c>
      <c r="G65" s="246">
        <f t="array" aca="1" ref="G65" ca="1">IF('Point Data'!$D65&gt;Standings!$Q$27,"",(COUNTIFS($D$2:$D$225,$D65,$AM$2:$AM$225,"&gt;"&amp;$AM65)+1))</f>
        <v>1</v>
      </c>
      <c r="H65" s="172">
        <f ca="1">IF('Point Data'!$D65&gt;Standings!$Q$27,"",$G64)</f>
        <v>3</v>
      </c>
      <c r="I65" s="249">
        <f ca="1">IF('Point Data'!D65&gt;Standings!$Q$27,"",H65-G65)</f>
        <v>2</v>
      </c>
      <c r="J65" s="172">
        <f ca="1">IF('Point Data'!D65&gt;Standings!$Q$27,"",OFFSET('ESPN Data'!D$3,$A65,0,1,1))</f>
        <v>121.81</v>
      </c>
      <c r="K65" s="248">
        <f ca="1">IF('Point Data'!D65&gt;Standings!$Q$27,"",OFFSET('ESPN Data'!E$3,$A65,0,1,1))</f>
        <v>87.31</v>
      </c>
      <c r="L65" s="337">
        <f ca="1">IF('Point Data'!D65&gt;Standings!$Q$27,"",OFFSET('ESPN Data'!I$3,$A65,0,1,1))</f>
        <v>0</v>
      </c>
      <c r="M65" s="337">
        <f ca="1">IF('Point Data'!D65&gt;Standings!$Q$27,"",OFFSET('ESPN Data'!I$3,$A65,-2,1,1))</f>
        <v>0</v>
      </c>
      <c r="N65" s="337">
        <f ca="1">IF('Point Data'!D65&gt;Standings!$Q$27,"",SUMIFS($M$2:$M$225,$D$2:$D$225,D65,$C$2:$C$225,C65))</f>
        <v>18</v>
      </c>
      <c r="O65" s="337">
        <f ca="1">IF('Point Data'!D65&gt;Standings!$Q$27,"",SUMIFS($L$2:$L$225,$D$2:$D$225,$D65,$C$2:$C$225,$C65))</f>
        <v>340</v>
      </c>
      <c r="P65" s="337">
        <f ca="1">IF('Point Data'!D65&gt;Standings!$Q$27,"",SUMIFS($M$2:$M$225,$D$2:$D$225,D65))</f>
        <v>80</v>
      </c>
      <c r="Q65" s="337">
        <f ca="1">IF('Point Data'!D65&gt;Standings!$Q$27,"",SUMIFS($L$2:$L$225,$D$2:$D$225,D65))</f>
        <v>608</v>
      </c>
      <c r="R65" s="249">
        <f ca="1">IF($D65&gt;Standings!$Q$27,"",IF(U65="T",(Z65+0.5)/(D65)*100,(Z65/D65)*100))</f>
        <v>75</v>
      </c>
      <c r="S65" s="253">
        <f ca="1">IF($D65&gt;Standings!$Q$27,"",$J65-$K65)</f>
        <v>34.5</v>
      </c>
      <c r="T65" s="253">
        <f ca="1">IF($D65&gt;Standings!$Q$27,"",AVERAGE(OFFSET(S65,(-$D65+1),0,1,1):S65))</f>
        <v>10.321250000000003</v>
      </c>
      <c r="U65" s="172">
        <f ca="1">IF($D65&gt;Standings!$Q$27,"",IF(J65&gt;K65,1,IF(J65=K65,"T",0)))</f>
        <v>1</v>
      </c>
      <c r="V65" s="267">
        <f ca="1">IF($D65&gt;Standings!$Q$27,"",IF(F65="Conf",V64,SUMIFS($U$2:$U$225,$D$2:$D$225,"&lt;="&amp;$D65,$B$2:$B$225,$B65,$F$2:$F$225,"Non Conf")))</f>
        <v>2</v>
      </c>
      <c r="W65" s="267" t="str">
        <f ca="1">IF($D65&gt;Standings!$Q$27,"",$V65&amp;"-"&amp;COUNTIF(OFFSET($F65,(-$D65+1),0,1,1):$F65,"Non Conf")-$V65)</f>
        <v>2-1</v>
      </c>
      <c r="X65" s="267">
        <f ca="1">IF($D65&gt;Standings!$Q$27,"",SUMIFS($U$2:$U$225,$D$2:$D$225,"&lt;="&amp;$D65,$B$2:$B$225,$B65,$F$2:$F$225,"Conf"))</f>
        <v>4</v>
      </c>
      <c r="Y65" s="267" t="str">
        <f ca="1">IF($D65&gt;Standings!$Q$27,"",$X65&amp;"-"&amp;COUNTIF(OFFSET($F65,(-$D65+1),0,1,1):$F65,"Conf")-$X65)</f>
        <v>4-1</v>
      </c>
      <c r="Z65" s="267">
        <f ca="1">IF($D65&gt;Standings!$Q$27,"",SUM(OFFSET(U65,(-$D65+1),0,1,1):U65))</f>
        <v>6</v>
      </c>
      <c r="AA65" s="172">
        <f ca="1">IF($D65&gt;Standings!$Q$27,"",IF(U65=1,1+AA64,0))</f>
        <v>2</v>
      </c>
      <c r="AB65" s="250">
        <f ca="1">IF($D65&gt;Standings!$Q$27,"",IF(AA65=0,1+AB64,0))</f>
        <v>0</v>
      </c>
      <c r="AC65" s="251">
        <f ca="1">IF($D65&gt;Standings!$Q$27,"",SUM(OFFSET(J65,(-$D65+1),0,1,1):J65))</f>
        <v>942.74</v>
      </c>
      <c r="AD65" s="248">
        <f ca="1">IF($D65&gt;Standings!$Q$27,"",SUM(OFFSET(K65,(-$D65+1),0,1,1):K65))</f>
        <v>860.17000000000007</v>
      </c>
      <c r="AE65" s="248">
        <f ca="1">IF($D65&gt;Standings!$Q$27,"",$J65-$K65)</f>
        <v>34.5</v>
      </c>
      <c r="AF65" s="248">
        <f ca="1">IF($D65&gt;Standings!$Q$27,"",AC65-AD65)</f>
        <v>82.569999999999936</v>
      </c>
      <c r="AG65" s="172">
        <f ca="1">IF($D65&gt;Standings!$Q$27,"",(COUNTIFS($D$2:$D$225,$D65,$C$2:$C$225,$C65,$AC$2:$AC$225,"&lt;"&amp;$AC65)+1)*0.01)</f>
        <v>0.08</v>
      </c>
      <c r="AH65" s="172">
        <f ca="1">IF($D65&gt;Standings!$Q$27,"",Z65+AG65)</f>
        <v>6.08</v>
      </c>
      <c r="AI65" s="267"/>
      <c r="AJ65" s="267">
        <f t="array" aca="1" ref="AJ65" ca="1">IF($D65&gt;Standings!$Q$27,"",(COUNTIFS($D$2:$D$225,$D65,$C$2:$C$225,$C65,$AM$2:$AM$225,"&gt;"&amp;$AM65)+1))</f>
        <v>1</v>
      </c>
      <c r="AK65" s="267">
        <f t="array" aca="1" ref="AK65" ca="1">IF($D65&gt;Standings!$Q$27,"",IF((COUNTIFS($D$2:$D$225,$D65,$C$2:$C$225,$C65,$AH$2:$AH$225,"&gt;"&amp;$AH65)+1)=2,1,0))</f>
        <v>0</v>
      </c>
      <c r="AL65" s="267">
        <f t="array" aca="1" ref="AL65" ca="1">IF($D65&gt;Standings!$Q$27,"",IF((COUNTIFS($D$2:$D$225,$D65,$C$2:$C$225,$C65,$AH$2:$AH$225,"&gt;"&amp;$AH65)+1)&lt;2,1,0))</f>
        <v>1</v>
      </c>
      <c r="AM65" s="267">
        <f ca="1">IF($D65&gt;Standings!$Q$27,"",IF(AL65=1,200+Z65+(16-AQ65)*0.01+AI65,IF(AK65=1,100+Z65+(16-AQ65)*0.01+AI65,IF(AN65=1,50+Z65+(16-AQ65)*0.01,IF(AO65=1,15+Z65+(16-AQ65)*0.01,Z65+(16-AQ65)*0.01+AI65)))))</f>
        <v>206.15</v>
      </c>
      <c r="AN65" s="267" t="str">
        <f ca="1">IF($D65&gt;Standings!$Q$27,"",IF(OR($AK65=1,$AL65=1),"Conf Playoff Spot",COUNTIFS($AL$2:$AL$225,0,$AK$2:$AK$225,0,$C$2:$C$225,$C65,$D$2:$D$225,$D65,$AC$2:$AC$225,"&gt;"&amp;$AC65)+1))</f>
        <v>Conf Playoff Spot</v>
      </c>
      <c r="AO65" s="267" t="str">
        <f t="array" aca="1" ref="AO65" ca="1">IF($D65&gt;Standings!$Q$27,"",IF(OR($AK65=1,$AL65=1),"Conf Playoff Spot",COUNTIFS($AK$2:$AK$225,0,$AL$2:$AL$225,0,$D$2:$D$225,$D65,$AH$2:$AH$225,"&gt;"&amp;$AH65)+1))</f>
        <v>Conf Playoff Spot</v>
      </c>
      <c r="AP65" s="267">
        <f t="array" aca="1" ref="AP65" ca="1">IF($D65&gt;Standings!$Q$27,"",(COUNTIFS($D$2:$D$225,$D65,$J$2:$J$225,"&gt;"&amp;$J65)+1))</f>
        <v>3</v>
      </c>
      <c r="AQ65" s="249">
        <f ca="1">IF($D65&gt;Standings!$Q$27,"",(COUNTIFS($D$2:$D$225,$D65,$AC$2:$AC$225,"&gt;"&amp;$AC65)+1))</f>
        <v>1</v>
      </c>
      <c r="AR65" s="249">
        <f ca="1">IF($D65&gt;Standings!$Q$27,"",(COUNTIFS($D$2:$D$225,$D65,$K$2:$K$225,"&gt;"&amp;$K65)+1))</f>
        <v>9</v>
      </c>
      <c r="AS65" s="249">
        <f ca="1">IF($D65&gt;Standings!$Q$27,"",(COUNTIFS($D$2:$D$225,$D65,$AD$2:$AD$225,"&gt;"&amp;$AD65)+1))</f>
        <v>3</v>
      </c>
      <c r="AT65" s="354">
        <f ca="1">IF($D65&gt;Standings!$Q$27,"",SUMIFS($J$2:$J$225,$D$2:$D$225,$D65,$C$2:$C$225,$C65))</f>
        <v>724.6400000000001</v>
      </c>
      <c r="AU65" s="253">
        <f ca="1">IF($D65&gt;Standings!$Q$27,"",SUMIFS($AC$2:$AC$225,$D$2:$D$225,$D65,$C$2:$C$225,$C65))</f>
        <v>6668.24</v>
      </c>
    </row>
    <row r="66" spans="1:47">
      <c r="A66" s="190">
        <f t="shared" si="0"/>
        <v>132</v>
      </c>
      <c r="B66" s="198" t="str">
        <f>'ESPN Data'!$L$8</f>
        <v>Team 5</v>
      </c>
      <c r="C66" s="346" t="str">
        <f>VLOOKUP(B66,'ESPN Data'!$L$4:$M$19,2,FALSE)</f>
        <v>Bone</v>
      </c>
      <c r="D66" s="397">
        <v>9</v>
      </c>
      <c r="E66" s="267" t="str">
        <f t="array" ref="E66">INDEX('ESPN Data'!$C$3:$C$226,MATCH(1,('ESPN Data'!$A$3:$A$226='Point Data'!$D66)*('ESPN Data'!$B$3:$B$226='Point Data'!$B66),0))</f>
        <v>Team 16</v>
      </c>
      <c r="F66" s="250" t="str">
        <f>IF(C66&lt;&gt;VLOOKUP($E66,'ESPN Data'!$L$4:$M$19,2,FALSE),"Non Conf", "Conf")</f>
        <v>Non Conf</v>
      </c>
      <c r="G66" s="246">
        <f t="array" aca="1" ref="G66" ca="1">IF('Point Data'!$D66&gt;Standings!$Q$27,"",(COUNTIFS($D$2:$D$225,$D66,$AM$2:$AM$225,"&gt;"&amp;$AM66)+1))</f>
        <v>1</v>
      </c>
      <c r="H66" s="172">
        <f ca="1">IF('Point Data'!$D66&gt;Standings!$Q$27,"",$G65)</f>
        <v>1</v>
      </c>
      <c r="I66" s="249">
        <f ca="1">IF('Point Data'!D66&gt;Standings!$Q$27,"",H66-G66)</f>
        <v>0</v>
      </c>
      <c r="J66" s="172">
        <f ca="1">IF('Point Data'!D66&gt;Standings!$Q$27,"",OFFSET('ESPN Data'!D$3,$A66,0,1,1))</f>
        <v>157.65</v>
      </c>
      <c r="K66" s="248">
        <f ca="1">IF('Point Data'!D66&gt;Standings!$Q$27,"",OFFSET('ESPN Data'!E$3,$A66,0,1,1))</f>
        <v>87.91</v>
      </c>
      <c r="L66" s="337">
        <f ca="1">IF('Point Data'!D66&gt;Standings!$Q$27,"",OFFSET('ESPN Data'!I$3,$A66,0,1,1))</f>
        <v>0</v>
      </c>
      <c r="M66" s="337">
        <f ca="1">IF('Point Data'!D66&gt;Standings!$Q$27,"",OFFSET('ESPN Data'!I$3,$A66,-2,1,1))</f>
        <v>0</v>
      </c>
      <c r="N66" s="337">
        <f ca="1">IF('Point Data'!D66&gt;Standings!$Q$27,"",SUMIFS($M$2:$M$225,$D$2:$D$225,D66,$C$2:$C$225,C66))</f>
        <v>35</v>
      </c>
      <c r="O66" s="337">
        <f ca="1">IF('Point Data'!D66&gt;Standings!$Q$27,"",SUMIFS($L$2:$L$225,$D$2:$D$225,$D66,$C$2:$C$225,$C66))</f>
        <v>305</v>
      </c>
      <c r="P66" s="337">
        <f ca="1">IF('Point Data'!D66&gt;Standings!$Q$27,"",SUMIFS($M$2:$M$225,$D$2:$D$225,D66))</f>
        <v>63</v>
      </c>
      <c r="Q66" s="337">
        <f ca="1">IF('Point Data'!D66&gt;Standings!$Q$27,"",SUMIFS($L$2:$L$225,$D$2:$D$225,D66))</f>
        <v>545</v>
      </c>
      <c r="R66" s="249">
        <f ca="1">IF($D66&gt;Standings!$Q$27,"",IF(U66="T",(Z66+0.5)/(D66)*100,(Z66/D66)*100))</f>
        <v>77.777777777777786</v>
      </c>
      <c r="S66" s="253">
        <f ca="1">IF($D66&gt;Standings!$Q$27,"",$J66-$K66)</f>
        <v>69.740000000000009</v>
      </c>
      <c r="T66" s="253">
        <f ca="1">IF($D66&gt;Standings!$Q$27,"",AVERAGE(OFFSET(S66,(-$D66+1),0,1,1):S66))</f>
        <v>16.923333333333336</v>
      </c>
      <c r="U66" s="172">
        <f ca="1">IF($D66&gt;Standings!$Q$27,"",IF(J66&gt;K66,1,IF(J66=K66,"T",0)))</f>
        <v>1</v>
      </c>
      <c r="V66" s="267">
        <f ca="1">IF($D66&gt;Standings!$Q$27,"",IF(F66="Conf",V65,SUMIFS($U$2:$U$225,$D$2:$D$225,"&lt;="&amp;$D66,$B$2:$B$225,$B66,$F$2:$F$225,"Non Conf")))</f>
        <v>3</v>
      </c>
      <c r="W66" s="267" t="str">
        <f ca="1">IF($D66&gt;Standings!$Q$27,"",$V66&amp;"-"&amp;COUNTIF(OFFSET($F66,(-$D66+1),0,1,1):$F66,"Non Conf")-$V66)</f>
        <v>3-1</v>
      </c>
      <c r="X66" s="267">
        <f ca="1">IF($D66&gt;Standings!$Q$27,"",SUMIFS($U$2:$U$225,$D$2:$D$225,"&lt;="&amp;$D66,$B$2:$B$225,$B66,$F$2:$F$225,"Conf"))</f>
        <v>4</v>
      </c>
      <c r="Y66" s="267" t="str">
        <f ca="1">IF($D66&gt;Standings!$Q$27,"",$X66&amp;"-"&amp;COUNTIF(OFFSET($F66,(-$D66+1),0,1,1):$F66,"Conf")-$X66)</f>
        <v>4-1</v>
      </c>
      <c r="Z66" s="267">
        <f ca="1">IF($D66&gt;Standings!$Q$27,"",SUM(OFFSET(U66,(-$D66+1),0,1,1):U66))</f>
        <v>7</v>
      </c>
      <c r="AA66" s="172">
        <f ca="1">IF($D66&gt;Standings!$Q$27,"",IF(U66=1,1+AA65,0))</f>
        <v>3</v>
      </c>
      <c r="AB66" s="250">
        <f ca="1">IF($D66&gt;Standings!$Q$27,"",IF(AA66=0,1+AB65,0))</f>
        <v>0</v>
      </c>
      <c r="AC66" s="251">
        <f ca="1">IF($D66&gt;Standings!$Q$27,"",SUM(OFFSET(J66,(-$D66+1),0,1,1):J66))</f>
        <v>1100.3900000000001</v>
      </c>
      <c r="AD66" s="248">
        <f ca="1">IF($D66&gt;Standings!$Q$27,"",SUM(OFFSET(K66,(-$D66+1),0,1,1):K66))</f>
        <v>948.08</v>
      </c>
      <c r="AE66" s="248">
        <f ca="1">IF($D66&gt;Standings!$Q$27,"",$J66-$K66)</f>
        <v>69.740000000000009</v>
      </c>
      <c r="AF66" s="248">
        <f ca="1">IF($D66&gt;Standings!$Q$27,"",AC66-AD66)</f>
        <v>152.31000000000006</v>
      </c>
      <c r="AG66" s="172">
        <f ca="1">IF($D66&gt;Standings!$Q$27,"",(COUNTIFS($D$2:$D$225,$D66,$C$2:$C$225,$C66,$AC$2:$AC$225,"&lt;"&amp;$AC66)+1)*0.01)</f>
        <v>0.08</v>
      </c>
      <c r="AH66" s="172">
        <f ca="1">IF($D66&gt;Standings!$Q$27,"",Z66+AG66)</f>
        <v>7.08</v>
      </c>
      <c r="AI66" s="267"/>
      <c r="AJ66" s="267">
        <f t="array" aca="1" ref="AJ66" ca="1">IF($D66&gt;Standings!$Q$27,"",(COUNTIFS($D$2:$D$225,$D66,$C$2:$C$225,$C66,$AM$2:$AM$225,"&gt;"&amp;$AM66)+1))</f>
        <v>1</v>
      </c>
      <c r="AK66" s="267">
        <f t="array" aca="1" ref="AK66" ca="1">IF($D66&gt;Standings!$Q$27,"",IF((COUNTIFS($D$2:$D$225,$D66,$C$2:$C$225,$C66,$AH$2:$AH$225,"&gt;"&amp;$AH66)+1)=2,1,0))</f>
        <v>0</v>
      </c>
      <c r="AL66" s="267">
        <f t="array" aca="1" ref="AL66" ca="1">IF($D66&gt;Standings!$Q$27,"",IF((COUNTIFS($D$2:$D$225,$D66,$C$2:$C$225,$C66,$AH$2:$AH$225,"&gt;"&amp;$AH66)+1)&lt;2,1,0))</f>
        <v>1</v>
      </c>
      <c r="AM66" s="267">
        <f ca="1">IF($D66&gt;Standings!$Q$27,"",IF(AL66=1,200+Z66+(16-AQ66)*0.01+AI66,IF(AK66=1,100+Z66+(16-AQ66)*0.01+AI66,IF(AN66=1,50+Z66+(16-AQ66)*0.01,IF(AO66=1,15+Z66+(16-AQ66)*0.01,Z66+(16-AQ66)*0.01+AI66)))))</f>
        <v>207.15</v>
      </c>
      <c r="AN66" s="267" t="str">
        <f ca="1">IF($D66&gt;Standings!$Q$27,"",IF(OR($AK66=1,$AL66=1),"Conf Playoff Spot",COUNTIFS($AL$2:$AL$225,0,$AK$2:$AK$225,0,$C$2:$C$225,$C66,$D$2:$D$225,$D66,$AC$2:$AC$225,"&gt;"&amp;$AC66)+1))</f>
        <v>Conf Playoff Spot</v>
      </c>
      <c r="AO66" s="267" t="str">
        <f t="array" aca="1" ref="AO66" ca="1">IF($D66&gt;Standings!$Q$27,"",IF(OR($AK66=1,$AL66=1),"Conf Playoff Spot",COUNTIFS($AK$2:$AK$225,0,$AL$2:$AL$225,0,$D$2:$D$225,$D66,$AH$2:$AH$225,"&gt;"&amp;$AH66)+1))</f>
        <v>Conf Playoff Spot</v>
      </c>
      <c r="AP66" s="267">
        <f t="array" aca="1" ref="AP66" ca="1">IF($D66&gt;Standings!$Q$27,"",(COUNTIFS($D$2:$D$225,$D66,$J$2:$J$225,"&gt;"&amp;$J66)+1))</f>
        <v>1</v>
      </c>
      <c r="AQ66" s="249">
        <f ca="1">IF($D66&gt;Standings!$Q$27,"",(COUNTIFS($D$2:$D$225,$D66,$AC$2:$AC$225,"&gt;"&amp;$AC66)+1))</f>
        <v>1</v>
      </c>
      <c r="AR66" s="249">
        <f ca="1">IF($D66&gt;Standings!$Q$27,"",(COUNTIFS($D$2:$D$225,$D66,$K$2:$K$225,"&gt;"&amp;$K66)+1))</f>
        <v>10</v>
      </c>
      <c r="AS66" s="249">
        <f ca="1">IF($D66&gt;Standings!$Q$27,"",(COUNTIFS($D$2:$D$225,$D66,$AD$2:$AD$225,"&gt;"&amp;$AD66)+1))</f>
        <v>6</v>
      </c>
      <c r="AT66" s="354">
        <f ca="1">IF($D66&gt;Standings!$Q$27,"",SUMIFS($J$2:$J$225,$D$2:$D$225,$D66,$C$2:$C$225,$C66))</f>
        <v>780.12</v>
      </c>
      <c r="AU66" s="253">
        <f ca="1">IF($D66&gt;Standings!$Q$27,"",SUMIFS($AC$2:$AC$225,$D$2:$D$225,$D66,$C$2:$C$225,$C66))</f>
        <v>7448.3600000000006</v>
      </c>
    </row>
    <row r="67" spans="1:47">
      <c r="A67" s="190">
        <f t="shared" si="0"/>
        <v>148</v>
      </c>
      <c r="B67" s="198" t="str">
        <f>'ESPN Data'!$L$8</f>
        <v>Team 5</v>
      </c>
      <c r="C67" s="346" t="str">
        <f>VLOOKUP(B67,'ESPN Data'!$L$4:$M$19,2,FALSE)</f>
        <v>Bone</v>
      </c>
      <c r="D67" s="397">
        <v>10</v>
      </c>
      <c r="E67" s="267" t="str">
        <f t="array" ref="E67">INDEX('ESPN Data'!$C$3:$C$226,MATCH(1,('ESPN Data'!$A$3:$A$226='Point Data'!$D67)*('ESPN Data'!$B$3:$B$226='Point Data'!$B67),0))</f>
        <v>Team 3</v>
      </c>
      <c r="F67" s="250" t="str">
        <f>IF(C67&lt;&gt;VLOOKUP($E67,'ESPN Data'!$L$4:$M$19,2,FALSE),"Non Conf", "Conf")</f>
        <v>Conf</v>
      </c>
      <c r="G67" s="246">
        <f t="array" aca="1" ref="G67" ca="1">IF('Point Data'!$D67&gt;Standings!$Q$27,"",(COUNTIFS($D$2:$D$225,$D67,$AM$2:$AM$225,"&gt;"&amp;$AM67)+1))</f>
        <v>1</v>
      </c>
      <c r="H67" s="172">
        <f ca="1">IF('Point Data'!$D67&gt;Standings!$Q$27,"",$G66)</f>
        <v>1</v>
      </c>
      <c r="I67" s="249">
        <f ca="1">IF('Point Data'!D67&gt;Standings!$Q$27,"",H67-G67)</f>
        <v>0</v>
      </c>
      <c r="J67" s="172">
        <f ca="1">IF('Point Data'!D67&gt;Standings!$Q$27,"",OFFSET('ESPN Data'!D$3,$A67,0,1,1))</f>
        <v>112.46</v>
      </c>
      <c r="K67" s="248">
        <f ca="1">IF('Point Data'!D67&gt;Standings!$Q$27,"",OFFSET('ESPN Data'!E$3,$A67,0,1,1))</f>
        <v>71.05</v>
      </c>
      <c r="L67" s="337">
        <f ca="1">IF('Point Data'!D67&gt;Standings!$Q$27,"",OFFSET('ESPN Data'!I$3,$A67,0,1,1))</f>
        <v>0</v>
      </c>
      <c r="M67" s="337">
        <f ca="1">IF('Point Data'!D67&gt;Standings!$Q$27,"",OFFSET('ESPN Data'!I$3,$A67,-2,1,1))</f>
        <v>0</v>
      </c>
      <c r="N67" s="337">
        <f ca="1">IF('Point Data'!D67&gt;Standings!$Q$27,"",SUMIFS($M$2:$M$225,$D$2:$D$225,D67,$C$2:$C$225,C67))</f>
        <v>19</v>
      </c>
      <c r="O67" s="337">
        <f ca="1">IF('Point Data'!D67&gt;Standings!$Q$27,"",SUMIFS($L$2:$L$225,$D$2:$D$225,$D67,$C$2:$C$225,$C67))</f>
        <v>286</v>
      </c>
      <c r="P67" s="337">
        <f ca="1">IF('Point Data'!D67&gt;Standings!$Q$27,"",SUMIFS($M$2:$M$225,$D$2:$D$225,D67))</f>
        <v>32</v>
      </c>
      <c r="Q67" s="337">
        <f ca="1">IF('Point Data'!D67&gt;Standings!$Q$27,"",SUMIFS($L$2:$L$225,$D$2:$D$225,D67))</f>
        <v>513</v>
      </c>
      <c r="R67" s="249">
        <f ca="1">IF($D67&gt;Standings!$Q$27,"",IF(U67="T",(Z67+0.5)/(D67)*100,(Z67/D67)*100))</f>
        <v>80</v>
      </c>
      <c r="S67" s="253">
        <f ca="1">IF($D67&gt;Standings!$Q$27,"",$J67-$K67)</f>
        <v>41.41</v>
      </c>
      <c r="T67" s="253">
        <f ca="1">IF($D67&gt;Standings!$Q$27,"",AVERAGE(OFFSET(S67,(-$D67+1),0,1,1):S67))</f>
        <v>19.372000000000003</v>
      </c>
      <c r="U67" s="172">
        <f ca="1">IF($D67&gt;Standings!$Q$27,"",IF(J67&gt;K67,1,IF(J67=K67,"T",0)))</f>
        <v>1</v>
      </c>
      <c r="V67" s="267">
        <f ca="1">IF($D67&gt;Standings!$Q$27,"",IF(F67="Conf",V66,SUMIFS($U$2:$U$225,$D$2:$D$225,"&lt;="&amp;$D67,$B$2:$B$225,$B67,$F$2:$F$225,"Non Conf")))</f>
        <v>3</v>
      </c>
      <c r="W67" s="267" t="str">
        <f ca="1">IF($D67&gt;Standings!$Q$27,"",$V67&amp;"-"&amp;COUNTIF(OFFSET($F67,(-$D67+1),0,1,1):$F67,"Non Conf")-$V67)</f>
        <v>3-1</v>
      </c>
      <c r="X67" s="267">
        <f ca="1">IF($D67&gt;Standings!$Q$27,"",SUMIFS($U$2:$U$225,$D$2:$D$225,"&lt;="&amp;$D67,$B$2:$B$225,$B67,$F$2:$F$225,"Conf"))</f>
        <v>5</v>
      </c>
      <c r="Y67" s="267" t="str">
        <f ca="1">IF($D67&gt;Standings!$Q$27,"",$X67&amp;"-"&amp;COUNTIF(OFFSET($F67,(-$D67+1),0,1,1):$F67,"Conf")-$X67)</f>
        <v>5-1</v>
      </c>
      <c r="Z67" s="267">
        <f ca="1">IF($D67&gt;Standings!$Q$27,"",SUM(OFFSET(U67,(-$D67+1),0,1,1):U67))</f>
        <v>8</v>
      </c>
      <c r="AA67" s="172">
        <f ca="1">IF($D67&gt;Standings!$Q$27,"",IF(U67=1,1+AA66,0))</f>
        <v>4</v>
      </c>
      <c r="AB67" s="250">
        <f ca="1">IF($D67&gt;Standings!$Q$27,"",IF(AA67=0,1+AB66,0))</f>
        <v>0</v>
      </c>
      <c r="AC67" s="251">
        <f ca="1">IF($D67&gt;Standings!$Q$27,"",SUM(OFFSET(J67,(-$D67+1),0,1,1):J67))</f>
        <v>1212.8500000000001</v>
      </c>
      <c r="AD67" s="248">
        <f ca="1">IF($D67&gt;Standings!$Q$27,"",SUM(OFFSET(K67,(-$D67+1),0,1,1):K67))</f>
        <v>1019.13</v>
      </c>
      <c r="AE67" s="248">
        <f ca="1">IF($D67&gt;Standings!$Q$27,"",$J67-$K67)</f>
        <v>41.41</v>
      </c>
      <c r="AF67" s="248">
        <f ca="1">IF($D67&gt;Standings!$Q$27,"",AC67-AD67)</f>
        <v>193.72000000000014</v>
      </c>
      <c r="AG67" s="172">
        <f ca="1">IF($D67&gt;Standings!$Q$27,"",(COUNTIFS($D$2:$D$225,$D67,$C$2:$C$225,$C67,$AC$2:$AC$225,"&lt;"&amp;$AC67)+1)*0.01)</f>
        <v>0.08</v>
      </c>
      <c r="AH67" s="172">
        <f ca="1">IF($D67&gt;Standings!$Q$27,"",Z67+AG67)</f>
        <v>8.08</v>
      </c>
      <c r="AI67" s="267"/>
      <c r="AJ67" s="267">
        <f t="array" aca="1" ref="AJ67" ca="1">IF($D67&gt;Standings!$Q$27,"",(COUNTIFS($D$2:$D$225,$D67,$C$2:$C$225,$C67,$AM$2:$AM$225,"&gt;"&amp;$AM67)+1))</f>
        <v>1</v>
      </c>
      <c r="AK67" s="267">
        <f t="array" aca="1" ref="AK67" ca="1">IF($D67&gt;Standings!$Q$27,"",IF((COUNTIFS($D$2:$D$225,$D67,$C$2:$C$225,$C67,$AH$2:$AH$225,"&gt;"&amp;$AH67)+1)=2,1,0))</f>
        <v>0</v>
      </c>
      <c r="AL67" s="267">
        <f t="array" aca="1" ref="AL67" ca="1">IF($D67&gt;Standings!$Q$27,"",IF((COUNTIFS($D$2:$D$225,$D67,$C$2:$C$225,$C67,$AH$2:$AH$225,"&gt;"&amp;$AH67)+1)&lt;2,1,0))</f>
        <v>1</v>
      </c>
      <c r="AM67" s="267">
        <f ca="1">IF($D67&gt;Standings!$Q$27,"",IF(AL67=1,200+Z67+(16-AQ67)*0.01+AI67,IF(AK67=1,100+Z67+(16-AQ67)*0.01+AI67,IF(AN67=1,50+Z67+(16-AQ67)*0.01,IF(AO67=1,15+Z67+(16-AQ67)*0.01,Z67+(16-AQ67)*0.01+AI67)))))</f>
        <v>208.15</v>
      </c>
      <c r="AN67" s="267" t="str">
        <f ca="1">IF($D67&gt;Standings!$Q$27,"",IF(OR($AK67=1,$AL67=1),"Conf Playoff Spot",COUNTIFS($AL$2:$AL$225,0,$AK$2:$AK$225,0,$C$2:$C$225,$C67,$D$2:$D$225,$D67,$AC$2:$AC$225,"&gt;"&amp;$AC67)+1))</f>
        <v>Conf Playoff Spot</v>
      </c>
      <c r="AO67" s="267" t="str">
        <f t="array" aca="1" ref="AO67" ca="1">IF($D67&gt;Standings!$Q$27,"",IF(OR($AK67=1,$AL67=1),"Conf Playoff Spot",COUNTIFS($AK$2:$AK$225,0,$AL$2:$AL$225,0,$D$2:$D$225,$D67,$AH$2:$AH$225,"&gt;"&amp;$AH67)+1))</f>
        <v>Conf Playoff Spot</v>
      </c>
      <c r="AP67" s="267">
        <f t="array" aca="1" ref="AP67" ca="1">IF($D67&gt;Standings!$Q$27,"",(COUNTIFS($D$2:$D$225,$D67,$J$2:$J$225,"&gt;"&amp;$J67)+1))</f>
        <v>4</v>
      </c>
      <c r="AQ67" s="249">
        <f ca="1">IF($D67&gt;Standings!$Q$27,"",(COUNTIFS($D$2:$D$225,$D67,$AC$2:$AC$225,"&gt;"&amp;$AC67)+1))</f>
        <v>1</v>
      </c>
      <c r="AR67" s="249">
        <f ca="1">IF($D67&gt;Standings!$Q$27,"",(COUNTIFS($D$2:$D$225,$D67,$K$2:$K$225,"&gt;"&amp;$K67)+1))</f>
        <v>15</v>
      </c>
      <c r="AS67" s="249">
        <f ca="1">IF($D67&gt;Standings!$Q$27,"",(COUNTIFS($D$2:$D$225,$D67,$AD$2:$AD$225,"&gt;"&amp;$AD67)+1))</f>
        <v>10</v>
      </c>
      <c r="AT67" s="354">
        <f ca="1">IF($D67&gt;Standings!$Q$27,"",SUMIFS($J$2:$J$225,$D$2:$D$225,$D67,$C$2:$C$225,$C67))</f>
        <v>753.38</v>
      </c>
      <c r="AU67" s="253">
        <f ca="1">IF($D67&gt;Standings!$Q$27,"",SUMIFS($AC$2:$AC$225,$D$2:$D$225,$D67,$C$2:$C$225,$C67))</f>
        <v>8201.74</v>
      </c>
    </row>
    <row r="68" spans="1:47">
      <c r="A68" s="190">
        <f t="shared" si="0"/>
        <v>164</v>
      </c>
      <c r="B68" s="198" t="str">
        <f>'ESPN Data'!$L$8</f>
        <v>Team 5</v>
      </c>
      <c r="C68" s="346" t="str">
        <f>VLOOKUP(B68,'ESPN Data'!$L$4:$M$19,2,FALSE)</f>
        <v>Bone</v>
      </c>
      <c r="D68" s="397">
        <v>11</v>
      </c>
      <c r="E68" s="267" t="str">
        <f t="array" ref="E68">INDEX('ESPN Data'!$C$3:$C$226,MATCH(1,('ESPN Data'!$A$3:$A$226='Point Data'!$D68)*('ESPN Data'!$B$3:$B$226='Point Data'!$B68),0))</f>
        <v>Team 1</v>
      </c>
      <c r="F68" s="250" t="str">
        <f>IF(C68&lt;&gt;VLOOKUP($E68,'ESPN Data'!$L$4:$M$19,2,FALSE),"Non Conf", "Conf")</f>
        <v>Conf</v>
      </c>
      <c r="G68" s="246">
        <f t="array" aca="1" ref="G68" ca="1">IF('Point Data'!$D68&gt;Standings!$Q$27,"",(COUNTIFS($D$2:$D$225,$D68,$AM$2:$AM$225,"&gt;"&amp;$AM68)+1))</f>
        <v>1</v>
      </c>
      <c r="H68" s="172">
        <f ca="1">IF('Point Data'!$D68&gt;Standings!$Q$27,"",$G67)</f>
        <v>1</v>
      </c>
      <c r="I68" s="249">
        <f ca="1">IF('Point Data'!D68&gt;Standings!$Q$27,"",H68-G68)</f>
        <v>0</v>
      </c>
      <c r="J68" s="172">
        <f ca="1">IF('Point Data'!D68&gt;Standings!$Q$27,"",OFFSET('ESPN Data'!D$3,$A68,0,1,1))</f>
        <v>127.2</v>
      </c>
      <c r="K68" s="248">
        <f ca="1">IF('Point Data'!D68&gt;Standings!$Q$27,"",OFFSET('ESPN Data'!E$3,$A68,0,1,1))</f>
        <v>100.09</v>
      </c>
      <c r="L68" s="337">
        <f ca="1">IF('Point Data'!D68&gt;Standings!$Q$27,"",OFFSET('ESPN Data'!I$3,$A68,0,1,1))</f>
        <v>0</v>
      </c>
      <c r="M68" s="337">
        <f ca="1">IF('Point Data'!D68&gt;Standings!$Q$27,"",OFFSET('ESPN Data'!I$3,$A68,-2,1,1))</f>
        <v>0</v>
      </c>
      <c r="N68" s="337">
        <f ca="1">IF('Point Data'!D68&gt;Standings!$Q$27,"",SUMIFS($M$2:$M$225,$D$2:$D$225,D68,$C$2:$C$225,C68))</f>
        <v>51</v>
      </c>
      <c r="O68" s="337">
        <f ca="1">IF('Point Data'!D68&gt;Standings!$Q$27,"",SUMIFS($L$2:$L$225,$D$2:$D$225,$D68,$C$2:$C$225,$C68))</f>
        <v>235</v>
      </c>
      <c r="P68" s="337">
        <f ca="1">IF('Point Data'!D68&gt;Standings!$Q$27,"",SUMIFS($M$2:$M$225,$D$2:$D$225,D68))</f>
        <v>61</v>
      </c>
      <c r="Q68" s="337">
        <f ca="1">IF('Point Data'!D68&gt;Standings!$Q$27,"",SUMIFS($L$2:$L$225,$D$2:$D$225,D68))</f>
        <v>452</v>
      </c>
      <c r="R68" s="249">
        <f ca="1">IF($D68&gt;Standings!$Q$27,"",IF(U68="T",(Z68+0.5)/(D68)*100,(Z68/D68)*100))</f>
        <v>81.818181818181827</v>
      </c>
      <c r="S68" s="253">
        <f ca="1">IF($D68&gt;Standings!$Q$27,"",$J68-$K68)</f>
        <v>27.11</v>
      </c>
      <c r="T68" s="253">
        <f ca="1">IF($D68&gt;Standings!$Q$27,"",AVERAGE(OFFSET(S68,(-$D68+1),0,1,1):S68))</f>
        <v>20.075454545454548</v>
      </c>
      <c r="U68" s="172">
        <f ca="1">IF($D68&gt;Standings!$Q$27,"",IF(J68&gt;K68,1,IF(J68=K68,"T",0)))</f>
        <v>1</v>
      </c>
      <c r="V68" s="267">
        <f ca="1">IF($D68&gt;Standings!$Q$27,"",IF(F68="Conf",V67,SUMIFS($U$2:$U$225,$D$2:$D$225,"&lt;="&amp;$D68,$B$2:$B$225,$B68,$F$2:$F$225,"Non Conf")))</f>
        <v>3</v>
      </c>
      <c r="W68" s="267" t="str">
        <f ca="1">IF($D68&gt;Standings!$Q$27,"",$V68&amp;"-"&amp;COUNTIF(OFFSET($F68,(-$D68+1),0,1,1):$F68,"Non Conf")-$V68)</f>
        <v>3-1</v>
      </c>
      <c r="X68" s="267">
        <f ca="1">IF($D68&gt;Standings!$Q$27,"",SUMIFS($U$2:$U$225,$D$2:$D$225,"&lt;="&amp;$D68,$B$2:$B$225,$B68,$F$2:$F$225,"Conf"))</f>
        <v>6</v>
      </c>
      <c r="Y68" s="267" t="str">
        <f ca="1">IF($D68&gt;Standings!$Q$27,"",$X68&amp;"-"&amp;COUNTIF(OFFSET($F68,(-$D68+1),0,1,1):$F68,"Conf")-$X68)</f>
        <v>6-1</v>
      </c>
      <c r="Z68" s="267">
        <f ca="1">IF($D68&gt;Standings!$Q$27,"",SUM(OFFSET(U68,(-$D68+1),0,1,1):U68))</f>
        <v>9</v>
      </c>
      <c r="AA68" s="172">
        <f ca="1">IF($D68&gt;Standings!$Q$27,"",IF(U68=1,1+AA67,0))</f>
        <v>5</v>
      </c>
      <c r="AB68" s="250">
        <f ca="1">IF($D68&gt;Standings!$Q$27,"",IF(AA68=0,1+AB67,0))</f>
        <v>0</v>
      </c>
      <c r="AC68" s="251">
        <f ca="1">IF($D68&gt;Standings!$Q$27,"",SUM(OFFSET(J68,(-$D68+1),0,1,1):J68))</f>
        <v>1340.0500000000002</v>
      </c>
      <c r="AD68" s="248">
        <f ca="1">IF($D68&gt;Standings!$Q$27,"",SUM(OFFSET(K68,(-$D68+1),0,1,1):K68))</f>
        <v>1119.22</v>
      </c>
      <c r="AE68" s="248">
        <f ca="1">IF($D68&gt;Standings!$Q$27,"",$J68-$K68)</f>
        <v>27.11</v>
      </c>
      <c r="AF68" s="248">
        <f ca="1">IF($D68&gt;Standings!$Q$27,"",AC68-AD68)</f>
        <v>220.83000000000015</v>
      </c>
      <c r="AG68" s="172">
        <f ca="1">IF($D68&gt;Standings!$Q$27,"",(COUNTIFS($D$2:$D$225,$D68,$C$2:$C$225,$C68,$AC$2:$AC$225,"&lt;"&amp;$AC68)+1)*0.01)</f>
        <v>0.08</v>
      </c>
      <c r="AH68" s="172">
        <f ca="1">IF($D68&gt;Standings!$Q$27,"",Z68+AG68)</f>
        <v>9.08</v>
      </c>
      <c r="AI68" s="267"/>
      <c r="AJ68" s="267">
        <f t="array" aca="1" ref="AJ68" ca="1">IF($D68&gt;Standings!$Q$27,"",(COUNTIFS($D$2:$D$225,$D68,$C$2:$C$225,$C68,$AM$2:$AM$225,"&gt;"&amp;$AM68)+1))</f>
        <v>1</v>
      </c>
      <c r="AK68" s="267">
        <f t="array" aca="1" ref="AK68" ca="1">IF($D68&gt;Standings!$Q$27,"",IF((COUNTIFS($D$2:$D$225,$D68,$C$2:$C$225,$C68,$AH$2:$AH$225,"&gt;"&amp;$AH68)+1)=2,1,0))</f>
        <v>0</v>
      </c>
      <c r="AL68" s="267">
        <f t="array" aca="1" ref="AL68" ca="1">IF($D68&gt;Standings!$Q$27,"",IF((COUNTIFS($D$2:$D$225,$D68,$C$2:$C$225,$C68,$AH$2:$AH$225,"&gt;"&amp;$AH68)+1)&lt;2,1,0))</f>
        <v>1</v>
      </c>
      <c r="AM68" s="267">
        <f ca="1">IF($D68&gt;Standings!$Q$27,"",IF(AL68=1,200+Z68+(16-AQ68)*0.01+AI68,IF(AK68=1,100+Z68+(16-AQ68)*0.01+AI68,IF(AN68=1,50+Z68+(16-AQ68)*0.01,IF(AO68=1,15+Z68+(16-AQ68)*0.01,Z68+(16-AQ68)*0.01+AI68)))))</f>
        <v>209.15</v>
      </c>
      <c r="AN68" s="267" t="str">
        <f ca="1">IF($D68&gt;Standings!$Q$27,"",IF(OR($AK68=1,$AL68=1),"Conf Playoff Spot",COUNTIFS($AL$2:$AL$225,0,$AK$2:$AK$225,0,$C$2:$C$225,$C68,$D$2:$D$225,$D68,$AC$2:$AC$225,"&gt;"&amp;$AC68)+1))</f>
        <v>Conf Playoff Spot</v>
      </c>
      <c r="AO68" s="267" t="str">
        <f t="array" aca="1" ref="AO68" ca="1">IF($D68&gt;Standings!$Q$27,"",IF(OR($AK68=1,$AL68=1),"Conf Playoff Spot",COUNTIFS($AK$2:$AK$225,0,$AL$2:$AL$225,0,$D$2:$D$225,$D68,$AH$2:$AH$225,"&gt;"&amp;$AH68)+1))</f>
        <v>Conf Playoff Spot</v>
      </c>
      <c r="AP68" s="267">
        <f t="array" aca="1" ref="AP68" ca="1">IF($D68&gt;Standings!$Q$27,"",(COUNTIFS($D$2:$D$225,$D68,$J$2:$J$225,"&gt;"&amp;$J68)+1))</f>
        <v>2</v>
      </c>
      <c r="AQ68" s="249">
        <f ca="1">IF($D68&gt;Standings!$Q$27,"",(COUNTIFS($D$2:$D$225,$D68,$AC$2:$AC$225,"&gt;"&amp;$AC68)+1))</f>
        <v>1</v>
      </c>
      <c r="AR68" s="249">
        <f ca="1">IF($D68&gt;Standings!$Q$27,"",(COUNTIFS($D$2:$D$225,$D68,$K$2:$K$225,"&gt;"&amp;$K68)+1))</f>
        <v>8</v>
      </c>
      <c r="AS68" s="249">
        <f ca="1">IF($D68&gt;Standings!$Q$27,"",(COUNTIFS($D$2:$D$225,$D68,$AD$2:$AD$225,"&gt;"&amp;$AD68)+1))</f>
        <v>10</v>
      </c>
      <c r="AT68" s="354">
        <f ca="1">IF($D68&gt;Standings!$Q$27,"",SUMIFS($J$2:$J$225,$D$2:$D$225,$D68,$C$2:$C$225,$C68))</f>
        <v>833.56000000000006</v>
      </c>
      <c r="AU68" s="253">
        <f ca="1">IF($D68&gt;Standings!$Q$27,"",SUMIFS($AC$2:$AC$225,$D$2:$D$225,$D68,$C$2:$C$225,$C68))</f>
        <v>9035.3000000000011</v>
      </c>
    </row>
    <row r="69" spans="1:47">
      <c r="A69" s="190">
        <f t="shared" si="0"/>
        <v>180</v>
      </c>
      <c r="B69" s="198" t="str">
        <f>'ESPN Data'!$L$8</f>
        <v>Team 5</v>
      </c>
      <c r="C69" s="346" t="str">
        <f>VLOOKUP(B69,'ESPN Data'!$L$4:$M$19,2,FALSE)</f>
        <v>Bone</v>
      </c>
      <c r="D69" s="397">
        <v>12</v>
      </c>
      <c r="E69" s="267" t="str">
        <f t="array" ref="E69">INDEX('ESPN Data'!$C$3:$C$226,MATCH(1,('ESPN Data'!$A$3:$A$226='Point Data'!$D69)*('ESPN Data'!$B$3:$B$226='Point Data'!$B69),0))</f>
        <v>Team 13</v>
      </c>
      <c r="F69" s="250" t="str">
        <f>IF(C69&lt;&gt;VLOOKUP($E69,'ESPN Data'!$L$4:$M$19,2,FALSE),"Non Conf", "Conf")</f>
        <v>Non Conf</v>
      </c>
      <c r="G69" s="246">
        <f t="array" aca="1" ref="G69" ca="1">IF('Point Data'!$D69&gt;Standings!$Q$27,"",(COUNTIFS($D$2:$D$225,$D69,$AM$2:$AM$225,"&gt;"&amp;$AM69)+1))</f>
        <v>1</v>
      </c>
      <c r="H69" s="172">
        <f ca="1">IF('Point Data'!$D69&gt;Standings!$Q$27,"",$G68)</f>
        <v>1</v>
      </c>
      <c r="I69" s="249">
        <f ca="1">IF('Point Data'!D69&gt;Standings!$Q$27,"",H69-G69)</f>
        <v>0</v>
      </c>
      <c r="J69" s="172">
        <f ca="1">IF('Point Data'!D69&gt;Standings!$Q$27,"",OFFSET('ESPN Data'!D$3,$A69,0,1,1))</f>
        <v>88.25</v>
      </c>
      <c r="K69" s="248">
        <f ca="1">IF('Point Data'!D69&gt;Standings!$Q$27,"",OFFSET('ESPN Data'!E$3,$A69,0,1,1))</f>
        <v>72.25</v>
      </c>
      <c r="L69" s="337">
        <f ca="1">IF('Point Data'!D69&gt;Standings!$Q$27,"",OFFSET('ESPN Data'!I$3,$A69,0,1,1))</f>
        <v>0</v>
      </c>
      <c r="M69" s="337">
        <f ca="1">IF('Point Data'!D69&gt;Standings!$Q$27,"",OFFSET('ESPN Data'!I$3,$A69,-2,1,1))</f>
        <v>0</v>
      </c>
      <c r="N69" s="337">
        <f ca="1">IF('Point Data'!D69&gt;Standings!$Q$27,"",SUMIFS($M$2:$M$225,$D$2:$D$225,D69,$C$2:$C$225,C69))</f>
        <v>6</v>
      </c>
      <c r="O69" s="337">
        <f ca="1">IF('Point Data'!D69&gt;Standings!$Q$27,"",SUMIFS($L$2:$L$225,$D$2:$D$225,$D69,$C$2:$C$225,$C69))</f>
        <v>229</v>
      </c>
      <c r="P69" s="337">
        <f ca="1">IF('Point Data'!D69&gt;Standings!$Q$27,"",SUMIFS($M$2:$M$225,$D$2:$D$225,D69))</f>
        <v>41</v>
      </c>
      <c r="Q69" s="337">
        <f ca="1">IF('Point Data'!D69&gt;Standings!$Q$27,"",SUMIFS($L$2:$L$225,$D$2:$D$225,D69))</f>
        <v>411</v>
      </c>
      <c r="R69" s="249">
        <f ca="1">IF($D69&gt;Standings!$Q$27,"",IF(U69="T",(Z69+0.5)/(D69)*100,(Z69/D69)*100))</f>
        <v>83.333333333333343</v>
      </c>
      <c r="S69" s="253">
        <f ca="1">IF($D69&gt;Standings!$Q$27,"",$J69-$K69)</f>
        <v>16</v>
      </c>
      <c r="T69" s="253">
        <f ca="1">IF($D69&gt;Standings!$Q$27,"",AVERAGE(OFFSET(S69,(-$D69+1),0,1,1):S69))</f>
        <v>19.735833333333336</v>
      </c>
      <c r="U69" s="172">
        <f ca="1">IF($D69&gt;Standings!$Q$27,"",IF(J69&gt;K69,1,IF(J69=K69,"T",0)))</f>
        <v>1</v>
      </c>
      <c r="V69" s="267">
        <f ca="1">IF($D69&gt;Standings!$Q$27,"",IF(F69="Conf",V68,SUMIFS($U$2:$U$225,$D$2:$D$225,"&lt;="&amp;$D69,$B$2:$B$225,$B69,$F$2:$F$225,"Non Conf")))</f>
        <v>4</v>
      </c>
      <c r="W69" s="267" t="str">
        <f ca="1">IF($D69&gt;Standings!$Q$27,"",$V69&amp;"-"&amp;COUNTIF(OFFSET($F69,(-$D69+1),0,1,1):$F69,"Non Conf")-$V69)</f>
        <v>4-1</v>
      </c>
      <c r="X69" s="267">
        <f ca="1">IF($D69&gt;Standings!$Q$27,"",SUMIFS($U$2:$U$225,$D$2:$D$225,"&lt;="&amp;$D69,$B$2:$B$225,$B69,$F$2:$F$225,"Conf"))</f>
        <v>6</v>
      </c>
      <c r="Y69" s="267" t="str">
        <f ca="1">IF($D69&gt;Standings!$Q$27,"",$X69&amp;"-"&amp;COUNTIF(OFFSET($F69,(-$D69+1),0,1,1):$F69,"Conf")-$X69)</f>
        <v>6-1</v>
      </c>
      <c r="Z69" s="267">
        <f ca="1">IF($D69&gt;Standings!$Q$27,"",SUM(OFFSET(U69,(-$D69+1),0,1,1):U69))</f>
        <v>10</v>
      </c>
      <c r="AA69" s="172">
        <f ca="1">IF($D69&gt;Standings!$Q$27,"",IF(U69=1,1+AA68,0))</f>
        <v>6</v>
      </c>
      <c r="AB69" s="250">
        <f ca="1">IF($D69&gt;Standings!$Q$27,"",IF(AA69=0,1+AB68,0))</f>
        <v>0</v>
      </c>
      <c r="AC69" s="251">
        <f ca="1">IF($D69&gt;Standings!$Q$27,"",SUM(OFFSET(J69,(-$D69+1),0,1,1):J69))</f>
        <v>1428.3000000000002</v>
      </c>
      <c r="AD69" s="248">
        <f ca="1">IF($D69&gt;Standings!$Q$27,"",SUM(OFFSET(K69,(-$D69+1),0,1,1):K69))</f>
        <v>1191.47</v>
      </c>
      <c r="AE69" s="248">
        <f ca="1">IF($D69&gt;Standings!$Q$27,"",$J69-$K69)</f>
        <v>16</v>
      </c>
      <c r="AF69" s="248">
        <f ca="1">IF($D69&gt;Standings!$Q$27,"",AC69-AD69)</f>
        <v>236.83000000000015</v>
      </c>
      <c r="AG69" s="172">
        <f ca="1">IF($D69&gt;Standings!$Q$27,"",(COUNTIFS($D$2:$D$225,$D69,$C$2:$C$225,$C69,$AC$2:$AC$225,"&lt;"&amp;$AC69)+1)*0.01)</f>
        <v>0.08</v>
      </c>
      <c r="AH69" s="172">
        <f ca="1">IF($D69&gt;Standings!$Q$27,"",Z69+AG69)</f>
        <v>10.08</v>
      </c>
      <c r="AI69" s="267"/>
      <c r="AJ69" s="267">
        <f t="array" aca="1" ref="AJ69" ca="1">IF($D69&gt;Standings!$Q$27,"",(COUNTIFS($D$2:$D$225,$D69,$C$2:$C$225,$C69,$AM$2:$AM$225,"&gt;"&amp;$AM69)+1))</f>
        <v>1</v>
      </c>
      <c r="AK69" s="267">
        <f t="array" aca="1" ref="AK69" ca="1">IF($D69&gt;Standings!$Q$27,"",IF((COUNTIFS($D$2:$D$225,$D69,$C$2:$C$225,$C69,$AH$2:$AH$225,"&gt;"&amp;$AH69)+1)=2,1,0))</f>
        <v>0</v>
      </c>
      <c r="AL69" s="267">
        <f t="array" aca="1" ref="AL69" ca="1">IF($D69&gt;Standings!$Q$27,"",IF((COUNTIFS($D$2:$D$225,$D69,$C$2:$C$225,$C69,$AH$2:$AH$225,"&gt;"&amp;$AH69)+1)&lt;2,1,0))</f>
        <v>1</v>
      </c>
      <c r="AM69" s="267">
        <f ca="1">IF($D69&gt;Standings!$Q$27,"",IF(AL69=1,200+Z69+(16-AQ69)*0.01+AI69,IF(AK69=1,100+Z69+(16-AQ69)*0.01+AI69,IF(AN69=1,50+Z69+(16-AQ69)*0.01,IF(AO69=1,15+Z69+(16-AQ69)*0.01,Z69+(16-AQ69)*0.01+AI69)))))</f>
        <v>210.14</v>
      </c>
      <c r="AN69" s="267" t="str">
        <f ca="1">IF($D69&gt;Standings!$Q$27,"",IF(OR($AK69=1,$AL69=1),"Conf Playoff Spot",COUNTIFS($AL$2:$AL$225,0,$AK$2:$AK$225,0,$C$2:$C$225,$C69,$D$2:$D$225,$D69,$AC$2:$AC$225,"&gt;"&amp;$AC69)+1))</f>
        <v>Conf Playoff Spot</v>
      </c>
      <c r="AO69" s="267" t="str">
        <f t="array" aca="1" ref="AO69" ca="1">IF($D69&gt;Standings!$Q$27,"",IF(OR($AK69=1,$AL69=1),"Conf Playoff Spot",COUNTIFS($AK$2:$AK$225,0,$AL$2:$AL$225,0,$D$2:$D$225,$D69,$AH$2:$AH$225,"&gt;"&amp;$AH69)+1))</f>
        <v>Conf Playoff Spot</v>
      </c>
      <c r="AP69" s="267">
        <f t="array" aca="1" ref="AP69" ca="1">IF($D69&gt;Standings!$Q$27,"",(COUNTIFS($D$2:$D$225,$D69,$J$2:$J$225,"&gt;"&amp;$J69)+1))</f>
        <v>11</v>
      </c>
      <c r="AQ69" s="249">
        <f ca="1">IF($D69&gt;Standings!$Q$27,"",(COUNTIFS($D$2:$D$225,$D69,$AC$2:$AC$225,"&gt;"&amp;$AC69)+1))</f>
        <v>2</v>
      </c>
      <c r="AR69" s="249">
        <f ca="1">IF($D69&gt;Standings!$Q$27,"",(COUNTIFS($D$2:$D$225,$D69,$K$2:$K$225,"&gt;"&amp;$K69)+1))</f>
        <v>14</v>
      </c>
      <c r="AS69" s="249">
        <f ca="1">IF($D69&gt;Standings!$Q$27,"",(COUNTIFS($D$2:$D$225,$D69,$AD$2:$AD$225,"&gt;"&amp;$AD69)+1))</f>
        <v>10</v>
      </c>
      <c r="AT69" s="354">
        <f ca="1">IF($D69&gt;Standings!$Q$27,"",SUMIFS($J$2:$J$225,$D$2:$D$225,$D69,$C$2:$C$225,$C69))</f>
        <v>841.41000000000008</v>
      </c>
      <c r="AU69" s="253">
        <f ca="1">IF($D69&gt;Standings!$Q$27,"",SUMIFS($AC$2:$AC$225,$D$2:$D$225,$D69,$C$2:$C$225,$C69))</f>
        <v>9876.7100000000009</v>
      </c>
    </row>
    <row r="70" spans="1:47" s="190" customFormat="1">
      <c r="A70" s="190">
        <f t="shared" si="0"/>
        <v>196</v>
      </c>
      <c r="B70" s="227" t="str">
        <f>'ESPN Data'!$L$8</f>
        <v>Team 5</v>
      </c>
      <c r="C70" s="347" t="str">
        <f>VLOOKUP(B70,'ESPN Data'!$L$4:$M$19,2,FALSE)</f>
        <v>Bone</v>
      </c>
      <c r="D70" s="550">
        <v>13</v>
      </c>
      <c r="E70" s="275" t="str">
        <f t="array" ref="E70">INDEX('ESPN Data'!$C$3:$C$226,MATCH(1,('ESPN Data'!$A$3:$A$226='Point Data'!$D70)*('ESPN Data'!$B$3:$B$226='Point Data'!$B70),0))</f>
        <v>Team 12</v>
      </c>
      <c r="F70" s="274" t="str">
        <f>IF(C70&lt;&gt;VLOOKUP($E70,'ESPN Data'!$L$4:$M$19,2,FALSE),"Non Conf", "Conf")</f>
        <v>Non Conf</v>
      </c>
      <c r="G70" s="271">
        <f t="array" aca="1" ref="G70" ca="1">IF('Point Data'!$D70&gt;Standings!$Q$27,"",(COUNTIFS($D$2:$D$225,$D70,$AM$2:$AM$225,"&gt;"&amp;$AM70)+1))</f>
        <v>1</v>
      </c>
      <c r="H70" s="264">
        <f ca="1">IF('Point Data'!$D70&gt;Standings!$Q$27,"",$G69)</f>
        <v>1</v>
      </c>
      <c r="I70" s="265">
        <f ca="1">IF('Point Data'!D70&gt;Standings!$Q$27,"",H70-G70)</f>
        <v>0</v>
      </c>
      <c r="J70" s="264">
        <f ca="1">IF('Point Data'!D70&gt;Standings!$Q$27,"",OFFSET('ESPN Data'!D$3,$A70,0,1,1))</f>
        <v>90.68</v>
      </c>
      <c r="K70" s="272">
        <f ca="1">IF('Point Data'!D70&gt;Standings!$Q$27,"",OFFSET('ESPN Data'!E$3,$A70,0,1,1))</f>
        <v>90.95</v>
      </c>
      <c r="L70" s="339">
        <f ca="1">IF('Point Data'!D70&gt;Standings!$Q$27,"",OFFSET('ESPN Data'!I$3,$A70,0,1,1))</f>
        <v>0</v>
      </c>
      <c r="M70" s="339">
        <f ca="1">IF('Point Data'!D70&gt;Standings!$Q$27,"",OFFSET('ESPN Data'!I$3,$A70,-2,1,1))</f>
        <v>0</v>
      </c>
      <c r="N70" s="339">
        <f ca="1">IF('Point Data'!D70&gt;Standings!$Q$27,"",SUMIFS($M$2:$M$225,$D$2:$D$225,D70,$C$2:$C$225,C70))</f>
        <v>5</v>
      </c>
      <c r="O70" s="339">
        <f ca="1">IF('Point Data'!D70&gt;Standings!$Q$27,"",SUMIFS($L$2:$L$225,$D$2:$D$225,$D70,$C$2:$C$225,$C70))</f>
        <v>224</v>
      </c>
      <c r="P70" s="339">
        <f ca="1">IF('Point Data'!D70&gt;Standings!$Q$27,"",SUMIFS($M$2:$M$225,$D$2:$D$225,D70))</f>
        <v>41</v>
      </c>
      <c r="Q70" s="339">
        <f ca="1">IF('Point Data'!D70&gt;Standings!$Q$27,"",SUMIFS($L$2:$L$225,$D$2:$D$225,D70))</f>
        <v>370</v>
      </c>
      <c r="R70" s="265">
        <f ca="1">IF($D70&gt;Standings!$Q$27,"",IF(U70="T",(Z70+0.5)/(D70)*100,(Z70/D70)*100))</f>
        <v>76.923076923076934</v>
      </c>
      <c r="S70" s="340">
        <f ca="1">IF($D70&gt;Standings!$Q$27,"",$J70-$K70)</f>
        <v>-0.26999999999999602</v>
      </c>
      <c r="T70" s="340">
        <f ca="1">IF($D70&gt;Standings!$Q$27,"",AVERAGE(OFFSET(S70,(-$D70+1),0,1,1):S70))</f>
        <v>18.196923076923081</v>
      </c>
      <c r="U70" s="264">
        <f ca="1">IF($D70&gt;Standings!$Q$27,"",IF(J70&gt;K70,1,IF(J70=K70,"T",0)))</f>
        <v>0</v>
      </c>
      <c r="V70" s="275">
        <f ca="1">IF($D70&gt;Standings!$Q$27,"",IF(F70="Conf",V69,SUMIFS($U$2:$U$225,$D$2:$D$225,"&lt;="&amp;$D70,$B$2:$B$225,$B70,$F$2:$F$225,"Non Conf")))</f>
        <v>4</v>
      </c>
      <c r="W70" s="275" t="str">
        <f ca="1">IF($D70&gt;Standings!$Q$27,"",$V70&amp;"-"&amp;COUNTIF(OFFSET($F70,(-$D70+1),0,1,1):$F70,"Non Conf")-$V70)</f>
        <v>4-2</v>
      </c>
      <c r="X70" s="275">
        <f ca="1">IF($D70&gt;Standings!$Q$27,"",SUMIFS($U$2:$U$225,$D$2:$D$225,"&lt;="&amp;$D70,$B$2:$B$225,$B70,$F$2:$F$225,"Conf"))</f>
        <v>6</v>
      </c>
      <c r="Y70" s="275" t="str">
        <f ca="1">IF($D70&gt;Standings!$Q$27,"",$X70&amp;"-"&amp;COUNTIF(OFFSET($F70,(-$D70+1),0,1,1):$F70,"Conf")-$X70)</f>
        <v>6-1</v>
      </c>
      <c r="Z70" s="275">
        <f ca="1">IF($D70&gt;Standings!$Q$27,"",SUM(OFFSET(U70,(-$D70+1),0,1,1):U70))</f>
        <v>10</v>
      </c>
      <c r="AA70" s="264">
        <f ca="1">IF($D70&gt;Standings!$Q$27,"",IF(U70=1,1+AA69,0))</f>
        <v>0</v>
      </c>
      <c r="AB70" s="274">
        <f ca="1">IF($D70&gt;Standings!$Q$27,"",IF(AA70=0,1+AB69,0))</f>
        <v>1</v>
      </c>
      <c r="AC70" s="273">
        <f ca="1">IF($D70&gt;Standings!$Q$27,"",SUM(OFFSET(J70,(-$D70+1),0,1,1):J70))</f>
        <v>1518.9800000000002</v>
      </c>
      <c r="AD70" s="272">
        <f ca="1">IF($D70&gt;Standings!$Q$27,"",SUM(OFFSET(K70,(-$D70+1),0,1,1):K70))</f>
        <v>1282.42</v>
      </c>
      <c r="AE70" s="272">
        <f ca="1">IF($D70&gt;Standings!$Q$27,"",$J70-$K70)</f>
        <v>-0.26999999999999602</v>
      </c>
      <c r="AF70" s="272">
        <f ca="1">IF($D70&gt;Standings!$Q$27,"",AC70-AD70)</f>
        <v>236.56000000000017</v>
      </c>
      <c r="AG70" s="264">
        <f ca="1">IF($D70&gt;Standings!$Q$27,"",(COUNTIFS($D$2:$D$225,$D70,$C$2:$C$225,$C70,$AC$2:$AC$225,"&lt;"&amp;$AC70)+1)*0.01)</f>
        <v>0.08</v>
      </c>
      <c r="AH70" s="264">
        <f ca="1">IF($D70&gt;Standings!$Q$27,"",Z70+AG70)</f>
        <v>10.08</v>
      </c>
      <c r="AI70" s="275"/>
      <c r="AJ70" s="275">
        <f t="array" aca="1" ref="AJ70" ca="1">IF($D70&gt;Standings!$Q$27,"",(COUNTIFS($D$2:$D$225,$D70,$C$2:$C$225,$C70,$AM$2:$AM$225,"&gt;"&amp;$AM70)+1))</f>
        <v>1</v>
      </c>
      <c r="AK70" s="275">
        <f t="array" aca="1" ref="AK70" ca="1">IF($D70&gt;Standings!$Q$27,"",IF((COUNTIFS($D$2:$D$225,$D70,$C$2:$C$225,$C70,$AH$2:$AH$225,"&gt;"&amp;$AH70)+1)=2,1,0))</f>
        <v>0</v>
      </c>
      <c r="AL70" s="275">
        <f t="array" aca="1" ref="AL70" ca="1">IF($D70&gt;Standings!$Q$27,"",IF((COUNTIFS($D$2:$D$225,$D70,$C$2:$C$225,$C70,$AH$2:$AH$225,"&gt;"&amp;$AH70)+1)&lt;2,1,0))</f>
        <v>1</v>
      </c>
      <c r="AM70" s="275">
        <f ca="1">IF($D70&gt;Standings!$Q$27,"",IF(AL70=1,200+Z70+(16-AQ70)*0.01+AI70,IF(AK70=1,100+Z70+(16-AQ70)*0.01+AI70,IF(AN70=1,50+Z70+(16-AQ70)*0.01,IF(AO70=1,15+Z70+(16-AQ70)*0.01,Z70+(16-AQ70)*0.01+AI70)))))</f>
        <v>210.14</v>
      </c>
      <c r="AN70" s="275" t="str">
        <f ca="1">IF($D70&gt;Standings!$Q$27,"",IF(OR($AK70=1,$AL70=1),"Conf Playoff Spot",COUNTIFS($AL$2:$AL$225,0,$AK$2:$AK$225,0,$C$2:$C$225,$C70,$D$2:$D$225,$D70,$AC$2:$AC$225,"&gt;"&amp;$AC70)+1))</f>
        <v>Conf Playoff Spot</v>
      </c>
      <c r="AO70" s="275" t="str">
        <f t="array" aca="1" ref="AO70" ca="1">IF($D70&gt;Standings!$Q$27,"",IF(OR($AK70=1,$AL70=1),"Conf Playoff Spot",COUNTIFS($AK$2:$AK$225,0,$AL$2:$AL$225,0,$D$2:$D$225,$D70,$AH$2:$AH$225,"&gt;"&amp;$AH70)+1))</f>
        <v>Conf Playoff Spot</v>
      </c>
      <c r="AP70" s="275">
        <f t="array" aca="1" ref="AP70" ca="1">IF($D70&gt;Standings!$Q$27,"",(COUNTIFS($D$2:$D$225,$D70,$J$2:$J$225,"&gt;"&amp;$J70)+1))</f>
        <v>12</v>
      </c>
      <c r="AQ70" s="265">
        <f ca="1">IF($D70&gt;Standings!$Q$27,"",(COUNTIFS($D$2:$D$225,$D70,$AC$2:$AC$225,"&gt;"&amp;$AC70)+1))</f>
        <v>2</v>
      </c>
      <c r="AR70" s="265">
        <f ca="1">IF($D70&gt;Standings!$Q$27,"",(COUNTIFS($D$2:$D$225,$D70,$K$2:$K$225,"&gt;"&amp;$K70)+1))</f>
        <v>10</v>
      </c>
      <c r="AS70" s="265">
        <f ca="1">IF($D70&gt;Standings!$Q$27,"",(COUNTIFS($D$2:$D$225,$D70,$AD$2:$AD$225,"&gt;"&amp;$AD70)+1))</f>
        <v>11</v>
      </c>
      <c r="AT70" s="356">
        <f ca="1">IF($D70&gt;Standings!$Q$27,"",SUMIFS($J$2:$J$225,$D$2:$D$225,$D70,$C$2:$C$225,$C70))</f>
        <v>774.50000000000011</v>
      </c>
      <c r="AU70" s="340">
        <f ca="1">IF($D70&gt;Standings!$Q$27,"",SUMIFS($AC$2:$AC$225,$D$2:$D$225,$D70,$C$2:$C$225,$C70))</f>
        <v>10651.210000000001</v>
      </c>
    </row>
    <row r="71" spans="1:47" ht="16" thickBot="1">
      <c r="A71" s="190">
        <f t="shared" si="0"/>
        <v>212</v>
      </c>
      <c r="B71" s="199" t="str">
        <f>'ESPN Data'!$L$8</f>
        <v>Team 5</v>
      </c>
      <c r="C71" s="348" t="str">
        <f>VLOOKUP(B71,'ESPN Data'!$L$4:$M$19,2,FALSE)</f>
        <v>Bone</v>
      </c>
      <c r="D71" s="398">
        <v>14</v>
      </c>
      <c r="E71" s="268" t="str">
        <f t="array" ref="E71">INDEX('ESPN Data'!$C$3:$C$226,MATCH(1,('ESPN Data'!$A$3:$A$226='Point Data'!$D71)*('ESPN Data'!$B$3:$B$226='Point Data'!$B71),0))</f>
        <v>Team 12</v>
      </c>
      <c r="F71" s="258" t="str">
        <f>IF(C71&lt;&gt;VLOOKUP($E71,'ESPN Data'!$L$4:$M$19,2,FALSE),"Non Conf", "Conf")</f>
        <v>Non Conf</v>
      </c>
      <c r="G71" s="262" t="str">
        <f t="array" ref="G71">IF('Point Data'!$D71&gt;Standings!$Q$27,"",(COUNTIFS($D$2:$D$225,$D71,$AM$2:$AM$225,"&gt;"&amp;$AM71)+1))</f>
        <v/>
      </c>
      <c r="H71" s="257" t="str">
        <f>IF('Point Data'!$D71&gt;Standings!$Q$27,"",$G69)</f>
        <v/>
      </c>
      <c r="I71" s="256" t="str">
        <f>IF('Point Data'!D71&gt;Standings!$Q$27,"",H71-G71)</f>
        <v/>
      </c>
      <c r="J71" s="257" t="str">
        <f ca="1">IF('Point Data'!D71&gt;Standings!$Q$27,"",OFFSET('ESPN Data'!D$3,$A71,0,1,1))</f>
        <v/>
      </c>
      <c r="K71" s="255" t="str">
        <f ca="1">IF('Point Data'!D71&gt;Standings!$Q$27,"",OFFSET('ESPN Data'!E$3,$A71,0,1,1))</f>
        <v/>
      </c>
      <c r="L71" s="338" t="str">
        <f ca="1">IF('Point Data'!D71&gt;Standings!$Q$27,"",OFFSET('ESPN Data'!I$3,$A71,0,1,1))</f>
        <v/>
      </c>
      <c r="M71" s="339" t="str">
        <f ca="1">IF('Point Data'!D71&gt;Standings!$Q$27,"",OFFSET('ESPN Data'!I$3,$A71,-2,1,1))</f>
        <v/>
      </c>
      <c r="N71" s="339" t="str">
        <f>IF('Point Data'!D71&gt;Standings!$Q$27,"",SUMIFS($M$2:$M$225,$D$2:$D$225,D71,$C$2:$C$225,C71))</f>
        <v/>
      </c>
      <c r="O71" s="339" t="str">
        <f>IF('Point Data'!D71&gt;Standings!$Q$27,"",SUMIFS($L$2:$L$225,$D$2:$D$225,$D71,$C$2:$C$225,$C71))</f>
        <v/>
      </c>
      <c r="P71" s="339" t="str">
        <f>IF('Point Data'!D71&gt;Standings!$Q$27,"",SUMIFS($M$2:$M$225,$D$2:$D$225,D71))</f>
        <v/>
      </c>
      <c r="Q71" s="339" t="str">
        <f>IF('Point Data'!D71&gt;Standings!$Q$27,"",SUMIFS($L$2:$L$225,$D$2:$D$225,D71))</f>
        <v/>
      </c>
      <c r="R71" s="265" t="str">
        <f>IF($D71&gt;Standings!$Q$27,"",IF(U71="T",(Z71+0.5)/(D71)*100,(Z71/D71)*100))</f>
        <v/>
      </c>
      <c r="S71" s="261" t="str">
        <f>IF($D71&gt;Standings!$Q$27,"",$J71-$K71)</f>
        <v/>
      </c>
      <c r="T71" s="261" t="str">
        <f ca="1">IF($D71&gt;Standings!$Q$27,"",AVERAGE(OFFSET(S71,(-$D71+1),0,1,1):S71))</f>
        <v/>
      </c>
      <c r="U71" s="257" t="str">
        <f>IF($D71&gt;Standings!$Q$27,"",IF(J71&gt;K71,1,IF(J71=K71,"T",0)))</f>
        <v/>
      </c>
      <c r="V71" s="268" t="str">
        <f>IF($D71&gt;Standings!$Q$27,"",IF(F71="Conf",V70,SUMIFS($U$2:$U$225,$D$2:$D$225,"&lt;="&amp;$D71,$B$2:$B$225,$B71,$F$2:$F$225,"Non Conf")))</f>
        <v/>
      </c>
      <c r="W71" s="268" t="str">
        <f ca="1">IF($D71&gt;Standings!$Q$27,"",$V71&amp;"-"&amp;COUNTIF(OFFSET($F71,(-$D71+1),0,1,1):$F71,"Non Conf")-$V71)</f>
        <v/>
      </c>
      <c r="X71" s="268" t="str">
        <f>IF($D71&gt;Standings!$Q$27,"",SUMIFS($U$2:$U$225,$D$2:$D$225,"&lt;="&amp;$D71,$B$2:$B$225,$B71,$F$2:$F$225,"Conf"))</f>
        <v/>
      </c>
      <c r="Y71" s="268" t="str">
        <f ca="1">IF($D71&gt;Standings!$Q$27,"",$X71&amp;"-"&amp;COUNTIF(OFFSET($F71,(-$D71+1),0,1,1):$F71,"Conf")-$X71)</f>
        <v/>
      </c>
      <c r="Z71" s="268" t="str">
        <f ca="1">IF($D71&gt;Standings!$Q$27,"",SUM(OFFSET(U71,(-$D71+1),0,1,1):U71))</f>
        <v/>
      </c>
      <c r="AA71" s="257" t="str">
        <f>IF($D71&gt;Standings!$Q$27,"",IF(U71=1,1+AA69,0))</f>
        <v/>
      </c>
      <c r="AB71" s="258" t="str">
        <f>IF($D71&gt;Standings!$Q$27,"",IF(AA71=0,1+AB69,0))</f>
        <v/>
      </c>
      <c r="AC71" s="259" t="str">
        <f ca="1">IF($D71&gt;Standings!$Q$27,"",SUM(OFFSET(J71,(-$D71+1),0,1,1):J71))</f>
        <v/>
      </c>
      <c r="AD71" s="255" t="str">
        <f ca="1">IF($D71&gt;Standings!$Q$27,"",SUM(OFFSET(K71,(-$D71+1),0,1,1):K71))</f>
        <v/>
      </c>
      <c r="AE71" s="255" t="str">
        <f>IF($D71&gt;Standings!$Q$27,"",$J71-$K71)</f>
        <v/>
      </c>
      <c r="AF71" s="255" t="str">
        <f>IF($D71&gt;Standings!$Q$27,"",AC71-AD71)</f>
        <v/>
      </c>
      <c r="AG71" s="257" t="str">
        <f>IF($D71&gt;Standings!$Q$27,"",(COUNTIFS($D$2:$D$225,$D71,$C$2:$C$225,$C71,$AC$2:$AC$225,"&lt;"&amp;$AC71)+1)*0.01)</f>
        <v/>
      </c>
      <c r="AH71" s="257" t="str">
        <f>IF($D71&gt;Standings!$Q$27,"",Z71+AG71)</f>
        <v/>
      </c>
      <c r="AI71" s="268"/>
      <c r="AJ71" s="268" t="str">
        <f t="array" ref="AJ71">IF($D71&gt;Standings!$Q$27,"",(COUNTIFS($D$2:$D$225,$D71,$C$2:$C$225,$C71,$AM$2:$AM$225,"&gt;"&amp;$AM71)+1))</f>
        <v/>
      </c>
      <c r="AK71" s="268" t="str">
        <f t="array" ref="AK71">IF($D71&gt;Standings!$Q$27,"",IF((COUNTIFS($D$2:$D$225,$D71,$C$2:$C$225,$C71,$AH$2:$AH$225,"&gt;"&amp;$AH71)+1)=2,1,0))</f>
        <v/>
      </c>
      <c r="AL71" s="268" t="str">
        <f t="array" ref="AL71">IF($D71&gt;Standings!$Q$27,"",IF((COUNTIFS($D$2:$D$225,$D71,$C$2:$C$225,$C71,$AH$2:$AH$225,"&gt;"&amp;$AH71)+1)&lt;2,1,0))</f>
        <v/>
      </c>
      <c r="AM71" s="268" t="str">
        <f>IF($D71&gt;Standings!$Q$27,"",IF(AL71=1,200+Z71+(16-AQ71)*0.01+AI71,IF(AK71=1,100+Z71+(16-AQ71)*0.01+AI71,IF(AN71=1,50+Z71+(16-AQ71)*0.01,IF(AO71=1,15+Z71+(16-AQ71)*0.01,Z71+(16-AQ71)*0.01+AI71)))))</f>
        <v/>
      </c>
      <c r="AN71" s="268" t="str">
        <f>IF($D71&gt;Standings!$Q$27,"",IF(OR($AK71=1,$AL71=1),"Conf Playoff Spot",COUNTIFS($AL$2:$AL$225,0,$AK$2:$AK$225,0,$C$2:$C$225,$C71,$D$2:$D$225,$D71,$AC$2:$AC$225,"&gt;"&amp;$AC71)+1))</f>
        <v/>
      </c>
      <c r="AO71" s="268" t="str">
        <f t="array" ref="AO71">IF($D71&gt;Standings!$Q$27,"",IF(OR($AK71=1,$AL71=1),"Conf Playoff Spot",COUNTIFS($AK$2:$AK$225,0,$AL$2:$AL$225,0,$D$2:$D$225,$D71,$AH$2:$AH$225,"&gt;"&amp;$AH71)+1))</f>
        <v/>
      </c>
      <c r="AP71" s="268" t="str">
        <f t="array" ref="AP71">IF($D71&gt;Standings!$Q$27,"",(COUNTIFS($D$2:$D$225,$D71,$J$2:$J$225,"&gt;"&amp;$J71)+1))</f>
        <v/>
      </c>
      <c r="AQ71" s="256" t="str">
        <f>IF($D71&gt;Standings!$Q$27,"",(COUNTIFS($D$2:$D$225,$D71,$AC$2:$AC$225,"&gt;"&amp;$AC71)+1))</f>
        <v/>
      </c>
      <c r="AR71" s="256" t="str">
        <f>IF($D71&gt;Standings!$Q$27,"",(COUNTIFS($D$2:$D$225,$D71,$K$2:$K$225,"&gt;"&amp;$K71)+1))</f>
        <v/>
      </c>
      <c r="AS71" s="256" t="str">
        <f>IF($D71&gt;Standings!$Q$27,"",(COUNTIFS($D$2:$D$225,$D71,$AD$2:$AD$225,"&gt;"&amp;$AD71)+1))</f>
        <v/>
      </c>
      <c r="AT71" s="355" t="str">
        <f>IF($D71&gt;Standings!$Q$27,"",SUMIFS($J$2:$J$225,$D$2:$D$225,$D71,$C$2:$C$225,$C71))</f>
        <v/>
      </c>
      <c r="AU71" s="261" t="str">
        <f>IF($D71&gt;Standings!$Q$27,"",SUMIFS($AC$2:$AC$225,$D$2:$D$225,$D71,$C$2:$C$225,$C71))</f>
        <v/>
      </c>
    </row>
    <row r="72" spans="1:47">
      <c r="A72" s="190">
        <f t="shared" si="0"/>
        <v>5</v>
      </c>
      <c r="B72" s="197" t="str">
        <f>'ESPN Data'!$L$9</f>
        <v>Team 6</v>
      </c>
      <c r="C72" s="345" t="str">
        <f>VLOOKUP(B72,'ESPN Data'!$L$4:$M$19,2,FALSE)</f>
        <v>Bone</v>
      </c>
      <c r="D72" s="396">
        <v>1</v>
      </c>
      <c r="E72" s="266" t="str">
        <f t="array" ref="E72">INDEX('ESPN Data'!$C$3:$C$226,MATCH(1,('ESPN Data'!$A$3:$A$226='Point Data'!$D72)*('ESPN Data'!$B$3:$B$226='Point Data'!$B72),0))</f>
        <v>Team 1</v>
      </c>
      <c r="F72" s="242" t="str">
        <f>IF(C72&lt;&gt;VLOOKUP($E72,'ESPN Data'!$L$4:$M$19,2,FALSE),"Non Conf", "Conf")</f>
        <v>Conf</v>
      </c>
      <c r="G72" s="237">
        <f t="array" aca="1" ref="G72" ca="1">IF('Point Data'!$D72&gt;Standings!$Q$27,"",(COUNTIFS($D$2:$D$225,$D72,$AM$2:$AM$225,"&gt;"&amp;$AM72)+1))</f>
        <v>4</v>
      </c>
      <c r="H72" s="241">
        <f>IF('Point Data'!$D72&gt;Standings!$Q$27,"",VLOOKUP($B72,'ESPN Data'!$L$4:$N$19,3,FALSE))</f>
        <v>16</v>
      </c>
      <c r="I72" s="240">
        <f ca="1">IF('Point Data'!$D72&gt;Standings!$Q$27,"",H72-G72)</f>
        <v>12</v>
      </c>
      <c r="J72" s="241">
        <f ca="1">IF('Point Data'!D72&gt;Standings!$Q$27,"",OFFSET('ESPN Data'!D$3,$A72,0,1,1))</f>
        <v>111.33</v>
      </c>
      <c r="K72" s="239">
        <f ca="1">IF('Point Data'!D72&gt;Standings!$Q$27,"",OFFSET('ESPN Data'!E$3,$A72,0,1,1))</f>
        <v>106.84</v>
      </c>
      <c r="L72" s="336">
        <f ca="1">IF('Point Data'!D72&gt;Standings!$Q$27,"",OFFSET('ESPN Data'!I$3,$A72,0,1,1))</f>
        <v>100</v>
      </c>
      <c r="M72" s="336">
        <f ca="1">IF('Point Data'!D72&gt;Standings!$Q$27,"",OFFSET('ESPN Data'!I$3,$A72,-2,1,1))</f>
        <v>0</v>
      </c>
      <c r="N72" s="336">
        <f ca="1">IF('Point Data'!D72&gt;Standings!$Q$27,"",SUMIFS($M$2:$M$225,$D$2:$D$225,D72,$C$2:$C$225,C72))</f>
        <v>3</v>
      </c>
      <c r="O72" s="336">
        <f ca="1">IF('Point Data'!D72&gt;Standings!$Q$27,"",SUMIFS($L$2:$L$225,$D$2:$D$225,$D72,$C$2:$C$225,$C72))</f>
        <v>797</v>
      </c>
      <c r="P72" s="336">
        <f ca="1">IF('Point Data'!D72&gt;Standings!$Q$27,"",SUMIFS($M$2:$M$225,$D$2:$D$225,D72))</f>
        <v>3</v>
      </c>
      <c r="Q72" s="336">
        <f ca="1">IF('Point Data'!D72&gt;Standings!$Q$27,"",SUMIFS($L$2:$L$225,$D$2:$D$225,$D72))</f>
        <v>1597</v>
      </c>
      <c r="R72" s="240">
        <f ca="1">IF($D72&gt;Standings!$Q$27,"",IF(U72="T",(Z72+0.5)/(D72)*100,(Z72/D72)*100))</f>
        <v>100</v>
      </c>
      <c r="S72" s="245">
        <f ca="1">IF($D72&gt;Standings!$Q$27,"",$J72-$K72)</f>
        <v>4.4899999999999949</v>
      </c>
      <c r="T72" s="245">
        <f ca="1">IF($D72&gt;Standings!$Q$27,"",AVERAGE(OFFSET(S72,(-$D72+1),0,1,1):S72))</f>
        <v>4.4899999999999949</v>
      </c>
      <c r="U72" s="241">
        <f ca="1">IF($D72&gt;Standings!$Q$27,"",IF(J72&gt;K72,1,IF(J72=K72,"T",0)))</f>
        <v>1</v>
      </c>
      <c r="V72" s="266">
        <f>IF($D72&gt;Standings!$Q$27,"",IF(F72="Conf",0,SUMIFS($U$2:$U$225,$D$2:$D$225,"&lt;="&amp;$D72,$B$2:$B$225,$B72,$F$2:$F$225,"Non Conf")))</f>
        <v>0</v>
      </c>
      <c r="W72" s="266" t="str">
        <f ca="1">IF($D72&gt;Standings!$Q$27,"",$V72&amp;"-"&amp;COUNTIF(OFFSET($F72,(-$D72+1),0,1,1):$F72,"Non Conf")-$V72)</f>
        <v>0-0</v>
      </c>
      <c r="X72" s="266">
        <f ca="1">IF($D72&gt;Standings!$Q$27,"",SUMIFS($U$2:$U$225,$D$2:$D$225,"&lt;="&amp;$D72,$B$2:$B$225,$B72,$F$2:$F$225,"Conf"))</f>
        <v>1</v>
      </c>
      <c r="Y72" s="266" t="str">
        <f ca="1">IF($D72&gt;Standings!$Q$27,"",$X72&amp;"-"&amp;COUNTIF(OFFSET($F72,(-$D72+1),0,1,1):$F72,"Conf")-$X72)</f>
        <v>1-0</v>
      </c>
      <c r="Z72" s="266">
        <f ca="1">IF($D72&gt;Standings!$Q$27,"",SUM(OFFSET(U72,(-$D72+1),0,1,1):U72))</f>
        <v>1</v>
      </c>
      <c r="AA72" s="241">
        <f ca="1">IF($D72&gt;Standings!$Q$27,"",IF(U72=1,1,0))</f>
        <v>1</v>
      </c>
      <c r="AB72" s="242">
        <f ca="1">IF($D72&gt;Standings!$Q$27,"",IF(AA72=0,1,0))</f>
        <v>0</v>
      </c>
      <c r="AC72" s="243">
        <f ca="1">IF($D72&gt;Standings!$Q$27,"",SUM(OFFSET(J72,(-$D72+1),0,1,1):J72))</f>
        <v>111.33</v>
      </c>
      <c r="AD72" s="239">
        <f ca="1">IF($D72&gt;Standings!$Q$27,"",SUM(OFFSET(K72,(-$D72+1),0,1,1):K72))</f>
        <v>106.84</v>
      </c>
      <c r="AE72" s="239">
        <f ca="1">IF($D72&gt;Standings!$Q$27,"",$J72-$K72)</f>
        <v>4.4899999999999949</v>
      </c>
      <c r="AF72" s="239">
        <f ca="1">IF($D72&gt;Standings!$Q$27,"",AC72-AD72)</f>
        <v>4.4899999999999949</v>
      </c>
      <c r="AG72" s="241">
        <f ca="1">IF($D72&gt;Standings!$Q$27,"",(COUNTIFS($D$2:$D$225,$D72,$C$2:$C$225,$C72,$AC$2:$AC$225,"&lt;"&amp;$AC72)+1)*0.01)</f>
        <v>7.0000000000000007E-2</v>
      </c>
      <c r="AH72" s="241">
        <f ca="1">IF($D72&gt;Standings!$Q$27,"",Z72+AG72)</f>
        <v>1.07</v>
      </c>
      <c r="AI72" s="266"/>
      <c r="AJ72" s="266">
        <f t="array" aca="1" ref="AJ72" ca="1">IF($D72&gt;Standings!$Q$27,"",(COUNTIFS($D$2:$D$225,$D72,$C$2:$C$225,$C72,$AM$2:$AM$225,"&gt;"&amp;$AM72)+1))</f>
        <v>2</v>
      </c>
      <c r="AK72" s="266">
        <f t="array" aca="1" ref="AK72" ca="1">IF($D72&gt;Standings!$Q$27,"",IF((COUNTIFS($D$2:$D$225,$D72,$C$2:$C$225,$C72,$AH$2:$AH$225,"&gt;"&amp;$AH72)+1)=2,1,0))</f>
        <v>1</v>
      </c>
      <c r="AL72" s="266">
        <f t="array" aca="1" ref="AL72" ca="1">IF($D72&gt;Standings!$Q$27,"",IF((COUNTIFS($D$2:$D$225,$D72,$C$2:$C$225,$C72,$AH$2:$AH$225,"&gt;"&amp;$AH72)+1)&lt;2,1,0))</f>
        <v>0</v>
      </c>
      <c r="AM72" s="266">
        <f ca="1">IF($D72&gt;Standings!$Q$27,"",IF(AL72=1,200+Z72+(16-AQ72)*0.01+AI72,IF(AK72=1,100+Z72+(16-AQ72)*0.01+AI72,IF(AN72=1,50+Z72+(16-AQ72)*0.01,IF(AO72=1,15+Z72+(16-AQ72)*0.01,Z72+(16-AQ72)*0.01+AI72)))))</f>
        <v>101.1</v>
      </c>
      <c r="AN72" s="266" t="str">
        <f ca="1">IF($D72&gt;Standings!$Q$27,"",IF(OR($AK72=1,$AL72=1),"Conf Playoff Spot",COUNTIFS($AL$2:$AL$225,0,$AK$2:$AK$225,0,$C$2:$C$225,$C72,$D$2:$D$225,$D72,$AC$2:$AC$225,"&gt;"&amp;$AC72)+1))</f>
        <v>Conf Playoff Spot</v>
      </c>
      <c r="AO72" s="266" t="str">
        <f t="array" aca="1" ref="AO72" ca="1">IF($D72&gt;Standings!$Q$27,"",IF(OR($AK72=1,$AL72=1),"Conf Playoff Spot",COUNTIFS($AK$2:$AK$225,0,$AL$2:$AL$225,0,$D$2:$D$225,$D72,$AH$2:$AH$225,"&gt;"&amp;$AH72)+1))</f>
        <v>Conf Playoff Spot</v>
      </c>
      <c r="AP72" s="266">
        <f t="array" aca="1" ref="AP72" ca="1">IF($D72&gt;Standings!$Q$27,"",(COUNTIFS($D$2:$D$225,$D72,$J$2:$J$225,"&gt;"&amp;$J72)+1))</f>
        <v>6</v>
      </c>
      <c r="AQ72" s="241">
        <f ca="1">IF($D72&gt;Standings!$Q$27,"",(COUNTIFS($D$2:$D$225,$D72,$AC$2:$AC$225,"&gt;"&amp;$AC72)+1))</f>
        <v>6</v>
      </c>
      <c r="AR72" s="241">
        <f ca="1">IF($D72&gt;Standings!$Q$27,"",(COUNTIFS($D$2:$D$225,$D72,$K$2:$K$225,"&gt;"&amp;$K72)+1))</f>
        <v>7</v>
      </c>
      <c r="AS72" s="241">
        <f ca="1">IF($D72&gt;Standings!$Q$27,"",(COUNTIFS($D$2:$D$225,$D72,$AD$2:$AD$225,"&gt;"&amp;$AD72)+1))</f>
        <v>7</v>
      </c>
      <c r="AT72" s="357">
        <f ca="1">IF($D72&gt;Standings!$Q$27,"",SUMIFS($J$2:$J$225,$D$2:$D$225,$D72,$C$2:$C$225,$C72))</f>
        <v>827.09</v>
      </c>
      <c r="AU72" s="245">
        <f ca="1">IF($D72&gt;Standings!$Q$27,"",SUMIFS($AC$2:$AC$225,$D$2:$D$225,$D72,$C$2:$C$225,$C72))</f>
        <v>827.09</v>
      </c>
    </row>
    <row r="73" spans="1:47">
      <c r="A73" s="190">
        <f t="shared" si="0"/>
        <v>21</v>
      </c>
      <c r="B73" s="198" t="str">
        <f>'ESPN Data'!$L$9</f>
        <v>Team 6</v>
      </c>
      <c r="C73" s="346" t="str">
        <f>VLOOKUP(B73,'ESPN Data'!$L$4:$M$19,2,FALSE)</f>
        <v>Bone</v>
      </c>
      <c r="D73" s="397">
        <v>2</v>
      </c>
      <c r="E73" s="267" t="str">
        <f t="array" ref="E73">INDEX('ESPN Data'!$C$3:$C$226,MATCH(1,('ESPN Data'!$A$3:$A$226='Point Data'!$D73)*('ESPN Data'!$B$3:$B$226='Point Data'!$B73),0))</f>
        <v>Team 2</v>
      </c>
      <c r="F73" s="250" t="str">
        <f>IF(C73&lt;&gt;VLOOKUP($E73,'ESPN Data'!$L$4:$M$19,2,FALSE),"Non Conf", "Conf")</f>
        <v>Conf</v>
      </c>
      <c r="G73" s="246">
        <f t="array" aca="1" ref="G73" ca="1">IF('Point Data'!$D73&gt;Standings!$Q$27,"",(COUNTIFS($D$2:$D$225,$D73,$AM$2:$AM$225,"&gt;"&amp;$AM73)+1))</f>
        <v>8</v>
      </c>
      <c r="H73" s="172">
        <f ca="1">IF('Point Data'!$D73&gt;Standings!$Q$27,"",$G72)</f>
        <v>4</v>
      </c>
      <c r="I73" s="249">
        <f ca="1">IF('Point Data'!D73&gt;Standings!$Q$27,"",H73-G73)</f>
        <v>-4</v>
      </c>
      <c r="J73" s="172">
        <f ca="1">IF('Point Data'!D73&gt;Standings!$Q$27,"",OFFSET('ESPN Data'!D$3,$A73,0,1,1))</f>
        <v>111.23</v>
      </c>
      <c r="K73" s="248">
        <f ca="1">IF('Point Data'!D73&gt;Standings!$Q$27,"",OFFSET('ESPN Data'!E$3,$A73,0,1,1))</f>
        <v>116.04</v>
      </c>
      <c r="L73" s="337">
        <f ca="1">IF('Point Data'!D73&gt;Standings!$Q$27,"",OFFSET('ESPN Data'!I$3,$A73,0,1,1))</f>
        <v>100</v>
      </c>
      <c r="M73" s="337">
        <f ca="1">IF('Point Data'!D73&gt;Standings!$Q$27,"",OFFSET('ESPN Data'!I$3,$A73,-2,1,1))</f>
        <v>0</v>
      </c>
      <c r="N73" s="337">
        <f ca="1">IF('Point Data'!D73&gt;Standings!$Q$27,"",SUMIFS($M$2:$M$225,$D$2:$D$225,D73,$C$2:$C$225,C73))</f>
        <v>44</v>
      </c>
      <c r="O73" s="337">
        <f ca="1">IF('Point Data'!D73&gt;Standings!$Q$27,"",SUMIFS($L$2:$L$225,$D$2:$D$225,$D73,$C$2:$C$225,$C73))</f>
        <v>753</v>
      </c>
      <c r="P73" s="337">
        <f ca="1">IF('Point Data'!D73&gt;Standings!$Q$27,"",SUMIFS($M$2:$M$225,$D$2:$D$225,D73))</f>
        <v>73</v>
      </c>
      <c r="Q73" s="337">
        <f ca="1">IF('Point Data'!D73&gt;Standings!$Q$27,"",SUMIFS($L$2:$L$225,$D$2:$D$225,D73))</f>
        <v>1524</v>
      </c>
      <c r="R73" s="249">
        <f ca="1">IF($D73&gt;Standings!$Q$27,"",IF(U73="T",(Z73+0.5)/(D73)*100,(Z73/D73)*100))</f>
        <v>50</v>
      </c>
      <c r="S73" s="253">
        <f ca="1">IF($D73&gt;Standings!$Q$27,"",$J73-$K73)</f>
        <v>-4.8100000000000023</v>
      </c>
      <c r="T73" s="253">
        <f ca="1">IF($D73&gt;Standings!$Q$27,"",AVERAGE(OFFSET(S73,(-$D73+1),0,1,1):S73))</f>
        <v>-0.16000000000000369</v>
      </c>
      <c r="U73" s="172">
        <f ca="1">IF($D73&gt;Standings!$Q$27,"",IF(J73&gt;K73,1,IF(J73=K73,"T",0)))</f>
        <v>0</v>
      </c>
      <c r="V73" s="267">
        <f>IF($D73&gt;Standings!$Q$27,"",IF(F73="Conf",V72,SUMIFS($U$2:$U$225,$D$2:$D$225,"&lt;="&amp;$D73,$B$2:$B$225,$B73,$F$2:$F$225,"Non Conf")))</f>
        <v>0</v>
      </c>
      <c r="W73" s="267" t="str">
        <f ca="1">IF($D73&gt;Standings!$Q$27,"",$V73&amp;"-"&amp;COUNTIF(OFFSET($F73,(-$D73+1),0,1,1):$F73,"Non Conf")-$V73)</f>
        <v>0-0</v>
      </c>
      <c r="X73" s="267">
        <f ca="1">IF($D73&gt;Standings!$Q$27,"",SUMIFS($U$2:$U$225,$D$2:$D$225,"&lt;="&amp;$D73,$B$2:$B$225,$B73,$F$2:$F$225,"Conf"))</f>
        <v>1</v>
      </c>
      <c r="Y73" s="267" t="str">
        <f ca="1">IF($D73&gt;Standings!$Q$27,"",$X73&amp;"-"&amp;COUNTIF(OFFSET($F73,(-$D73+1),0,1,1):$F73,"Conf")-$X73)</f>
        <v>1-1</v>
      </c>
      <c r="Z73" s="267">
        <f ca="1">IF($D73&gt;Standings!$Q$27,"",SUM(OFFSET(U73,(-$D73+1),0,1,1):U73))</f>
        <v>1</v>
      </c>
      <c r="AA73" s="172">
        <f ca="1">IF($D73&gt;Standings!$Q$27,"",IF(U73=1,1+AA72,0))</f>
        <v>0</v>
      </c>
      <c r="AB73" s="250">
        <f ca="1">IF($D73&gt;Standings!$Q$27,"",IF(AA73=0,1+AB72,0))</f>
        <v>1</v>
      </c>
      <c r="AC73" s="251">
        <f ca="1">IF($D73&gt;Standings!$Q$27,"",SUM(OFFSET(J73,(-$D73+1),0,1,1):J73))</f>
        <v>222.56</v>
      </c>
      <c r="AD73" s="248">
        <f ca="1">IF($D73&gt;Standings!$Q$27,"",SUM(OFFSET(K73,(-$D73+1),0,1,1):K73))</f>
        <v>222.88</v>
      </c>
      <c r="AE73" s="248">
        <f ca="1">IF($D73&gt;Standings!$Q$27,"",$J73-$K73)</f>
        <v>-4.8100000000000023</v>
      </c>
      <c r="AF73" s="248">
        <f ca="1">IF($D73&gt;Standings!$Q$27,"",AC73-AD73)</f>
        <v>-0.31999999999999318</v>
      </c>
      <c r="AG73" s="172">
        <f ca="1">IF($D73&gt;Standings!$Q$27,"",(COUNTIFS($D$2:$D$225,$D73,$C$2:$C$225,$C73,$AC$2:$AC$225,"&lt;"&amp;$AC73)+1)*0.01)</f>
        <v>7.0000000000000007E-2</v>
      </c>
      <c r="AH73" s="172">
        <f ca="1">IF($D73&gt;Standings!$Q$27,"",Z73+AG73)</f>
        <v>1.07</v>
      </c>
      <c r="AI73" s="267"/>
      <c r="AJ73" s="267">
        <f t="array" aca="1" ref="AJ73" ca="1">IF($D73&gt;Standings!$Q$27,"",(COUNTIFS($D$2:$D$225,$D73,$C$2:$C$225,$C73,$AM$2:$AM$225,"&gt;"&amp;$AM73)+1))</f>
        <v>4</v>
      </c>
      <c r="AK73" s="267">
        <f t="array" aca="1" ref="AK73" ca="1">IF($D73&gt;Standings!$Q$27,"",IF((COUNTIFS($D$2:$D$225,$D73,$C$2:$C$225,$C73,$AH$2:$AH$225,"&gt;"&amp;$AH73)+1)=2,1,0))</f>
        <v>0</v>
      </c>
      <c r="AL73" s="267">
        <f t="array" aca="1" ref="AL73" ca="1">IF($D73&gt;Standings!$Q$27,"",IF((COUNTIFS($D$2:$D$225,$D73,$C$2:$C$225,$C73,$AH$2:$AH$225,"&gt;"&amp;$AH73)+1)&lt;2,1,0))</f>
        <v>0</v>
      </c>
      <c r="AM73" s="267">
        <f ca="1">IF($D73&gt;Standings!$Q$27,"",IF(AL73=1,200+Z73+(16-AQ73)*0.01+AI73,IF(AK73=1,100+Z73+(16-AQ73)*0.01+AI73,IF(AN73=1,50+Z73+(16-AQ73)*0.01,IF(AO73=1,15+Z73+(16-AQ73)*0.01,Z73+(16-AQ73)*0.01+AI73)))))</f>
        <v>1.1000000000000001</v>
      </c>
      <c r="AN73" s="267">
        <f ca="1">IF($D73&gt;Standings!$Q$27,"",IF(OR($AK73=1,$AL73=1),"Conf Playoff Spot",COUNTIFS($AL$2:$AL$225,0,$AK$2:$AK$225,0,$C$2:$C$225,$C73,$D$2:$D$225,$D73,$AC$2:$AC$225,"&gt;"&amp;$AC73)+1))</f>
        <v>2</v>
      </c>
      <c r="AO73" s="267">
        <f t="array" aca="1" ref="AO73" ca="1">IF($D73&gt;Standings!$Q$27,"",IF(OR($AK73=1,$AL73=1),"Conf Playoff Spot",COUNTIFS($AK$2:$AK$225,0,$AL$2:$AL$225,0,$D$2:$D$225,$D73,$AH$2:$AH$225,"&gt;"&amp;$AH73)+1))</f>
        <v>3</v>
      </c>
      <c r="AP73" s="267">
        <f t="array" aca="1" ref="AP73" ca="1">IF($D73&gt;Standings!$Q$27,"",(COUNTIFS($D$2:$D$225,$D73,$J$2:$J$225,"&gt;"&amp;$J73)+1))</f>
        <v>8</v>
      </c>
      <c r="AQ73" s="249">
        <f ca="1">IF($D73&gt;Standings!$Q$27,"",(COUNTIFS($D$2:$D$225,$D73,$AC$2:$AC$225,"&gt;"&amp;$AC73)+1))</f>
        <v>6</v>
      </c>
      <c r="AR73" s="249">
        <f ca="1">IF($D73&gt;Standings!$Q$27,"",(COUNTIFS($D$2:$D$225,$D73,$K$2:$K$225,"&gt;"&amp;$K73)+1))</f>
        <v>6</v>
      </c>
      <c r="AS73" s="249">
        <f ca="1">IF($D73&gt;Standings!$Q$27,"",(COUNTIFS($D$2:$D$225,$D73,$AD$2:$AD$225,"&gt;"&amp;$AD73)+1))</f>
        <v>7</v>
      </c>
      <c r="AT73" s="354">
        <f ca="1">IF($D73&gt;Standings!$Q$27,"",SUMIFS($J$2:$J$225,$D$2:$D$225,$D73,$C$2:$C$225,$C73))</f>
        <v>849.17</v>
      </c>
      <c r="AU73" s="253">
        <f ca="1">IF($D73&gt;Standings!$Q$27,"",SUMIFS($AC$2:$AC$225,$D$2:$D$225,$D73,$C$2:$C$225,$C73))</f>
        <v>1676.26</v>
      </c>
    </row>
    <row r="74" spans="1:47">
      <c r="A74" s="190">
        <f t="shared" si="0"/>
        <v>37</v>
      </c>
      <c r="B74" s="198" t="str">
        <f>'ESPN Data'!$L$9</f>
        <v>Team 6</v>
      </c>
      <c r="C74" s="346" t="str">
        <f>VLOOKUP(B74,'ESPN Data'!$L$4:$M$19,2,FALSE)</f>
        <v>Bone</v>
      </c>
      <c r="D74" s="397">
        <v>3</v>
      </c>
      <c r="E74" s="267" t="str">
        <f t="array" ref="E74">INDEX('ESPN Data'!$C$3:$C$226,MATCH(1,('ESPN Data'!$A$3:$A$226='Point Data'!$D74)*('ESPN Data'!$B$3:$B$226='Point Data'!$B74),0))</f>
        <v>Team 9</v>
      </c>
      <c r="F74" s="250" t="str">
        <f>IF(C74&lt;&gt;VLOOKUP($E74,'ESPN Data'!$L$4:$M$19,2,FALSE),"Non Conf", "Conf")</f>
        <v>Non Conf</v>
      </c>
      <c r="G74" s="246">
        <f t="array" aca="1" ref="G74" ca="1">IF('Point Data'!$D74&gt;Standings!$Q$27,"",(COUNTIFS($D$2:$D$225,$D74,$AM$2:$AM$225,"&gt;"&amp;$AM74)+1))</f>
        <v>8</v>
      </c>
      <c r="H74" s="172">
        <f ca="1">IF('Point Data'!$D74&gt;Standings!$Q$27,"",$G73)</f>
        <v>8</v>
      </c>
      <c r="I74" s="249">
        <f ca="1">IF('Point Data'!D74&gt;Standings!$Q$27,"",H74-G74)</f>
        <v>0</v>
      </c>
      <c r="J74" s="172">
        <f ca="1">IF('Point Data'!D74&gt;Standings!$Q$27,"",OFFSET('ESPN Data'!D$3,$A74,0,1,1))</f>
        <v>101.93</v>
      </c>
      <c r="K74" s="248">
        <f ca="1">IF('Point Data'!D74&gt;Standings!$Q$27,"",OFFSET('ESPN Data'!E$3,$A74,0,1,1))</f>
        <v>96.08</v>
      </c>
      <c r="L74" s="337">
        <f ca="1">IF('Point Data'!D74&gt;Standings!$Q$27,"",OFFSET('ESPN Data'!I$3,$A74,0,1,1))</f>
        <v>95</v>
      </c>
      <c r="M74" s="337">
        <f ca="1">IF('Point Data'!D74&gt;Standings!$Q$27,"",OFFSET('ESPN Data'!I$3,$A74,-2,1,1))</f>
        <v>5</v>
      </c>
      <c r="N74" s="337">
        <f ca="1">IF('Point Data'!D74&gt;Standings!$Q$27,"",SUMIFS($M$2:$M$225,$D$2:$D$225,D74,$C$2:$C$225,C74))</f>
        <v>25</v>
      </c>
      <c r="O74" s="337">
        <f ca="1">IF('Point Data'!D74&gt;Standings!$Q$27,"",SUMIFS($L$2:$L$225,$D$2:$D$225,$D74,$C$2:$C$225,$C74))</f>
        <v>728</v>
      </c>
      <c r="P74" s="337">
        <f ca="1">IF('Point Data'!D74&gt;Standings!$Q$27,"",SUMIFS($M$2:$M$225,$D$2:$D$225,D74))</f>
        <v>210</v>
      </c>
      <c r="Q74" s="337">
        <f ca="1">IF('Point Data'!D74&gt;Standings!$Q$27,"",SUMIFS($L$2:$L$225,$D$2:$D$225,D74))</f>
        <v>1314</v>
      </c>
      <c r="R74" s="249">
        <f ca="1">IF($D74&gt;Standings!$Q$27,"",IF(U74="T",(Z74+0.5)/(D74)*100,(Z74/D74)*100))</f>
        <v>66.666666666666657</v>
      </c>
      <c r="S74" s="253">
        <f ca="1">IF($D74&gt;Standings!$Q$27,"",$J74-$K74)</f>
        <v>5.8500000000000085</v>
      </c>
      <c r="T74" s="253">
        <f ca="1">IF($D74&gt;Standings!$Q$27,"",AVERAGE(OFFSET(S74,(-$D74+1),0,1,1):S74))</f>
        <v>1.8433333333333337</v>
      </c>
      <c r="U74" s="172">
        <f ca="1">IF($D74&gt;Standings!$Q$27,"",IF(J74&gt;K74,1,IF(J74=K74,"T",0)))</f>
        <v>1</v>
      </c>
      <c r="V74" s="267">
        <f ca="1">IF($D74&gt;Standings!$Q$27,"",IF(F74="Conf",V73,SUMIFS($U$2:$U$225,$D$2:$D$225,"&lt;="&amp;$D74,$B$2:$B$225,$B74,$F$2:$F$225,"Non Conf")))</f>
        <v>1</v>
      </c>
      <c r="W74" s="267" t="str">
        <f ca="1">IF($D74&gt;Standings!$Q$27,"",$V74&amp;"-"&amp;COUNTIF(OFFSET($F74,(-$D74+1),0,1,1):$F74,"Non Conf")-$V74)</f>
        <v>1-0</v>
      </c>
      <c r="X74" s="267">
        <f ca="1">IF($D74&gt;Standings!$Q$27,"",SUMIFS($U$2:$U$225,$D$2:$D$225,"&lt;="&amp;$D74,$B$2:$B$225,$B74,$F$2:$F$225,"Conf"))</f>
        <v>1</v>
      </c>
      <c r="Y74" s="267" t="str">
        <f ca="1">IF($D74&gt;Standings!$Q$27,"",$X74&amp;"-"&amp;COUNTIF(OFFSET($F74,(-$D74+1),0,1,1):$F74,"Conf")-$X74)</f>
        <v>1-1</v>
      </c>
      <c r="Z74" s="267">
        <f ca="1">IF($D74&gt;Standings!$Q$27,"",SUM(OFFSET(U74,(-$D74+1),0,1,1):U74))</f>
        <v>2</v>
      </c>
      <c r="AA74" s="172">
        <f ca="1">IF($D74&gt;Standings!$Q$27,"",IF(U74=1,1+AA73,0))</f>
        <v>1</v>
      </c>
      <c r="AB74" s="250">
        <f ca="1">IF($D74&gt;Standings!$Q$27,"",IF(AA74=0,1+AB73,0))</f>
        <v>0</v>
      </c>
      <c r="AC74" s="251">
        <f ca="1">IF($D74&gt;Standings!$Q$27,"",SUM(OFFSET(J74,(-$D74+1),0,1,1):J74))</f>
        <v>324.49</v>
      </c>
      <c r="AD74" s="248">
        <f ca="1">IF($D74&gt;Standings!$Q$27,"",SUM(OFFSET(K74,(-$D74+1),0,1,1):K74))</f>
        <v>318.95999999999998</v>
      </c>
      <c r="AE74" s="248">
        <f ca="1">IF($D74&gt;Standings!$Q$27,"",$J74-$K74)</f>
        <v>5.8500000000000085</v>
      </c>
      <c r="AF74" s="248">
        <f ca="1">IF($D74&gt;Standings!$Q$27,"",AC74-AD74)</f>
        <v>5.5300000000000296</v>
      </c>
      <c r="AG74" s="172">
        <f ca="1">IF($D74&gt;Standings!$Q$27,"",(COUNTIFS($D$2:$D$225,$D74,$C$2:$C$225,$C74,$AC$2:$AC$225,"&lt;"&amp;$AC74)+1)*0.01)</f>
        <v>0.05</v>
      </c>
      <c r="AH74" s="172">
        <f ca="1">IF($D74&gt;Standings!$Q$27,"",Z74+AG74)</f>
        <v>2.0499999999999998</v>
      </c>
      <c r="AI74" s="267"/>
      <c r="AJ74" s="267">
        <f t="array" aca="1" ref="AJ74" ca="1">IF($D74&gt;Standings!$Q$27,"",(COUNTIFS($D$2:$D$225,$D74,$C$2:$C$225,$C74,$AM$2:$AM$225,"&gt;"&amp;$AM74)+1))</f>
        <v>5</v>
      </c>
      <c r="AK74" s="267">
        <f t="array" aca="1" ref="AK74" ca="1">IF($D74&gt;Standings!$Q$27,"",IF((COUNTIFS($D$2:$D$225,$D74,$C$2:$C$225,$C74,$AH$2:$AH$225,"&gt;"&amp;$AH74)+1)=2,1,0))</f>
        <v>0</v>
      </c>
      <c r="AL74" s="267">
        <f t="array" aca="1" ref="AL74" ca="1">IF($D74&gt;Standings!$Q$27,"",IF((COUNTIFS($D$2:$D$225,$D74,$C$2:$C$225,$C74,$AH$2:$AH$225,"&gt;"&amp;$AH74)+1)&lt;2,1,0))</f>
        <v>0</v>
      </c>
      <c r="AM74" s="267">
        <f ca="1">IF($D74&gt;Standings!$Q$27,"",IF(AL74=1,200+Z74+(16-AQ74)*0.01+AI74,IF(AK74=1,100+Z74+(16-AQ74)*0.01+AI74,IF(AN74=1,50+Z74+(16-AQ74)*0.01,IF(AO74=1,15+Z74+(16-AQ74)*0.01,Z74+(16-AQ74)*0.01+AI74)))))</f>
        <v>2.08</v>
      </c>
      <c r="AN74" s="267">
        <f ca="1">IF($D74&gt;Standings!$Q$27,"",IF(OR($AK74=1,$AL74=1),"Conf Playoff Spot",COUNTIFS($AL$2:$AL$225,0,$AK$2:$AK$225,0,$C$2:$C$225,$C74,$D$2:$D$225,$D74,$AC$2:$AC$225,"&gt;"&amp;$AC74)+1))</f>
        <v>2</v>
      </c>
      <c r="AO74" s="267">
        <f t="array" aca="1" ref="AO74" ca="1">IF($D74&gt;Standings!$Q$27,"",IF(OR($AK74=1,$AL74=1),"Conf Playoff Spot",COUNTIFS($AK$2:$AK$225,0,$AL$2:$AL$225,0,$D$2:$D$225,$D74,$AH$2:$AH$225,"&gt;"&amp;$AH74)+1))</f>
        <v>2</v>
      </c>
      <c r="AP74" s="267">
        <f t="array" aca="1" ref="AP74" ca="1">IF($D74&gt;Standings!$Q$27,"",(COUNTIFS($D$2:$D$225,$D74,$J$2:$J$225,"&gt;"&amp;$J74)+1))</f>
        <v>11</v>
      </c>
      <c r="AQ74" s="249">
        <f ca="1">IF($D74&gt;Standings!$Q$27,"",(COUNTIFS($D$2:$D$225,$D74,$AC$2:$AC$225,"&gt;"&amp;$AC74)+1))</f>
        <v>8</v>
      </c>
      <c r="AR74" s="249">
        <f ca="1">IF($D74&gt;Standings!$Q$27,"",(COUNTIFS($D$2:$D$225,$D74,$K$2:$K$225,"&gt;"&amp;$K74)+1))</f>
        <v>12</v>
      </c>
      <c r="AS74" s="249">
        <f ca="1">IF($D74&gt;Standings!$Q$27,"",(COUNTIFS($D$2:$D$225,$D74,$AD$2:$AD$225,"&gt;"&amp;$AD74)+1))</f>
        <v>11</v>
      </c>
      <c r="AT74" s="354">
        <f ca="1">IF($D74&gt;Standings!$Q$27,"",SUMIFS($J$2:$J$225,$D$2:$D$225,$D74,$C$2:$C$225,$C74))</f>
        <v>927.32</v>
      </c>
      <c r="AU74" s="253">
        <f ca="1">IF($D74&gt;Standings!$Q$27,"",SUMIFS($AC$2:$AC$225,$D$2:$D$225,$D74,$C$2:$C$225,$C74))</f>
        <v>2603.58</v>
      </c>
    </row>
    <row r="75" spans="1:47">
      <c r="A75" s="190">
        <f t="shared" si="0"/>
        <v>53</v>
      </c>
      <c r="B75" s="198" t="str">
        <f>'ESPN Data'!$L$9</f>
        <v>Team 6</v>
      </c>
      <c r="C75" s="346" t="str">
        <f>VLOOKUP(B75,'ESPN Data'!$L$4:$M$19,2,FALSE)</f>
        <v>Bone</v>
      </c>
      <c r="D75" s="397">
        <v>4</v>
      </c>
      <c r="E75" s="267" t="str">
        <f t="array" ref="E75">INDEX('ESPN Data'!$C$3:$C$226,MATCH(1,('ESPN Data'!$A$3:$A$226='Point Data'!$D75)*('ESPN Data'!$B$3:$B$226='Point Data'!$B75),0))</f>
        <v>Team 5</v>
      </c>
      <c r="F75" s="250" t="str">
        <f>IF(C75&lt;&gt;VLOOKUP($E75,'ESPN Data'!$L$4:$M$19,2,FALSE),"Non Conf", "Conf")</f>
        <v>Conf</v>
      </c>
      <c r="G75" s="246">
        <f t="array" aca="1" ref="G75" ca="1">IF('Point Data'!$D75&gt;Standings!$Q$27,"",(COUNTIFS($D$2:$D$225,$D75,$AM$2:$AM$225,"&gt;"&amp;$AM75)+1))</f>
        <v>10</v>
      </c>
      <c r="H75" s="172">
        <f ca="1">IF('Point Data'!$D75&gt;Standings!$Q$27,"",$G74)</f>
        <v>8</v>
      </c>
      <c r="I75" s="249">
        <f ca="1">IF('Point Data'!D75&gt;Standings!$Q$27,"",H75-G75)</f>
        <v>-2</v>
      </c>
      <c r="J75" s="172">
        <f ca="1">IF('Point Data'!D75&gt;Standings!$Q$27,"",OFFSET('ESPN Data'!D$3,$A75,0,1,1))</f>
        <v>93.77</v>
      </c>
      <c r="K75" s="248">
        <f ca="1">IF('Point Data'!D75&gt;Standings!$Q$27,"",OFFSET('ESPN Data'!E$3,$A75,0,1,1))</f>
        <v>114.82</v>
      </c>
      <c r="L75" s="337">
        <f ca="1">IF('Point Data'!D75&gt;Standings!$Q$27,"",OFFSET('ESPN Data'!I$3,$A75,0,1,1))</f>
        <v>70</v>
      </c>
      <c r="M75" s="337">
        <f ca="1">IF('Point Data'!D75&gt;Standings!$Q$27,"",OFFSET('ESPN Data'!I$3,$A75,-2,1,1))</f>
        <v>25</v>
      </c>
      <c r="N75" s="337">
        <f ca="1">IF('Point Data'!D75&gt;Standings!$Q$27,"",SUMIFS($M$2:$M$225,$D$2:$D$225,D75,$C$2:$C$225,C75))</f>
        <v>161</v>
      </c>
      <c r="O75" s="337">
        <f ca="1">IF('Point Data'!D75&gt;Standings!$Q$27,"",SUMIFS($L$2:$L$225,$D$2:$D$225,$D75,$C$2:$C$225,$C75))</f>
        <v>567</v>
      </c>
      <c r="P75" s="337">
        <f ca="1">IF('Point Data'!D75&gt;Standings!$Q$27,"",SUMIFS($M$2:$M$225,$D$2:$D$225,D75))</f>
        <v>171</v>
      </c>
      <c r="Q75" s="337">
        <f ca="1">IF('Point Data'!D75&gt;Standings!$Q$27,"",SUMIFS($L$2:$L$225,$D$2:$D$225,D75))</f>
        <v>1143</v>
      </c>
      <c r="R75" s="249">
        <f ca="1">IF($D75&gt;Standings!$Q$27,"",IF(U75="T",(Z75+0.5)/(D75)*100,(Z75/D75)*100))</f>
        <v>50</v>
      </c>
      <c r="S75" s="253">
        <f ca="1">IF($D75&gt;Standings!$Q$27,"",$J75-$K75)</f>
        <v>-21.049999999999997</v>
      </c>
      <c r="T75" s="253">
        <f ca="1">IF($D75&gt;Standings!$Q$27,"",AVERAGE(OFFSET(S75,(-$D75+1),0,1,1):S75))</f>
        <v>-3.879999999999999</v>
      </c>
      <c r="U75" s="172">
        <f ca="1">IF($D75&gt;Standings!$Q$27,"",IF(J75&gt;K75,1,IF(J75=K75,"T",0)))</f>
        <v>0</v>
      </c>
      <c r="V75" s="267">
        <f ca="1">IF($D75&gt;Standings!$Q$27,"",IF(F75="Conf",V74,SUMIFS($U$2:$U$225,$D$2:$D$225,"&lt;="&amp;$D75,$B$2:$B$225,$B75,$F$2:$F$225,"Non Conf")))</f>
        <v>1</v>
      </c>
      <c r="W75" s="267" t="str">
        <f ca="1">IF($D75&gt;Standings!$Q$27,"",$V75&amp;"-"&amp;COUNTIF(OFFSET($F75,(-$D75+1),0,1,1):$F75,"Non Conf")-$V75)</f>
        <v>1-0</v>
      </c>
      <c r="X75" s="267">
        <f ca="1">IF($D75&gt;Standings!$Q$27,"",SUMIFS($U$2:$U$225,$D$2:$D$225,"&lt;="&amp;$D75,$B$2:$B$225,$B75,$F$2:$F$225,"Conf"))</f>
        <v>1</v>
      </c>
      <c r="Y75" s="267" t="str">
        <f ca="1">IF($D75&gt;Standings!$Q$27,"",$X75&amp;"-"&amp;COUNTIF(OFFSET($F75,(-$D75+1),0,1,1):$F75,"Conf")-$X75)</f>
        <v>1-2</v>
      </c>
      <c r="Z75" s="267">
        <f ca="1">IF($D75&gt;Standings!$Q$27,"",SUM(OFFSET(U75,(-$D75+1),0,1,1):U75))</f>
        <v>2</v>
      </c>
      <c r="AA75" s="172">
        <f ca="1">IF($D75&gt;Standings!$Q$27,"",IF(U75=1,1+AA74,0))</f>
        <v>0</v>
      </c>
      <c r="AB75" s="250">
        <f ca="1">IF($D75&gt;Standings!$Q$27,"",IF(AA75=0,1+AB74,0))</f>
        <v>1</v>
      </c>
      <c r="AC75" s="251">
        <f ca="1">IF($D75&gt;Standings!$Q$27,"",SUM(OFFSET(J75,(-$D75+1),0,1,1):J75))</f>
        <v>418.26</v>
      </c>
      <c r="AD75" s="248">
        <f ca="1">IF($D75&gt;Standings!$Q$27,"",SUM(OFFSET(K75,(-$D75+1),0,1,1):K75))</f>
        <v>433.78</v>
      </c>
      <c r="AE75" s="248">
        <f ca="1">IF($D75&gt;Standings!$Q$27,"",$J75-$K75)</f>
        <v>-21.049999999999997</v>
      </c>
      <c r="AF75" s="248">
        <f ca="1">IF($D75&gt;Standings!$Q$27,"",AC75-AD75)</f>
        <v>-15.519999999999982</v>
      </c>
      <c r="AG75" s="172">
        <f ca="1">IF($D75&gt;Standings!$Q$27,"",(COUNTIFS($D$2:$D$225,$D75,$C$2:$C$225,$C75,$AC$2:$AC$225,"&lt;"&amp;$AC75)+1)*0.01)</f>
        <v>0.04</v>
      </c>
      <c r="AH75" s="172">
        <f ca="1">IF($D75&gt;Standings!$Q$27,"",Z75+AG75)</f>
        <v>2.04</v>
      </c>
      <c r="AI75" s="267"/>
      <c r="AJ75" s="267">
        <f t="array" aca="1" ref="AJ75" ca="1">IF($D75&gt;Standings!$Q$27,"",(COUNTIFS($D$2:$D$225,$D75,$C$2:$C$225,$C75,$AM$2:$AM$225,"&gt;"&amp;$AM75)+1))</f>
        <v>5</v>
      </c>
      <c r="AK75" s="267">
        <f t="array" aca="1" ref="AK75" ca="1">IF($D75&gt;Standings!$Q$27,"",IF((COUNTIFS($D$2:$D$225,$D75,$C$2:$C$225,$C75,$AH$2:$AH$225,"&gt;"&amp;$AH75)+1)=2,1,0))</f>
        <v>0</v>
      </c>
      <c r="AL75" s="267">
        <f t="array" aca="1" ref="AL75" ca="1">IF($D75&gt;Standings!$Q$27,"",IF((COUNTIFS($D$2:$D$225,$D75,$C$2:$C$225,$C75,$AH$2:$AH$225,"&gt;"&amp;$AH75)+1)&lt;2,1,0))</f>
        <v>0</v>
      </c>
      <c r="AM75" s="267">
        <f ca="1">IF($D75&gt;Standings!$Q$27,"",IF(AL75=1,200+Z75+(16-AQ75)*0.01+AI75,IF(AK75=1,100+Z75+(16-AQ75)*0.01+AI75,IF(AN75=1,50+Z75+(16-AQ75)*0.01,IF(AO75=1,15+Z75+(16-AQ75)*0.01,Z75+(16-AQ75)*0.01+AI75)))))</f>
        <v>2.0699999999999998</v>
      </c>
      <c r="AN75" s="267">
        <f ca="1">IF($D75&gt;Standings!$Q$27,"",IF(OR($AK75=1,$AL75=1),"Conf Playoff Spot",COUNTIFS($AL$2:$AL$225,0,$AK$2:$AK$225,0,$C$2:$C$225,$C75,$D$2:$D$225,$D75,$AC$2:$AC$225,"&gt;"&amp;$AC75)+1))</f>
        <v>3</v>
      </c>
      <c r="AO75" s="267">
        <f t="array" aca="1" ref="AO75" ca="1">IF($D75&gt;Standings!$Q$27,"",IF(OR($AK75=1,$AL75=1),"Conf Playoff Spot",COUNTIFS($AK$2:$AK$225,0,$AL$2:$AL$225,0,$D$2:$D$225,$D75,$AH$2:$AH$225,"&gt;"&amp;$AH75)+1))</f>
        <v>6</v>
      </c>
      <c r="AP75" s="267">
        <f t="array" aca="1" ref="AP75" ca="1">IF($D75&gt;Standings!$Q$27,"",(COUNTIFS($D$2:$D$225,$D75,$J$2:$J$225,"&gt;"&amp;$J75)+1))</f>
        <v>12</v>
      </c>
      <c r="AQ75" s="249">
        <f ca="1">IF($D75&gt;Standings!$Q$27,"",(COUNTIFS($D$2:$D$225,$D75,$AC$2:$AC$225,"&gt;"&amp;$AC75)+1))</f>
        <v>9</v>
      </c>
      <c r="AR75" s="249">
        <f ca="1">IF($D75&gt;Standings!$Q$27,"",(COUNTIFS($D$2:$D$225,$D75,$K$2:$K$225,"&gt;"&amp;$K75)+1))</f>
        <v>5</v>
      </c>
      <c r="AS75" s="249">
        <f ca="1">IF($D75&gt;Standings!$Q$27,"",(COUNTIFS($D$2:$D$225,$D75,$AD$2:$AD$225,"&gt;"&amp;$AD75)+1))</f>
        <v>9</v>
      </c>
      <c r="AT75" s="354">
        <f ca="1">IF($D75&gt;Standings!$Q$27,"",SUMIFS($J$2:$J$225,$D$2:$D$225,$D75,$C$2:$C$225,$C75))</f>
        <v>806.98</v>
      </c>
      <c r="AU75" s="253">
        <f ca="1">IF($D75&gt;Standings!$Q$27,"",SUMIFS($AC$2:$AC$225,$D$2:$D$225,$D75,$C$2:$C$225,$C75))</f>
        <v>3410.56</v>
      </c>
    </row>
    <row r="76" spans="1:47">
      <c r="A76" s="190">
        <f t="shared" si="0"/>
        <v>69</v>
      </c>
      <c r="B76" s="198" t="str">
        <f>'ESPN Data'!$L$9</f>
        <v>Team 6</v>
      </c>
      <c r="C76" s="346" t="str">
        <f>VLOOKUP(B76,'ESPN Data'!$L$4:$M$19,2,FALSE)</f>
        <v>Bone</v>
      </c>
      <c r="D76" s="397">
        <v>5</v>
      </c>
      <c r="E76" s="267" t="str">
        <f t="array" ref="E76">INDEX('ESPN Data'!$C$3:$C$226,MATCH(1,('ESPN Data'!$A$3:$A$226='Point Data'!$D76)*('ESPN Data'!$B$3:$B$226='Point Data'!$B76),0))</f>
        <v>Team 12</v>
      </c>
      <c r="F76" s="250" t="str">
        <f>IF(C76&lt;&gt;VLOOKUP($E76,'ESPN Data'!$L$4:$M$19,2,FALSE),"Non Conf", "Conf")</f>
        <v>Non Conf</v>
      </c>
      <c r="G76" s="246">
        <f t="array" aca="1" ref="G76" ca="1">IF('Point Data'!$D76&gt;Standings!$Q$27,"",(COUNTIFS($D$2:$D$225,$D76,$AM$2:$AM$225,"&gt;"&amp;$AM76)+1))</f>
        <v>9</v>
      </c>
      <c r="H76" s="172">
        <f ca="1">IF('Point Data'!$D76&gt;Standings!$Q$27,"",$G75)</f>
        <v>10</v>
      </c>
      <c r="I76" s="249">
        <f ca="1">IF('Point Data'!D76&gt;Standings!$Q$27,"",H76-G76)</f>
        <v>1</v>
      </c>
      <c r="J76" s="172">
        <f ca="1">IF('Point Data'!D76&gt;Standings!$Q$27,"",OFFSET('ESPN Data'!D$3,$A76,0,1,1))</f>
        <v>92.34</v>
      </c>
      <c r="K76" s="248">
        <f ca="1">IF('Point Data'!D76&gt;Standings!$Q$27,"",OFFSET('ESPN Data'!E$3,$A76,0,1,1))</f>
        <v>84.54</v>
      </c>
      <c r="L76" s="337">
        <f ca="1">IF('Point Data'!D76&gt;Standings!$Q$27,"",OFFSET('ESPN Data'!I$3,$A76,0,1,1))</f>
        <v>70</v>
      </c>
      <c r="M76" s="337">
        <f ca="1">IF('Point Data'!D76&gt;Standings!$Q$27,"",OFFSET('ESPN Data'!I$3,$A76,-2,1,1))</f>
        <v>0</v>
      </c>
      <c r="N76" s="337">
        <f ca="1">IF('Point Data'!D76&gt;Standings!$Q$27,"",SUMIFS($M$2:$M$225,$D$2:$D$225,D76,$C$2:$C$225,C76))</f>
        <v>65</v>
      </c>
      <c r="O76" s="337">
        <f ca="1">IF('Point Data'!D76&gt;Standings!$Q$27,"",SUMIFS($L$2:$L$225,$D$2:$D$225,$D76,$C$2:$C$225,$C76))</f>
        <v>502</v>
      </c>
      <c r="P76" s="337">
        <f ca="1">IF('Point Data'!D76&gt;Standings!$Q$27,"",SUMIFS($M$2:$M$225,$D$2:$D$225,D76))</f>
        <v>104</v>
      </c>
      <c r="Q76" s="337">
        <f ca="1">IF('Point Data'!D76&gt;Standings!$Q$27,"",SUMIFS($L$2:$L$225,$D$2:$D$225,D76))</f>
        <v>1039</v>
      </c>
      <c r="R76" s="249">
        <f ca="1">IF($D76&gt;Standings!$Q$27,"",IF(U76="T",(Z76+0.5)/(D76)*100,(Z76/D76)*100))</f>
        <v>60</v>
      </c>
      <c r="S76" s="253">
        <f ca="1">IF($D76&gt;Standings!$Q$27,"",$J76-$K76)</f>
        <v>7.7999999999999972</v>
      </c>
      <c r="T76" s="253">
        <f ca="1">IF($D76&gt;Standings!$Q$27,"",AVERAGE(OFFSET(S76,(-$D76+1),0,1,1):S76))</f>
        <v>-1.5439999999999998</v>
      </c>
      <c r="U76" s="172">
        <f ca="1">IF($D76&gt;Standings!$Q$27,"",IF(J76&gt;K76,1,IF(J76=K76,"T",0)))</f>
        <v>1</v>
      </c>
      <c r="V76" s="267">
        <f ca="1">IF($D76&gt;Standings!$Q$27,"",IF(F76="Conf",V75,SUMIFS($U$2:$U$225,$D$2:$D$225,"&lt;="&amp;$D76,$B$2:$B$225,$B76,$F$2:$F$225,"Non Conf")))</f>
        <v>2</v>
      </c>
      <c r="W76" s="267" t="str">
        <f ca="1">IF($D76&gt;Standings!$Q$27,"",$V76&amp;"-"&amp;COUNTIF(OFFSET($F76,(-$D76+1),0,1,1):$F76,"Non Conf")-$V76)</f>
        <v>2-0</v>
      </c>
      <c r="X76" s="267">
        <f ca="1">IF($D76&gt;Standings!$Q$27,"",SUMIFS($U$2:$U$225,$D$2:$D$225,"&lt;="&amp;$D76,$B$2:$B$225,$B76,$F$2:$F$225,"Conf"))</f>
        <v>1</v>
      </c>
      <c r="Y76" s="267" t="str">
        <f ca="1">IF($D76&gt;Standings!$Q$27,"",$X76&amp;"-"&amp;COUNTIF(OFFSET($F76,(-$D76+1),0,1,1):$F76,"Conf")-$X76)</f>
        <v>1-2</v>
      </c>
      <c r="Z76" s="267">
        <f ca="1">IF($D76&gt;Standings!$Q$27,"",SUM(OFFSET(U76,(-$D76+1),0,1,1):U76))</f>
        <v>3</v>
      </c>
      <c r="AA76" s="172">
        <f ca="1">IF($D76&gt;Standings!$Q$27,"",IF(U76=1,1+AA75,0))</f>
        <v>1</v>
      </c>
      <c r="AB76" s="250">
        <f ca="1">IF($D76&gt;Standings!$Q$27,"",IF(AA76=0,1+AB75,0))</f>
        <v>0</v>
      </c>
      <c r="AC76" s="251">
        <f ca="1">IF($D76&gt;Standings!$Q$27,"",SUM(OFFSET(J76,(-$D76+1),0,1,1):J76))</f>
        <v>510.6</v>
      </c>
      <c r="AD76" s="248">
        <f ca="1">IF($D76&gt;Standings!$Q$27,"",SUM(OFFSET(K76,(-$D76+1),0,1,1):K76))</f>
        <v>518.31999999999994</v>
      </c>
      <c r="AE76" s="248">
        <f ca="1">IF($D76&gt;Standings!$Q$27,"",$J76-$K76)</f>
        <v>7.7999999999999972</v>
      </c>
      <c r="AF76" s="248">
        <f ca="1">IF($D76&gt;Standings!$Q$27,"",AC76-AD76)</f>
        <v>-7.7199999999999136</v>
      </c>
      <c r="AG76" s="172">
        <f ca="1">IF($D76&gt;Standings!$Q$27,"",(COUNTIFS($D$2:$D$225,$D76,$C$2:$C$225,$C76,$AC$2:$AC$225,"&lt;"&amp;$AC76)+1)*0.01)</f>
        <v>0.04</v>
      </c>
      <c r="AH76" s="172">
        <f ca="1">IF($D76&gt;Standings!$Q$27,"",Z76+AG76)</f>
        <v>3.04</v>
      </c>
      <c r="AI76" s="267"/>
      <c r="AJ76" s="267">
        <f t="array" aca="1" ref="AJ76" ca="1">IF($D76&gt;Standings!$Q$27,"",(COUNTIFS($D$2:$D$225,$D76,$C$2:$C$225,$C76,$AM$2:$AM$225,"&gt;"&amp;$AM76)+1))</f>
        <v>5</v>
      </c>
      <c r="AK76" s="267">
        <f t="array" aca="1" ref="AK76" ca="1">IF($D76&gt;Standings!$Q$27,"",IF((COUNTIFS($D$2:$D$225,$D76,$C$2:$C$225,$C76,$AH$2:$AH$225,"&gt;"&amp;$AH76)+1)=2,1,0))</f>
        <v>0</v>
      </c>
      <c r="AL76" s="267">
        <f t="array" aca="1" ref="AL76" ca="1">IF($D76&gt;Standings!$Q$27,"",IF((COUNTIFS($D$2:$D$225,$D76,$C$2:$C$225,$C76,$AH$2:$AH$225,"&gt;"&amp;$AH76)+1)&lt;2,1,0))</f>
        <v>0</v>
      </c>
      <c r="AM76" s="267">
        <f ca="1">IF($D76&gt;Standings!$Q$27,"",IF(AL76=1,200+Z76+(16-AQ76)*0.01+AI76,IF(AK76=1,100+Z76+(16-AQ76)*0.01+AI76,IF(AN76=1,50+Z76+(16-AQ76)*0.01,IF(AO76=1,15+Z76+(16-AQ76)*0.01,Z76+(16-AQ76)*0.01+AI76)))))</f>
        <v>3.05</v>
      </c>
      <c r="AN76" s="267">
        <f ca="1">IF($D76&gt;Standings!$Q$27,"",IF(OR($AK76=1,$AL76=1),"Conf Playoff Spot",COUNTIFS($AL$2:$AL$225,0,$AK$2:$AK$225,0,$C$2:$C$225,$C76,$D$2:$D$225,$D76,$AC$2:$AC$225,"&gt;"&amp;$AC76)+1))</f>
        <v>3</v>
      </c>
      <c r="AO76" s="267">
        <f t="array" aca="1" ref="AO76" ca="1">IF($D76&gt;Standings!$Q$27,"",IF(OR($AK76=1,$AL76=1),"Conf Playoff Spot",COUNTIFS($AK$2:$AK$225,0,$AL$2:$AL$225,0,$D$2:$D$225,$D76,$AH$2:$AH$225,"&gt;"&amp;$AH76)+1))</f>
        <v>3</v>
      </c>
      <c r="AP76" s="267">
        <f t="array" aca="1" ref="AP76" ca="1">IF($D76&gt;Standings!$Q$27,"",(COUNTIFS($D$2:$D$225,$D76,$J$2:$J$225,"&gt;"&amp;$J76)+1))</f>
        <v>12</v>
      </c>
      <c r="AQ76" s="249">
        <f ca="1">IF($D76&gt;Standings!$Q$27,"",(COUNTIFS($D$2:$D$225,$D76,$AC$2:$AC$225,"&gt;"&amp;$AC76)+1))</f>
        <v>11</v>
      </c>
      <c r="AR76" s="249">
        <f ca="1">IF($D76&gt;Standings!$Q$27,"",(COUNTIFS($D$2:$D$225,$D76,$K$2:$K$225,"&gt;"&amp;$K76)+1))</f>
        <v>13</v>
      </c>
      <c r="AS76" s="249">
        <f ca="1">IF($D76&gt;Standings!$Q$27,"",(COUNTIFS($D$2:$D$225,$D76,$AD$2:$AD$225,"&gt;"&amp;$AD76)+1))</f>
        <v>12</v>
      </c>
      <c r="AT76" s="354">
        <f ca="1">IF($D76&gt;Standings!$Q$27,"",SUMIFS($J$2:$J$225,$D$2:$D$225,$D76,$C$2:$C$225,$C76))</f>
        <v>811.47</v>
      </c>
      <c r="AU76" s="253">
        <f ca="1">IF($D76&gt;Standings!$Q$27,"",SUMIFS($AC$2:$AC$225,$D$2:$D$225,$D76,$C$2:$C$225,$C76))</f>
        <v>4222.03</v>
      </c>
    </row>
    <row r="77" spans="1:47">
      <c r="A77" s="190">
        <f t="shared" si="0"/>
        <v>85</v>
      </c>
      <c r="B77" s="198" t="str">
        <f>'ESPN Data'!$L$9</f>
        <v>Team 6</v>
      </c>
      <c r="C77" s="346" t="str">
        <f>VLOOKUP(B77,'ESPN Data'!$L$4:$M$19,2,FALSE)</f>
        <v>Bone</v>
      </c>
      <c r="D77" s="397">
        <v>6</v>
      </c>
      <c r="E77" s="267" t="str">
        <f t="array" ref="E77">INDEX('ESPN Data'!$C$3:$C$226,MATCH(1,('ESPN Data'!$A$3:$A$226='Point Data'!$D77)*('ESPN Data'!$B$3:$B$226='Point Data'!$B77),0))</f>
        <v>Team 13</v>
      </c>
      <c r="F77" s="250" t="str">
        <f>IF(C77&lt;&gt;VLOOKUP($E77,'ESPN Data'!$L$4:$M$19,2,FALSE),"Non Conf", "Conf")</f>
        <v>Non Conf</v>
      </c>
      <c r="G77" s="246">
        <f t="array" aca="1" ref="G77" ca="1">IF('Point Data'!$D77&gt;Standings!$Q$27,"",(COUNTIFS($D$2:$D$225,$D77,$AM$2:$AM$225,"&gt;"&amp;$AM77)+1))</f>
        <v>11</v>
      </c>
      <c r="H77" s="172">
        <f ca="1">IF('Point Data'!$D77&gt;Standings!$Q$27,"",$G76)</f>
        <v>9</v>
      </c>
      <c r="I77" s="249">
        <f ca="1">IF('Point Data'!D77&gt;Standings!$Q$27,"",H77-G77)</f>
        <v>-2</v>
      </c>
      <c r="J77" s="172">
        <f ca="1">IF('Point Data'!D77&gt;Standings!$Q$27,"",OFFSET('ESPN Data'!D$3,$A77,0,1,1))</f>
        <v>91.59</v>
      </c>
      <c r="K77" s="248">
        <f ca="1">IF('Point Data'!D77&gt;Standings!$Q$27,"",OFFSET('ESPN Data'!E$3,$A77,0,1,1))</f>
        <v>118.5</v>
      </c>
      <c r="L77" s="337">
        <f ca="1">IF('Point Data'!D77&gt;Standings!$Q$27,"",OFFSET('ESPN Data'!I$3,$A77,0,1,1))</f>
        <v>70</v>
      </c>
      <c r="M77" s="337">
        <f ca="1">IF('Point Data'!D77&gt;Standings!$Q$27,"",OFFSET('ESPN Data'!I$3,$A77,-2,1,1))</f>
        <v>0</v>
      </c>
      <c r="N77" s="337">
        <f ca="1">IF('Point Data'!D77&gt;Standings!$Q$27,"",SUMIFS($M$2:$M$225,$D$2:$D$225,D77,$C$2:$C$225,C77))</f>
        <v>116</v>
      </c>
      <c r="O77" s="337">
        <f ca="1">IF('Point Data'!D77&gt;Standings!$Q$27,"",SUMIFS($L$2:$L$225,$D$2:$D$225,$D77,$C$2:$C$225,$C77))</f>
        <v>386</v>
      </c>
      <c r="P77" s="337">
        <f ca="1">IF('Point Data'!D77&gt;Standings!$Q$27,"",SUMIFS($M$2:$M$225,$D$2:$D$225,D77))</f>
        <v>183</v>
      </c>
      <c r="Q77" s="337">
        <f ca="1">IF('Point Data'!D77&gt;Standings!$Q$27,"",SUMIFS($L$2:$L$225,$D$2:$D$225,D77))</f>
        <v>856</v>
      </c>
      <c r="R77" s="249">
        <f ca="1">IF($D77&gt;Standings!$Q$27,"",IF(U77="T",(Z77+0.5)/(D77)*100,(Z77/D77)*100))</f>
        <v>50</v>
      </c>
      <c r="S77" s="253">
        <f ca="1">IF($D77&gt;Standings!$Q$27,"",$J77-$K77)</f>
        <v>-26.909999999999997</v>
      </c>
      <c r="T77" s="253">
        <f ca="1">IF($D77&gt;Standings!$Q$27,"",AVERAGE(OFFSET(S77,(-$D77+1),0,1,1):S77))</f>
        <v>-5.7716666666666656</v>
      </c>
      <c r="U77" s="172">
        <f ca="1">IF($D77&gt;Standings!$Q$27,"",IF(J77&gt;K77,1,IF(J77=K77,"T",0)))</f>
        <v>0</v>
      </c>
      <c r="V77" s="267">
        <f ca="1">IF($D77&gt;Standings!$Q$27,"",IF(F77="Conf",V76,SUMIFS($U$2:$U$225,$D$2:$D$225,"&lt;="&amp;$D77,$B$2:$B$225,$B77,$F$2:$F$225,"Non Conf")))</f>
        <v>2</v>
      </c>
      <c r="W77" s="267" t="str">
        <f ca="1">IF($D77&gt;Standings!$Q$27,"",$V77&amp;"-"&amp;COUNTIF(OFFSET($F77,(-$D77+1),0,1,1):$F77,"Non Conf")-$V77)</f>
        <v>2-1</v>
      </c>
      <c r="X77" s="267">
        <f ca="1">IF($D77&gt;Standings!$Q$27,"",SUMIFS($U$2:$U$225,$D$2:$D$225,"&lt;="&amp;$D77,$B$2:$B$225,$B77,$F$2:$F$225,"Conf"))</f>
        <v>1</v>
      </c>
      <c r="Y77" s="267" t="str">
        <f ca="1">IF($D77&gt;Standings!$Q$27,"",$X77&amp;"-"&amp;COUNTIF(OFFSET($F77,(-$D77+1),0,1,1):$F77,"Conf")-$X77)</f>
        <v>1-2</v>
      </c>
      <c r="Z77" s="267">
        <f ca="1">IF($D77&gt;Standings!$Q$27,"",SUM(OFFSET(U77,(-$D77+1),0,1,1):U77))</f>
        <v>3</v>
      </c>
      <c r="AA77" s="172">
        <f ca="1">IF($D77&gt;Standings!$Q$27,"",IF(U77=1,1+AA76,0))</f>
        <v>0</v>
      </c>
      <c r="AB77" s="250">
        <f ca="1">IF($D77&gt;Standings!$Q$27,"",IF(AA77=0,1+AB76,0))</f>
        <v>1</v>
      </c>
      <c r="AC77" s="251">
        <f ca="1">IF($D77&gt;Standings!$Q$27,"",SUM(OFFSET(J77,(-$D77+1),0,1,1):J77))</f>
        <v>602.19000000000005</v>
      </c>
      <c r="AD77" s="248">
        <f ca="1">IF($D77&gt;Standings!$Q$27,"",SUM(OFFSET(K77,(-$D77+1),0,1,1):K77))</f>
        <v>636.81999999999994</v>
      </c>
      <c r="AE77" s="248">
        <f ca="1">IF($D77&gt;Standings!$Q$27,"",$J77-$K77)</f>
        <v>-26.909999999999997</v>
      </c>
      <c r="AF77" s="248">
        <f ca="1">IF($D77&gt;Standings!$Q$27,"",AC77-AD77)</f>
        <v>-34.629999999999882</v>
      </c>
      <c r="AG77" s="172">
        <f ca="1">IF($D77&gt;Standings!$Q$27,"",(COUNTIFS($D$2:$D$225,$D77,$C$2:$C$225,$C77,$AC$2:$AC$225,"&lt;"&amp;$AC77)+1)*0.01)</f>
        <v>0.03</v>
      </c>
      <c r="AH77" s="172">
        <f ca="1">IF($D77&gt;Standings!$Q$27,"",Z77+AG77)</f>
        <v>3.03</v>
      </c>
      <c r="AI77" s="267"/>
      <c r="AJ77" s="267">
        <f t="array" aca="1" ref="AJ77" ca="1">IF($D77&gt;Standings!$Q$27,"",(COUNTIFS($D$2:$D$225,$D77,$C$2:$C$225,$C77,$AM$2:$AM$225,"&gt;"&amp;$AM77)+1))</f>
        <v>6</v>
      </c>
      <c r="AK77" s="267">
        <f t="array" aca="1" ref="AK77" ca="1">IF($D77&gt;Standings!$Q$27,"",IF((COUNTIFS($D$2:$D$225,$D77,$C$2:$C$225,$C77,$AH$2:$AH$225,"&gt;"&amp;$AH77)+1)=2,1,0))</f>
        <v>0</v>
      </c>
      <c r="AL77" s="267">
        <f t="array" aca="1" ref="AL77" ca="1">IF($D77&gt;Standings!$Q$27,"",IF((COUNTIFS($D$2:$D$225,$D77,$C$2:$C$225,$C77,$AH$2:$AH$225,"&gt;"&amp;$AH77)+1)&lt;2,1,0))</f>
        <v>0</v>
      </c>
      <c r="AM77" s="267">
        <f ca="1">IF($D77&gt;Standings!$Q$27,"",IF(AL77=1,200+Z77+(16-AQ77)*0.01+AI77,IF(AK77=1,100+Z77+(16-AQ77)*0.01+AI77,IF(AN77=1,50+Z77+(16-AQ77)*0.01,IF(AO77=1,15+Z77+(16-AQ77)*0.01,Z77+(16-AQ77)*0.01+AI77)))))</f>
        <v>3.04</v>
      </c>
      <c r="AN77" s="267">
        <f ca="1">IF($D77&gt;Standings!$Q$27,"",IF(OR($AK77=1,$AL77=1),"Conf Playoff Spot",COUNTIFS($AL$2:$AL$225,0,$AK$2:$AK$225,0,$C$2:$C$225,$C77,$D$2:$D$225,$D77,$AC$2:$AC$225,"&gt;"&amp;$AC77)+1))</f>
        <v>4</v>
      </c>
      <c r="AO77" s="267">
        <f t="array" aca="1" ref="AO77" ca="1">IF($D77&gt;Standings!$Q$27,"",IF(OR($AK77=1,$AL77=1),"Conf Playoff Spot",COUNTIFS($AK$2:$AK$225,0,$AL$2:$AL$225,0,$D$2:$D$225,$D77,$AH$2:$AH$225,"&gt;"&amp;$AH77)+1))</f>
        <v>6</v>
      </c>
      <c r="AP77" s="267">
        <f t="array" aca="1" ref="AP77" ca="1">IF($D77&gt;Standings!$Q$27,"",(COUNTIFS($D$2:$D$225,$D77,$J$2:$J$225,"&gt;"&amp;$J77)+1))</f>
        <v>11</v>
      </c>
      <c r="AQ77" s="249">
        <f ca="1">IF($D77&gt;Standings!$Q$27,"",(COUNTIFS($D$2:$D$225,$D77,$AC$2:$AC$225,"&gt;"&amp;$AC77)+1))</f>
        <v>12</v>
      </c>
      <c r="AR77" s="249">
        <f ca="1">IF($D77&gt;Standings!$Q$27,"",(COUNTIFS($D$2:$D$225,$D77,$K$2:$K$225,"&gt;"&amp;$K77)+1))</f>
        <v>2</v>
      </c>
      <c r="AS77" s="249">
        <f ca="1">IF($D77&gt;Standings!$Q$27,"",(COUNTIFS($D$2:$D$225,$D77,$AD$2:$AD$225,"&gt;"&amp;$AD77)+1))</f>
        <v>9</v>
      </c>
      <c r="AT77" s="354">
        <f ca="1">IF($D77&gt;Standings!$Q$27,"",SUMIFS($J$2:$J$225,$D$2:$D$225,$D77,$C$2:$C$225,$C77))</f>
        <v>782.35</v>
      </c>
      <c r="AU77" s="253">
        <f ca="1">IF($D77&gt;Standings!$Q$27,"",SUMIFS($AC$2:$AC$225,$D$2:$D$225,$D77,$C$2:$C$225,$C77))</f>
        <v>5004.38</v>
      </c>
    </row>
    <row r="78" spans="1:47">
      <c r="A78" s="190">
        <f t="shared" si="0"/>
        <v>101</v>
      </c>
      <c r="B78" s="198" t="str">
        <f>'ESPN Data'!$L$9</f>
        <v>Team 6</v>
      </c>
      <c r="C78" s="346" t="str">
        <f>VLOOKUP(B78,'ESPN Data'!$L$4:$M$19,2,FALSE)</f>
        <v>Bone</v>
      </c>
      <c r="D78" s="397">
        <v>7</v>
      </c>
      <c r="E78" s="267" t="str">
        <f t="array" ref="E78">INDEX('ESPN Data'!$C$3:$C$226,MATCH(1,('ESPN Data'!$A$3:$A$226='Point Data'!$D78)*('ESPN Data'!$B$3:$B$226='Point Data'!$B78),0))</f>
        <v>Team 8</v>
      </c>
      <c r="F78" s="250" t="str">
        <f>IF(C78&lt;&gt;VLOOKUP($E78,'ESPN Data'!$L$4:$M$19,2,FALSE),"Non Conf", "Conf")</f>
        <v>Conf</v>
      </c>
      <c r="G78" s="246">
        <f t="array" aca="1" ref="G78" ca="1">IF('Point Data'!$D78&gt;Standings!$Q$27,"",(COUNTIFS($D$2:$D$225,$D78,$AM$2:$AM$225,"&gt;"&amp;$AM78)+1))</f>
        <v>9</v>
      </c>
      <c r="H78" s="172">
        <f ca="1">IF('Point Data'!$D78&gt;Standings!$Q$27,"",$G77)</f>
        <v>11</v>
      </c>
      <c r="I78" s="249">
        <f ca="1">IF('Point Data'!D78&gt;Standings!$Q$27,"",H78-G78)</f>
        <v>2</v>
      </c>
      <c r="J78" s="172">
        <f ca="1">IF('Point Data'!D78&gt;Standings!$Q$27,"",OFFSET('ESPN Data'!D$3,$A78,0,1,1))</f>
        <v>113.68</v>
      </c>
      <c r="K78" s="248">
        <f ca="1">IF('Point Data'!D78&gt;Standings!$Q$27,"",OFFSET('ESPN Data'!E$3,$A78,0,1,1))</f>
        <v>95.12</v>
      </c>
      <c r="L78" s="337">
        <f ca="1">IF('Point Data'!D78&gt;Standings!$Q$27,"",OFFSET('ESPN Data'!I$3,$A78,0,1,1))</f>
        <v>60</v>
      </c>
      <c r="M78" s="337">
        <f ca="1">IF('Point Data'!D78&gt;Standings!$Q$27,"",OFFSET('ESPN Data'!I$3,$A78,-2,1,1))</f>
        <v>10</v>
      </c>
      <c r="N78" s="337">
        <f ca="1">IF('Point Data'!D78&gt;Standings!$Q$27,"",SUMIFS($M$2:$M$225,$D$2:$D$225,D78,$C$2:$C$225,C78))</f>
        <v>28</v>
      </c>
      <c r="O78" s="337">
        <f ca="1">IF('Point Data'!D78&gt;Standings!$Q$27,"",SUMIFS($L$2:$L$225,$D$2:$D$225,$D78,$C$2:$C$225,$C78))</f>
        <v>358</v>
      </c>
      <c r="P78" s="337">
        <f ca="1">IF('Point Data'!D78&gt;Standings!$Q$27,"",SUMIFS($M$2:$M$225,$D$2:$D$225,D78))</f>
        <v>168</v>
      </c>
      <c r="Q78" s="337">
        <f ca="1">IF('Point Data'!D78&gt;Standings!$Q$27,"",SUMIFS($L$2:$L$225,$D$2:$D$225,D78))</f>
        <v>688</v>
      </c>
      <c r="R78" s="249">
        <f ca="1">IF($D78&gt;Standings!$Q$27,"",IF(U78="T",(Z78+0.5)/(D78)*100,(Z78/D78)*100))</f>
        <v>57.142857142857139</v>
      </c>
      <c r="S78" s="253">
        <f ca="1">IF($D78&gt;Standings!$Q$27,"",$J78-$K78)</f>
        <v>18.560000000000002</v>
      </c>
      <c r="T78" s="253">
        <f ca="1">IF($D78&gt;Standings!$Q$27,"",AVERAGE(OFFSET(S78,(-$D78+1),0,1,1):S78))</f>
        <v>-2.2957142857142849</v>
      </c>
      <c r="U78" s="172">
        <f ca="1">IF($D78&gt;Standings!$Q$27,"",IF(J78&gt;K78,1,IF(J78=K78,"T",0)))</f>
        <v>1</v>
      </c>
      <c r="V78" s="267">
        <f ca="1">IF($D78&gt;Standings!$Q$27,"",IF(F78="Conf",V77,SUMIFS($U$2:$U$225,$D$2:$D$225,"&lt;="&amp;$D78,$B$2:$B$225,$B78,$F$2:$F$225,"Non Conf")))</f>
        <v>2</v>
      </c>
      <c r="W78" s="267" t="str">
        <f ca="1">IF($D78&gt;Standings!$Q$27,"",$V78&amp;"-"&amp;COUNTIF(OFFSET($F78,(-$D78+1),0,1,1):$F78,"Non Conf")-$V78)</f>
        <v>2-1</v>
      </c>
      <c r="X78" s="267">
        <f ca="1">IF($D78&gt;Standings!$Q$27,"",SUMIFS($U$2:$U$225,$D$2:$D$225,"&lt;="&amp;$D78,$B$2:$B$225,$B78,$F$2:$F$225,"Conf"))</f>
        <v>2</v>
      </c>
      <c r="Y78" s="267" t="str">
        <f ca="1">IF($D78&gt;Standings!$Q$27,"",$X78&amp;"-"&amp;COUNTIF(OFFSET($F78,(-$D78+1),0,1,1):$F78,"Conf")-$X78)</f>
        <v>2-2</v>
      </c>
      <c r="Z78" s="267">
        <f ca="1">IF($D78&gt;Standings!$Q$27,"",SUM(OFFSET(U78,(-$D78+1),0,1,1):U78))</f>
        <v>4</v>
      </c>
      <c r="AA78" s="172">
        <f ca="1">IF($D78&gt;Standings!$Q$27,"",IF(U78=1,1+AA77,0))</f>
        <v>1</v>
      </c>
      <c r="AB78" s="250">
        <f ca="1">IF($D78&gt;Standings!$Q$27,"",IF(AA78=0,1+AB77,0))</f>
        <v>0</v>
      </c>
      <c r="AC78" s="251">
        <f ca="1">IF($D78&gt;Standings!$Q$27,"",SUM(OFFSET(J78,(-$D78+1),0,1,1):J78))</f>
        <v>715.87000000000012</v>
      </c>
      <c r="AD78" s="248">
        <f ca="1">IF($D78&gt;Standings!$Q$27,"",SUM(OFFSET(K78,(-$D78+1),0,1,1):K78))</f>
        <v>731.93999999999994</v>
      </c>
      <c r="AE78" s="248">
        <f ca="1">IF($D78&gt;Standings!$Q$27,"",$J78-$K78)</f>
        <v>18.560000000000002</v>
      </c>
      <c r="AF78" s="248">
        <f ca="1">IF($D78&gt;Standings!$Q$27,"",AC78-AD78)</f>
        <v>-16.069999999999823</v>
      </c>
      <c r="AG78" s="172">
        <f ca="1">IF($D78&gt;Standings!$Q$27,"",(COUNTIFS($D$2:$D$225,$D78,$C$2:$C$225,$C78,$AC$2:$AC$225,"&lt;"&amp;$AC78)+1)*0.01)</f>
        <v>0.03</v>
      </c>
      <c r="AH78" s="172">
        <f ca="1">IF($D78&gt;Standings!$Q$27,"",Z78+AG78)</f>
        <v>4.03</v>
      </c>
      <c r="AI78" s="267"/>
      <c r="AJ78" s="267">
        <f t="array" aca="1" ref="AJ78" ca="1">IF($D78&gt;Standings!$Q$27,"",(COUNTIFS($D$2:$D$225,$D78,$C$2:$C$225,$C78,$AM$2:$AM$225,"&gt;"&amp;$AM78)+1))</f>
        <v>6</v>
      </c>
      <c r="AK78" s="267">
        <f t="array" aca="1" ref="AK78" ca="1">IF($D78&gt;Standings!$Q$27,"",IF((COUNTIFS($D$2:$D$225,$D78,$C$2:$C$225,$C78,$AH$2:$AH$225,"&gt;"&amp;$AH78)+1)=2,1,0))</f>
        <v>0</v>
      </c>
      <c r="AL78" s="267">
        <f t="array" aca="1" ref="AL78" ca="1">IF($D78&gt;Standings!$Q$27,"",IF((COUNTIFS($D$2:$D$225,$D78,$C$2:$C$225,$C78,$AH$2:$AH$225,"&gt;"&amp;$AH78)+1)&lt;2,1,0))</f>
        <v>0</v>
      </c>
      <c r="AM78" s="267">
        <f ca="1">IF($D78&gt;Standings!$Q$27,"",IF(AL78=1,200+Z78+(16-AQ78)*0.01+AI78,IF(AK78=1,100+Z78+(16-AQ78)*0.01+AI78,IF(AN78=1,50+Z78+(16-AQ78)*0.01,IF(AO78=1,15+Z78+(16-AQ78)*0.01,Z78+(16-AQ78)*0.01+AI78)))))</f>
        <v>4.05</v>
      </c>
      <c r="AN78" s="267">
        <f ca="1">IF($D78&gt;Standings!$Q$27,"",IF(OR($AK78=1,$AL78=1),"Conf Playoff Spot",COUNTIFS($AL$2:$AL$225,0,$AK$2:$AK$225,0,$C$2:$C$225,$C78,$D$2:$D$225,$D78,$AC$2:$AC$225,"&gt;"&amp;$AC78)+1))</f>
        <v>4</v>
      </c>
      <c r="AO78" s="267">
        <f t="array" aca="1" ref="AO78" ca="1">IF($D78&gt;Standings!$Q$27,"",IF(OR($AK78=1,$AL78=1),"Conf Playoff Spot",COUNTIFS($AK$2:$AK$225,0,$AL$2:$AL$225,0,$D$2:$D$225,$D78,$AH$2:$AH$225,"&gt;"&amp;$AH78)+1))</f>
        <v>4</v>
      </c>
      <c r="AP78" s="267">
        <f t="array" aca="1" ref="AP78" ca="1">IF($D78&gt;Standings!$Q$27,"",(COUNTIFS($D$2:$D$225,$D78,$J$2:$J$225,"&gt;"&amp;$J78)+1))</f>
        <v>6</v>
      </c>
      <c r="AQ78" s="249">
        <f ca="1">IF($D78&gt;Standings!$Q$27,"",(COUNTIFS($D$2:$D$225,$D78,$AC$2:$AC$225,"&gt;"&amp;$AC78)+1))</f>
        <v>11</v>
      </c>
      <c r="AR78" s="249">
        <f ca="1">IF($D78&gt;Standings!$Q$27,"",(COUNTIFS($D$2:$D$225,$D78,$K$2:$K$225,"&gt;"&amp;$K78)+1))</f>
        <v>10</v>
      </c>
      <c r="AS78" s="249">
        <f ca="1">IF($D78&gt;Standings!$Q$27,"",(COUNTIFS($D$2:$D$225,$D78,$AD$2:$AD$225,"&gt;"&amp;$AD78)+1))</f>
        <v>10</v>
      </c>
      <c r="AT78" s="354">
        <f ca="1">IF($D78&gt;Standings!$Q$27,"",SUMIFS($J$2:$J$225,$D$2:$D$225,$D78,$C$2:$C$225,$C78))</f>
        <v>939.21999999999991</v>
      </c>
      <c r="AU78" s="253">
        <f ca="1">IF($D78&gt;Standings!$Q$27,"",SUMIFS($AC$2:$AC$225,$D$2:$D$225,$D78,$C$2:$C$225,$C78))</f>
        <v>5943.6</v>
      </c>
    </row>
    <row r="79" spans="1:47">
      <c r="A79" s="190">
        <f t="shared" si="0"/>
        <v>117</v>
      </c>
      <c r="B79" s="198" t="str">
        <f>'ESPN Data'!$L$9</f>
        <v>Team 6</v>
      </c>
      <c r="C79" s="346" t="str">
        <f>VLOOKUP(B79,'ESPN Data'!$L$4:$M$19,2,FALSE)</f>
        <v>Bone</v>
      </c>
      <c r="D79" s="397">
        <v>8</v>
      </c>
      <c r="E79" s="267" t="str">
        <f t="array" ref="E79">INDEX('ESPN Data'!$C$3:$C$226,MATCH(1,('ESPN Data'!$A$3:$A$226='Point Data'!$D79)*('ESPN Data'!$B$3:$B$226='Point Data'!$B79),0))</f>
        <v>Team 4</v>
      </c>
      <c r="F79" s="250" t="str">
        <f>IF(C79&lt;&gt;VLOOKUP($E79,'ESPN Data'!$L$4:$M$19,2,FALSE),"Non Conf", "Conf")</f>
        <v>Conf</v>
      </c>
      <c r="G79" s="246">
        <f t="array" aca="1" ref="G79" ca="1">IF('Point Data'!$D79&gt;Standings!$Q$27,"",(COUNTIFS($D$2:$D$225,$D79,$AM$2:$AM$225,"&gt;"&amp;$AM79)+1))</f>
        <v>8</v>
      </c>
      <c r="H79" s="172">
        <f ca="1">IF('Point Data'!$D79&gt;Standings!$Q$27,"",$G78)</f>
        <v>9</v>
      </c>
      <c r="I79" s="249">
        <f ca="1">IF('Point Data'!D79&gt;Standings!$Q$27,"",H79-G79)</f>
        <v>1</v>
      </c>
      <c r="J79" s="172">
        <f ca="1">IF('Point Data'!D79&gt;Standings!$Q$27,"",OFFSET('ESPN Data'!D$3,$A79,0,1,1))</f>
        <v>96.07</v>
      </c>
      <c r="K79" s="248">
        <f ca="1">IF('Point Data'!D79&gt;Standings!$Q$27,"",OFFSET('ESPN Data'!E$3,$A79,0,1,1))</f>
        <v>92.41</v>
      </c>
      <c r="L79" s="337">
        <f ca="1">IF('Point Data'!D79&gt;Standings!$Q$27,"",OFFSET('ESPN Data'!I$3,$A79,0,1,1))</f>
        <v>60</v>
      </c>
      <c r="M79" s="337">
        <f ca="1">IF('Point Data'!D79&gt;Standings!$Q$27,"",OFFSET('ESPN Data'!I$3,$A79,-2,1,1))</f>
        <v>0</v>
      </c>
      <c r="N79" s="337">
        <f ca="1">IF('Point Data'!D79&gt;Standings!$Q$27,"",SUMIFS($M$2:$M$225,$D$2:$D$225,D79,$C$2:$C$225,C79))</f>
        <v>18</v>
      </c>
      <c r="O79" s="337">
        <f ca="1">IF('Point Data'!D79&gt;Standings!$Q$27,"",SUMIFS($L$2:$L$225,$D$2:$D$225,$D79,$C$2:$C$225,$C79))</f>
        <v>340</v>
      </c>
      <c r="P79" s="337">
        <f ca="1">IF('Point Data'!D79&gt;Standings!$Q$27,"",SUMIFS($M$2:$M$225,$D$2:$D$225,D79))</f>
        <v>80</v>
      </c>
      <c r="Q79" s="337">
        <f ca="1">IF('Point Data'!D79&gt;Standings!$Q$27,"",SUMIFS($L$2:$L$225,$D$2:$D$225,D79))</f>
        <v>608</v>
      </c>
      <c r="R79" s="249">
        <f ca="1">IF($D79&gt;Standings!$Q$27,"",IF(U79="T",(Z79+0.5)/(D79)*100,(Z79/D79)*100))</f>
        <v>62.5</v>
      </c>
      <c r="S79" s="253">
        <f ca="1">IF($D79&gt;Standings!$Q$27,"",$J79-$K79)</f>
        <v>3.6599999999999966</v>
      </c>
      <c r="T79" s="253">
        <f ca="1">IF($D79&gt;Standings!$Q$27,"",AVERAGE(OFFSET(S79,(-$D79+1),0,1,1):S79))</f>
        <v>-1.5512499999999996</v>
      </c>
      <c r="U79" s="172">
        <f ca="1">IF($D79&gt;Standings!$Q$27,"",IF(J79&gt;K79,1,IF(J79=K79,"T",0)))</f>
        <v>1</v>
      </c>
      <c r="V79" s="267">
        <f ca="1">IF($D79&gt;Standings!$Q$27,"",IF(F79="Conf",V78,SUMIFS($U$2:$U$225,$D$2:$D$225,"&lt;="&amp;$D79,$B$2:$B$225,$B79,$F$2:$F$225,"Non Conf")))</f>
        <v>2</v>
      </c>
      <c r="W79" s="267" t="str">
        <f ca="1">IF($D79&gt;Standings!$Q$27,"",$V79&amp;"-"&amp;COUNTIF(OFFSET($F79,(-$D79+1),0,1,1):$F79,"Non Conf")-$V79)</f>
        <v>2-1</v>
      </c>
      <c r="X79" s="267">
        <f ca="1">IF($D79&gt;Standings!$Q$27,"",SUMIFS($U$2:$U$225,$D$2:$D$225,"&lt;="&amp;$D79,$B$2:$B$225,$B79,$F$2:$F$225,"Conf"))</f>
        <v>3</v>
      </c>
      <c r="Y79" s="267" t="str">
        <f ca="1">IF($D79&gt;Standings!$Q$27,"",$X79&amp;"-"&amp;COUNTIF(OFFSET($F79,(-$D79+1),0,1,1):$F79,"Conf")-$X79)</f>
        <v>3-2</v>
      </c>
      <c r="Z79" s="267">
        <f ca="1">IF($D79&gt;Standings!$Q$27,"",SUM(OFFSET(U79,(-$D79+1),0,1,1):U79))</f>
        <v>5</v>
      </c>
      <c r="AA79" s="172">
        <f ca="1">IF($D79&gt;Standings!$Q$27,"",IF(U79=1,1+AA78,0))</f>
        <v>2</v>
      </c>
      <c r="AB79" s="250">
        <f ca="1">IF($D79&gt;Standings!$Q$27,"",IF(AA79=0,1+AB78,0))</f>
        <v>0</v>
      </c>
      <c r="AC79" s="251">
        <f ca="1">IF($D79&gt;Standings!$Q$27,"",SUM(OFFSET(J79,(-$D79+1),0,1,1):J79))</f>
        <v>811.94</v>
      </c>
      <c r="AD79" s="248">
        <f ca="1">IF($D79&gt;Standings!$Q$27,"",SUM(OFFSET(K79,(-$D79+1),0,1,1):K79))</f>
        <v>824.34999999999991</v>
      </c>
      <c r="AE79" s="248">
        <f ca="1">IF($D79&gt;Standings!$Q$27,"",$J79-$K79)</f>
        <v>3.6599999999999966</v>
      </c>
      <c r="AF79" s="248">
        <f ca="1">IF($D79&gt;Standings!$Q$27,"",AC79-AD79)</f>
        <v>-12.409999999999854</v>
      </c>
      <c r="AG79" s="172">
        <f ca="1">IF($D79&gt;Standings!$Q$27,"",(COUNTIFS($D$2:$D$225,$D79,$C$2:$C$225,$C79,$AC$2:$AC$225,"&lt;"&amp;$AC79)+1)*0.01)</f>
        <v>0.03</v>
      </c>
      <c r="AH79" s="172">
        <f ca="1">IF($D79&gt;Standings!$Q$27,"",Z79+AG79)</f>
        <v>5.03</v>
      </c>
      <c r="AI79" s="267"/>
      <c r="AJ79" s="267">
        <f t="array" aca="1" ref="AJ79" ca="1">IF($D79&gt;Standings!$Q$27,"",(COUNTIFS($D$2:$D$225,$D79,$C$2:$C$225,$C79,$AM$2:$AM$225,"&gt;"&amp;$AM79)+1))</f>
        <v>5</v>
      </c>
      <c r="AK79" s="267">
        <f t="array" aca="1" ref="AK79" ca="1">IF($D79&gt;Standings!$Q$27,"",IF((COUNTIFS($D$2:$D$225,$D79,$C$2:$C$225,$C79,$AH$2:$AH$225,"&gt;"&amp;$AH79)+1)=2,1,0))</f>
        <v>0</v>
      </c>
      <c r="AL79" s="267">
        <f t="array" aca="1" ref="AL79" ca="1">IF($D79&gt;Standings!$Q$27,"",IF((COUNTIFS($D$2:$D$225,$D79,$C$2:$C$225,$C79,$AH$2:$AH$225,"&gt;"&amp;$AH79)+1)&lt;2,1,0))</f>
        <v>0</v>
      </c>
      <c r="AM79" s="267">
        <f ca="1">IF($D79&gt;Standings!$Q$27,"",IF(AL79=1,200+Z79+(16-AQ79)*0.01+AI79,IF(AK79=1,100+Z79+(16-AQ79)*0.01+AI79,IF(AN79=1,50+Z79+(16-AQ79)*0.01,IF(AO79=1,15+Z79+(16-AQ79)*0.01,Z79+(16-AQ79)*0.01+AI79)))))</f>
        <v>5.07</v>
      </c>
      <c r="AN79" s="267">
        <f ca="1">IF($D79&gt;Standings!$Q$27,"",IF(OR($AK79=1,$AL79=1),"Conf Playoff Spot",COUNTIFS($AL$2:$AL$225,0,$AK$2:$AK$225,0,$C$2:$C$225,$C79,$D$2:$D$225,$D79,$AC$2:$AC$225,"&gt;"&amp;$AC79)+1))</f>
        <v>4</v>
      </c>
      <c r="AO79" s="267">
        <f t="array" aca="1" ref="AO79" ca="1">IF($D79&gt;Standings!$Q$27,"",IF(OR($AK79=1,$AL79=1),"Conf Playoff Spot",COUNTIFS($AK$2:$AK$225,0,$AL$2:$AL$225,0,$D$2:$D$225,$D79,$AH$2:$AH$225,"&gt;"&amp;$AH79)+1))</f>
        <v>3</v>
      </c>
      <c r="AP79" s="267">
        <f t="array" aca="1" ref="AP79" ca="1">IF($D79&gt;Standings!$Q$27,"",(COUNTIFS($D$2:$D$225,$D79,$J$2:$J$225,"&gt;"&amp;$J79)+1))</f>
        <v>5</v>
      </c>
      <c r="AQ79" s="249">
        <f ca="1">IF($D79&gt;Standings!$Q$27,"",(COUNTIFS($D$2:$D$225,$D79,$AC$2:$AC$225,"&gt;"&amp;$AC79)+1))</f>
        <v>9</v>
      </c>
      <c r="AR79" s="249">
        <f ca="1">IF($D79&gt;Standings!$Q$27,"",(COUNTIFS($D$2:$D$225,$D79,$K$2:$K$225,"&gt;"&amp;$K79)+1))</f>
        <v>6</v>
      </c>
      <c r="AS79" s="249">
        <f ca="1">IF($D79&gt;Standings!$Q$27,"",(COUNTIFS($D$2:$D$225,$D79,$AD$2:$AD$225,"&gt;"&amp;$AD79)+1))</f>
        <v>9</v>
      </c>
      <c r="AT79" s="354">
        <f ca="1">IF($D79&gt;Standings!$Q$27,"",SUMIFS($J$2:$J$225,$D$2:$D$225,$D79,$C$2:$C$225,$C79))</f>
        <v>724.6400000000001</v>
      </c>
      <c r="AU79" s="253">
        <f ca="1">IF($D79&gt;Standings!$Q$27,"",SUMIFS($AC$2:$AC$225,$D$2:$D$225,$D79,$C$2:$C$225,$C79))</f>
        <v>6668.24</v>
      </c>
    </row>
    <row r="80" spans="1:47">
      <c r="A80" s="190">
        <f t="shared" ref="A80:A143" si="1">A66+1</f>
        <v>133</v>
      </c>
      <c r="B80" s="198" t="str">
        <f>'ESPN Data'!$L$9</f>
        <v>Team 6</v>
      </c>
      <c r="C80" s="346" t="str">
        <f>VLOOKUP(B80,'ESPN Data'!$L$4:$M$19,2,FALSE)</f>
        <v>Bone</v>
      </c>
      <c r="D80" s="397">
        <v>9</v>
      </c>
      <c r="E80" s="267" t="str">
        <f t="array" ref="E80">INDEX('ESPN Data'!$C$3:$C$226,MATCH(1,('ESPN Data'!$A$3:$A$226='Point Data'!$D80)*('ESPN Data'!$B$3:$B$226='Point Data'!$B80),0))</f>
        <v>Team 10</v>
      </c>
      <c r="F80" s="250" t="str">
        <f>IF(C80&lt;&gt;VLOOKUP($E80,'ESPN Data'!$L$4:$M$19,2,FALSE),"Non Conf", "Conf")</f>
        <v>Non Conf</v>
      </c>
      <c r="G80" s="246">
        <f t="array" aca="1" ref="G80" ca="1">IF('Point Data'!$D80&gt;Standings!$Q$27,"",(COUNTIFS($D$2:$D$225,$D80,$AM$2:$AM$225,"&gt;"&amp;$AM80)+1))</f>
        <v>9</v>
      </c>
      <c r="H80" s="172">
        <f ca="1">IF('Point Data'!$D80&gt;Standings!$Q$27,"",$G79)</f>
        <v>8</v>
      </c>
      <c r="I80" s="249">
        <f ca="1">IF('Point Data'!D80&gt;Standings!$Q$27,"",H80-G80)</f>
        <v>-1</v>
      </c>
      <c r="J80" s="172">
        <f ca="1">IF('Point Data'!D80&gt;Standings!$Q$27,"",OFFSET('ESPN Data'!D$3,$A80,0,1,1))</f>
        <v>73.540000000000006</v>
      </c>
      <c r="K80" s="248">
        <f ca="1">IF('Point Data'!D80&gt;Standings!$Q$27,"",OFFSET('ESPN Data'!E$3,$A80,0,1,1))</f>
        <v>117.32</v>
      </c>
      <c r="L80" s="337">
        <f ca="1">IF('Point Data'!D80&gt;Standings!$Q$27,"",OFFSET('ESPN Data'!I$3,$A80,0,1,1))</f>
        <v>36</v>
      </c>
      <c r="M80" s="337">
        <f ca="1">IF('Point Data'!D80&gt;Standings!$Q$27,"",OFFSET('ESPN Data'!I$3,$A80,-2,1,1))</f>
        <v>24</v>
      </c>
      <c r="N80" s="337">
        <f ca="1">IF('Point Data'!D80&gt;Standings!$Q$27,"",SUMIFS($M$2:$M$225,$D$2:$D$225,D80,$C$2:$C$225,C80))</f>
        <v>35</v>
      </c>
      <c r="O80" s="337">
        <f ca="1">IF('Point Data'!D80&gt;Standings!$Q$27,"",SUMIFS($L$2:$L$225,$D$2:$D$225,$D80,$C$2:$C$225,$C80))</f>
        <v>305</v>
      </c>
      <c r="P80" s="337">
        <f ca="1">IF('Point Data'!D80&gt;Standings!$Q$27,"",SUMIFS($M$2:$M$225,$D$2:$D$225,D80))</f>
        <v>63</v>
      </c>
      <c r="Q80" s="337">
        <f ca="1">IF('Point Data'!D80&gt;Standings!$Q$27,"",SUMIFS($L$2:$L$225,$D$2:$D$225,D80))</f>
        <v>545</v>
      </c>
      <c r="R80" s="249">
        <f ca="1">IF($D80&gt;Standings!$Q$27,"",IF(U80="T",(Z80+0.5)/(D80)*100,(Z80/D80)*100))</f>
        <v>55.555555555555557</v>
      </c>
      <c r="S80" s="253">
        <f ca="1">IF($D80&gt;Standings!$Q$27,"",$J80-$K80)</f>
        <v>-43.779999999999987</v>
      </c>
      <c r="T80" s="253">
        <f ca="1">IF($D80&gt;Standings!$Q$27,"",AVERAGE(OFFSET(S80,(-$D80+1),0,1,1):S80))</f>
        <v>-6.2433333333333314</v>
      </c>
      <c r="U80" s="172">
        <f ca="1">IF($D80&gt;Standings!$Q$27,"",IF(J80&gt;K80,1,IF(J80=K80,"T",0)))</f>
        <v>0</v>
      </c>
      <c r="V80" s="267">
        <f ca="1">IF($D80&gt;Standings!$Q$27,"",IF(F80="Conf",V79,SUMIFS($U$2:$U$225,$D$2:$D$225,"&lt;="&amp;$D80,$B$2:$B$225,$B80,$F$2:$F$225,"Non Conf")))</f>
        <v>2</v>
      </c>
      <c r="W80" s="267" t="str">
        <f ca="1">IF($D80&gt;Standings!$Q$27,"",$V80&amp;"-"&amp;COUNTIF(OFFSET($F80,(-$D80+1),0,1,1):$F80,"Non Conf")-$V80)</f>
        <v>2-2</v>
      </c>
      <c r="X80" s="267">
        <f ca="1">IF($D80&gt;Standings!$Q$27,"",SUMIFS($U$2:$U$225,$D$2:$D$225,"&lt;="&amp;$D80,$B$2:$B$225,$B80,$F$2:$F$225,"Conf"))</f>
        <v>3</v>
      </c>
      <c r="Y80" s="267" t="str">
        <f ca="1">IF($D80&gt;Standings!$Q$27,"",$X80&amp;"-"&amp;COUNTIF(OFFSET($F80,(-$D80+1),0,1,1):$F80,"Conf")-$X80)</f>
        <v>3-2</v>
      </c>
      <c r="Z80" s="267">
        <f ca="1">IF($D80&gt;Standings!$Q$27,"",SUM(OFFSET(U80,(-$D80+1),0,1,1):U80))</f>
        <v>5</v>
      </c>
      <c r="AA80" s="172">
        <f ca="1">IF($D80&gt;Standings!$Q$27,"",IF(U80=1,1+AA79,0))</f>
        <v>0</v>
      </c>
      <c r="AB80" s="250">
        <f ca="1">IF($D80&gt;Standings!$Q$27,"",IF(AA80=0,1+AB79,0))</f>
        <v>1</v>
      </c>
      <c r="AC80" s="251">
        <f ca="1">IF($D80&gt;Standings!$Q$27,"",SUM(OFFSET(J80,(-$D80+1),0,1,1):J80))</f>
        <v>885.48</v>
      </c>
      <c r="AD80" s="248">
        <f ca="1">IF($D80&gt;Standings!$Q$27,"",SUM(OFFSET(K80,(-$D80+1),0,1,1):K80))</f>
        <v>941.66999999999985</v>
      </c>
      <c r="AE80" s="248">
        <f ca="1">IF($D80&gt;Standings!$Q$27,"",$J80-$K80)</f>
        <v>-43.779999999999987</v>
      </c>
      <c r="AF80" s="248">
        <f ca="1">IF($D80&gt;Standings!$Q$27,"",AC80-AD80)</f>
        <v>-56.189999999999827</v>
      </c>
      <c r="AG80" s="172">
        <f ca="1">IF($D80&gt;Standings!$Q$27,"",(COUNTIFS($D$2:$D$225,$D80,$C$2:$C$225,$C80,$AC$2:$AC$225,"&lt;"&amp;$AC80)+1)*0.01)</f>
        <v>0.04</v>
      </c>
      <c r="AH80" s="172">
        <f ca="1">IF($D80&gt;Standings!$Q$27,"",Z80+AG80)</f>
        <v>5.04</v>
      </c>
      <c r="AI80" s="267"/>
      <c r="AJ80" s="267">
        <f t="array" aca="1" ref="AJ80" ca="1">IF($D80&gt;Standings!$Q$27,"",(COUNTIFS($D$2:$D$225,$D80,$C$2:$C$225,$C80,$AM$2:$AM$225,"&gt;"&amp;$AM80)+1))</f>
        <v>5</v>
      </c>
      <c r="AK80" s="267">
        <f t="array" aca="1" ref="AK80" ca="1">IF($D80&gt;Standings!$Q$27,"",IF((COUNTIFS($D$2:$D$225,$D80,$C$2:$C$225,$C80,$AH$2:$AH$225,"&gt;"&amp;$AH80)+1)=2,1,0))</f>
        <v>0</v>
      </c>
      <c r="AL80" s="267">
        <f t="array" aca="1" ref="AL80" ca="1">IF($D80&gt;Standings!$Q$27,"",IF((COUNTIFS($D$2:$D$225,$D80,$C$2:$C$225,$C80,$AH$2:$AH$225,"&gt;"&amp;$AH80)+1)&lt;2,1,0))</f>
        <v>0</v>
      </c>
      <c r="AM80" s="267">
        <f ca="1">IF($D80&gt;Standings!$Q$27,"",IF(AL80=1,200+Z80+(16-AQ80)*0.01+AI80,IF(AK80=1,100+Z80+(16-AQ80)*0.01+AI80,IF(AN80=1,50+Z80+(16-AQ80)*0.01,IF(AO80=1,15+Z80+(16-AQ80)*0.01,Z80+(16-AQ80)*0.01+AI80)))))</f>
        <v>5.0599999999999996</v>
      </c>
      <c r="AN80" s="267">
        <f ca="1">IF($D80&gt;Standings!$Q$27,"",IF(OR($AK80=1,$AL80=1),"Conf Playoff Spot",COUNTIFS($AL$2:$AL$225,0,$AK$2:$AK$225,0,$C$2:$C$225,$C80,$D$2:$D$225,$D80,$AC$2:$AC$225,"&gt;"&amp;$AC80)+1))</f>
        <v>3</v>
      </c>
      <c r="AO80" s="267">
        <f t="array" aca="1" ref="AO80" ca="1">IF($D80&gt;Standings!$Q$27,"",IF(OR($AK80=1,$AL80=1),"Conf Playoff Spot",COUNTIFS($AK$2:$AK$225,0,$AL$2:$AL$225,0,$D$2:$D$225,$D80,$AH$2:$AH$225,"&gt;"&amp;$AH80)+1))</f>
        <v>5</v>
      </c>
      <c r="AP80" s="267">
        <f t="array" aca="1" ref="AP80" ca="1">IF($D80&gt;Standings!$Q$27,"",(COUNTIFS($D$2:$D$225,$D80,$J$2:$J$225,"&gt;"&amp;$J80)+1))</f>
        <v>15</v>
      </c>
      <c r="AQ80" s="249">
        <f ca="1">IF($D80&gt;Standings!$Q$27,"",(COUNTIFS($D$2:$D$225,$D80,$AC$2:$AC$225,"&gt;"&amp;$AC80)+1))</f>
        <v>10</v>
      </c>
      <c r="AR80" s="249">
        <f ca="1">IF($D80&gt;Standings!$Q$27,"",(COUNTIFS($D$2:$D$225,$D80,$K$2:$K$225,"&gt;"&amp;$K80)+1))</f>
        <v>4</v>
      </c>
      <c r="AS80" s="249">
        <f ca="1">IF($D80&gt;Standings!$Q$27,"",(COUNTIFS($D$2:$D$225,$D80,$AD$2:$AD$225,"&gt;"&amp;$AD80)+1))</f>
        <v>8</v>
      </c>
      <c r="AT80" s="354">
        <f ca="1">IF($D80&gt;Standings!$Q$27,"",SUMIFS($J$2:$J$225,$D$2:$D$225,$D80,$C$2:$C$225,$C80))</f>
        <v>780.12</v>
      </c>
      <c r="AU80" s="253">
        <f ca="1">IF($D80&gt;Standings!$Q$27,"",SUMIFS($AC$2:$AC$225,$D$2:$D$225,$D80,$C$2:$C$225,$C80))</f>
        <v>7448.3600000000006</v>
      </c>
    </row>
    <row r="81" spans="1:47">
      <c r="A81" s="190">
        <f t="shared" si="1"/>
        <v>149</v>
      </c>
      <c r="B81" s="198" t="str">
        <f>'ESPN Data'!$L$9</f>
        <v>Team 6</v>
      </c>
      <c r="C81" s="346" t="str">
        <f>VLOOKUP(B81,'ESPN Data'!$L$4:$M$19,2,FALSE)</f>
        <v>Bone</v>
      </c>
      <c r="D81" s="397">
        <v>10</v>
      </c>
      <c r="E81" s="267" t="str">
        <f t="array" ref="E81">INDEX('ESPN Data'!$C$3:$C$226,MATCH(1,('ESPN Data'!$A$3:$A$226='Point Data'!$D81)*('ESPN Data'!$B$3:$B$226='Point Data'!$B81),0))</f>
        <v>Team 15</v>
      </c>
      <c r="F81" s="250" t="str">
        <f>IF(C81&lt;&gt;VLOOKUP($E81,'ESPN Data'!$L$4:$M$19,2,FALSE),"Non Conf", "Conf")</f>
        <v>Non Conf</v>
      </c>
      <c r="G81" s="246">
        <f t="array" aca="1" ref="G81" ca="1">IF('Point Data'!$D81&gt;Standings!$Q$27,"",(COUNTIFS($D$2:$D$225,$D81,$AM$2:$AM$225,"&gt;"&amp;$AM81)+1))</f>
        <v>8</v>
      </c>
      <c r="H81" s="172">
        <f ca="1">IF('Point Data'!$D81&gt;Standings!$Q$27,"",$G80)</f>
        <v>9</v>
      </c>
      <c r="I81" s="249">
        <f ca="1">IF('Point Data'!D81&gt;Standings!$Q$27,"",H81-G81)</f>
        <v>1</v>
      </c>
      <c r="J81" s="172">
        <f ca="1">IF('Point Data'!D81&gt;Standings!$Q$27,"",OFFSET('ESPN Data'!D$3,$A81,0,1,1))</f>
        <v>128.55000000000001</v>
      </c>
      <c r="K81" s="248">
        <f ca="1">IF('Point Data'!D81&gt;Standings!$Q$27,"",OFFSET('ESPN Data'!E$3,$A81,0,1,1))</f>
        <v>103.51</v>
      </c>
      <c r="L81" s="337">
        <f ca="1">IF('Point Data'!D81&gt;Standings!$Q$27,"",OFFSET('ESPN Data'!I$3,$A81,0,1,1))</f>
        <v>36</v>
      </c>
      <c r="M81" s="337">
        <f ca="1">IF('Point Data'!D81&gt;Standings!$Q$27,"",OFFSET('ESPN Data'!I$3,$A81,-2,1,1))</f>
        <v>0</v>
      </c>
      <c r="N81" s="337">
        <f ca="1">IF('Point Data'!D81&gt;Standings!$Q$27,"",SUMIFS($M$2:$M$225,$D$2:$D$225,D81,$C$2:$C$225,C81))</f>
        <v>19</v>
      </c>
      <c r="O81" s="337">
        <f ca="1">IF('Point Data'!D81&gt;Standings!$Q$27,"",SUMIFS($L$2:$L$225,$D$2:$D$225,$D81,$C$2:$C$225,$C81))</f>
        <v>286</v>
      </c>
      <c r="P81" s="337">
        <f ca="1">IF('Point Data'!D81&gt;Standings!$Q$27,"",SUMIFS($M$2:$M$225,$D$2:$D$225,D81))</f>
        <v>32</v>
      </c>
      <c r="Q81" s="337">
        <f ca="1">IF('Point Data'!D81&gt;Standings!$Q$27,"",SUMIFS($L$2:$L$225,$D$2:$D$225,D81))</f>
        <v>513</v>
      </c>
      <c r="R81" s="249">
        <f ca="1">IF($D81&gt;Standings!$Q$27,"",IF(U81="T",(Z81+0.5)/(D81)*100,(Z81/D81)*100))</f>
        <v>60</v>
      </c>
      <c r="S81" s="253">
        <f ca="1">IF($D81&gt;Standings!$Q$27,"",$J81-$K81)</f>
        <v>25.040000000000006</v>
      </c>
      <c r="T81" s="253">
        <f ca="1">IF($D81&gt;Standings!$Q$27,"",AVERAGE(OFFSET(S81,(-$D81+1),0,1,1):S81))</f>
        <v>-3.1149999999999975</v>
      </c>
      <c r="U81" s="172">
        <f ca="1">IF($D81&gt;Standings!$Q$27,"",IF(J81&gt;K81,1,IF(J81=K81,"T",0)))</f>
        <v>1</v>
      </c>
      <c r="V81" s="267">
        <f ca="1">IF($D81&gt;Standings!$Q$27,"",IF(F81="Conf",V80,SUMIFS($U$2:$U$225,$D$2:$D$225,"&lt;="&amp;$D81,$B$2:$B$225,$B81,$F$2:$F$225,"Non Conf")))</f>
        <v>3</v>
      </c>
      <c r="W81" s="267" t="str">
        <f ca="1">IF($D81&gt;Standings!$Q$27,"",$V81&amp;"-"&amp;COUNTIF(OFFSET($F81,(-$D81+1),0,1,1):$F81,"Non Conf")-$V81)</f>
        <v>3-2</v>
      </c>
      <c r="X81" s="267">
        <f ca="1">IF($D81&gt;Standings!$Q$27,"",SUMIFS($U$2:$U$225,$D$2:$D$225,"&lt;="&amp;$D81,$B$2:$B$225,$B81,$F$2:$F$225,"Conf"))</f>
        <v>3</v>
      </c>
      <c r="Y81" s="267" t="str">
        <f ca="1">IF($D81&gt;Standings!$Q$27,"",$X81&amp;"-"&amp;COUNTIF(OFFSET($F81,(-$D81+1),0,1,1):$F81,"Conf")-$X81)</f>
        <v>3-2</v>
      </c>
      <c r="Z81" s="267">
        <f ca="1">IF($D81&gt;Standings!$Q$27,"",SUM(OFFSET(U81,(-$D81+1),0,1,1):U81))</f>
        <v>6</v>
      </c>
      <c r="AA81" s="172">
        <f ca="1">IF($D81&gt;Standings!$Q$27,"",IF(U81=1,1+AA80,0))</f>
        <v>1</v>
      </c>
      <c r="AB81" s="250">
        <f ca="1">IF($D81&gt;Standings!$Q$27,"",IF(AA81=0,1+AB80,0))</f>
        <v>0</v>
      </c>
      <c r="AC81" s="251">
        <f ca="1">IF($D81&gt;Standings!$Q$27,"",SUM(OFFSET(J81,(-$D81+1),0,1,1):J81))</f>
        <v>1014.03</v>
      </c>
      <c r="AD81" s="248">
        <f ca="1">IF($D81&gt;Standings!$Q$27,"",SUM(OFFSET(K81,(-$D81+1),0,1,1):K81))</f>
        <v>1045.1799999999998</v>
      </c>
      <c r="AE81" s="248">
        <f ca="1">IF($D81&gt;Standings!$Q$27,"",$J81-$K81)</f>
        <v>25.040000000000006</v>
      </c>
      <c r="AF81" s="248">
        <f ca="1">IF($D81&gt;Standings!$Q$27,"",AC81-AD81)</f>
        <v>-31.149999999999864</v>
      </c>
      <c r="AG81" s="172">
        <f ca="1">IF($D81&gt;Standings!$Q$27,"",(COUNTIFS($D$2:$D$225,$D81,$C$2:$C$225,$C81,$AC$2:$AC$225,"&lt;"&amp;$AC81)+1)*0.01)</f>
        <v>0.04</v>
      </c>
      <c r="AH81" s="172">
        <f ca="1">IF($D81&gt;Standings!$Q$27,"",Z81+AG81)</f>
        <v>6.04</v>
      </c>
      <c r="AI81" s="267"/>
      <c r="AJ81" s="267">
        <f t="array" aca="1" ref="AJ81" ca="1">IF($D81&gt;Standings!$Q$27,"",(COUNTIFS($D$2:$D$225,$D81,$C$2:$C$225,$C81,$AM$2:$AM$225,"&gt;"&amp;$AM81)+1))</f>
        <v>5</v>
      </c>
      <c r="AK81" s="267">
        <f t="array" aca="1" ref="AK81" ca="1">IF($D81&gt;Standings!$Q$27,"",IF((COUNTIFS($D$2:$D$225,$D81,$C$2:$C$225,$C81,$AH$2:$AH$225,"&gt;"&amp;$AH81)+1)=2,1,0))</f>
        <v>0</v>
      </c>
      <c r="AL81" s="267">
        <f t="array" aca="1" ref="AL81" ca="1">IF($D81&gt;Standings!$Q$27,"",IF((COUNTIFS($D$2:$D$225,$D81,$C$2:$C$225,$C81,$AH$2:$AH$225,"&gt;"&amp;$AH81)+1)&lt;2,1,0))</f>
        <v>0</v>
      </c>
      <c r="AM81" s="267">
        <f ca="1">IF($D81&gt;Standings!$Q$27,"",IF(AL81=1,200+Z81+(16-AQ81)*0.01+AI81,IF(AK81=1,100+Z81+(16-AQ81)*0.01+AI81,IF(AN81=1,50+Z81+(16-AQ81)*0.01,IF(AO81=1,15+Z81+(16-AQ81)*0.01,Z81+(16-AQ81)*0.01+AI81)))))</f>
        <v>6.08</v>
      </c>
      <c r="AN81" s="267">
        <f ca="1">IF($D81&gt;Standings!$Q$27,"",IF(OR($AK81=1,$AL81=1),"Conf Playoff Spot",COUNTIFS($AL$2:$AL$225,0,$AK$2:$AK$225,0,$C$2:$C$225,$C81,$D$2:$D$225,$D81,$AC$2:$AC$225,"&gt;"&amp;$AC81)+1))</f>
        <v>3</v>
      </c>
      <c r="AO81" s="267">
        <f t="array" aca="1" ref="AO81" ca="1">IF($D81&gt;Standings!$Q$27,"",IF(OR($AK81=1,$AL81=1),"Conf Playoff Spot",COUNTIFS($AK$2:$AK$225,0,$AL$2:$AL$225,0,$D$2:$D$225,$D81,$AH$2:$AH$225,"&gt;"&amp;$AH81)+1))</f>
        <v>3</v>
      </c>
      <c r="AP81" s="267">
        <f t="array" aca="1" ref="AP81" ca="1">IF($D81&gt;Standings!$Q$27,"",(COUNTIFS($D$2:$D$225,$D81,$J$2:$J$225,"&gt;"&amp;$J81)+1))</f>
        <v>1</v>
      </c>
      <c r="AQ81" s="249">
        <f ca="1">IF($D81&gt;Standings!$Q$27,"",(COUNTIFS($D$2:$D$225,$D81,$AC$2:$AC$225,"&gt;"&amp;$AC81)+1))</f>
        <v>8</v>
      </c>
      <c r="AR81" s="249">
        <f ca="1">IF($D81&gt;Standings!$Q$27,"",(COUNTIFS($D$2:$D$225,$D81,$K$2:$K$225,"&gt;"&amp;$K81)+1))</f>
        <v>6</v>
      </c>
      <c r="AS81" s="249">
        <f ca="1">IF($D81&gt;Standings!$Q$27,"",(COUNTIFS($D$2:$D$225,$D81,$AD$2:$AD$225,"&gt;"&amp;$AD81)+1))</f>
        <v>7</v>
      </c>
      <c r="AT81" s="354">
        <f ca="1">IF($D81&gt;Standings!$Q$27,"",SUMIFS($J$2:$J$225,$D$2:$D$225,$D81,$C$2:$C$225,$C81))</f>
        <v>753.38</v>
      </c>
      <c r="AU81" s="253">
        <f ca="1">IF($D81&gt;Standings!$Q$27,"",SUMIFS($AC$2:$AC$225,$D$2:$D$225,$D81,$C$2:$C$225,$C81))</f>
        <v>8201.74</v>
      </c>
    </row>
    <row r="82" spans="1:47">
      <c r="A82" s="190">
        <f t="shared" si="1"/>
        <v>165</v>
      </c>
      <c r="B82" s="198" t="str">
        <f>'ESPN Data'!$L$9</f>
        <v>Team 6</v>
      </c>
      <c r="C82" s="346" t="str">
        <f>VLOOKUP(B82,'ESPN Data'!$L$4:$M$19,2,FALSE)</f>
        <v>Bone</v>
      </c>
      <c r="D82" s="397">
        <v>11</v>
      </c>
      <c r="E82" s="267" t="str">
        <f t="array" ref="E82">INDEX('ESPN Data'!$C$3:$C$226,MATCH(1,('ESPN Data'!$A$3:$A$226='Point Data'!$D82)*('ESPN Data'!$B$3:$B$226='Point Data'!$B82),0))</f>
        <v>Team 11</v>
      </c>
      <c r="F82" s="250" t="str">
        <f>IF(C82&lt;&gt;VLOOKUP($E82,'ESPN Data'!$L$4:$M$19,2,FALSE),"Non Conf", "Conf")</f>
        <v>Non Conf</v>
      </c>
      <c r="G82" s="246">
        <f t="array" aca="1" ref="G82" ca="1">IF('Point Data'!$D82&gt;Standings!$Q$27,"",(COUNTIFS($D$2:$D$225,$D82,$AM$2:$AM$225,"&gt;"&amp;$AM82)+1))</f>
        <v>8</v>
      </c>
      <c r="H82" s="172">
        <f ca="1">IF('Point Data'!$D82&gt;Standings!$Q$27,"",$G81)</f>
        <v>8</v>
      </c>
      <c r="I82" s="249">
        <f ca="1">IF('Point Data'!D82&gt;Standings!$Q$27,"",H82-G82)</f>
        <v>0</v>
      </c>
      <c r="J82" s="172">
        <f ca="1">IF('Point Data'!D82&gt;Standings!$Q$27,"",OFFSET('ESPN Data'!D$3,$A82,0,1,1))</f>
        <v>83.37</v>
      </c>
      <c r="K82" s="248">
        <f ca="1">IF('Point Data'!D82&gt;Standings!$Q$27,"",OFFSET('ESPN Data'!E$3,$A82,0,1,1))</f>
        <v>79.53</v>
      </c>
      <c r="L82" s="337">
        <f ca="1">IF('Point Data'!D82&gt;Standings!$Q$27,"",OFFSET('ESPN Data'!I$3,$A82,0,1,1))</f>
        <v>36</v>
      </c>
      <c r="M82" s="337">
        <f ca="1">IF('Point Data'!D82&gt;Standings!$Q$27,"",OFFSET('ESPN Data'!I$3,$A82,-2,1,1))</f>
        <v>0</v>
      </c>
      <c r="N82" s="337">
        <f ca="1">IF('Point Data'!D82&gt;Standings!$Q$27,"",SUMIFS($M$2:$M$225,$D$2:$D$225,D82,$C$2:$C$225,C82))</f>
        <v>51</v>
      </c>
      <c r="O82" s="337">
        <f ca="1">IF('Point Data'!D82&gt;Standings!$Q$27,"",SUMIFS($L$2:$L$225,$D$2:$D$225,$D82,$C$2:$C$225,$C82))</f>
        <v>235</v>
      </c>
      <c r="P82" s="337">
        <f ca="1">IF('Point Data'!D82&gt;Standings!$Q$27,"",SUMIFS($M$2:$M$225,$D$2:$D$225,D82))</f>
        <v>61</v>
      </c>
      <c r="Q82" s="337">
        <f ca="1">IF('Point Data'!D82&gt;Standings!$Q$27,"",SUMIFS($L$2:$L$225,$D$2:$D$225,D82))</f>
        <v>452</v>
      </c>
      <c r="R82" s="249">
        <f ca="1">IF($D82&gt;Standings!$Q$27,"",IF(U82="T",(Z82+0.5)/(D82)*100,(Z82/D82)*100))</f>
        <v>63.636363636363633</v>
      </c>
      <c r="S82" s="253">
        <f ca="1">IF($D82&gt;Standings!$Q$27,"",$J82-$K82)</f>
        <v>3.8400000000000034</v>
      </c>
      <c r="T82" s="253">
        <f ca="1">IF($D82&gt;Standings!$Q$27,"",AVERAGE(OFFSET(S82,(-$D82+1),0,1,1):S82))</f>
        <v>-2.4827272727272702</v>
      </c>
      <c r="U82" s="172">
        <f ca="1">IF($D82&gt;Standings!$Q$27,"",IF(J82&gt;K82,1,IF(J82=K82,"T",0)))</f>
        <v>1</v>
      </c>
      <c r="V82" s="267">
        <f ca="1">IF($D82&gt;Standings!$Q$27,"",IF(F82="Conf",V81,SUMIFS($U$2:$U$225,$D$2:$D$225,"&lt;="&amp;$D82,$B$2:$B$225,$B82,$F$2:$F$225,"Non Conf")))</f>
        <v>4</v>
      </c>
      <c r="W82" s="267" t="str">
        <f ca="1">IF($D82&gt;Standings!$Q$27,"",$V82&amp;"-"&amp;COUNTIF(OFFSET($F82,(-$D82+1),0,1,1):$F82,"Non Conf")-$V82)</f>
        <v>4-2</v>
      </c>
      <c r="X82" s="267">
        <f ca="1">IF($D82&gt;Standings!$Q$27,"",SUMIFS($U$2:$U$225,$D$2:$D$225,"&lt;="&amp;$D82,$B$2:$B$225,$B82,$F$2:$F$225,"Conf"))</f>
        <v>3</v>
      </c>
      <c r="Y82" s="267" t="str">
        <f ca="1">IF($D82&gt;Standings!$Q$27,"",$X82&amp;"-"&amp;COUNTIF(OFFSET($F82,(-$D82+1),0,1,1):$F82,"Conf")-$X82)</f>
        <v>3-2</v>
      </c>
      <c r="Z82" s="267">
        <f ca="1">IF($D82&gt;Standings!$Q$27,"",SUM(OFFSET(U82,(-$D82+1),0,1,1):U82))</f>
        <v>7</v>
      </c>
      <c r="AA82" s="172">
        <f ca="1">IF($D82&gt;Standings!$Q$27,"",IF(U82=1,1+AA81,0))</f>
        <v>2</v>
      </c>
      <c r="AB82" s="250">
        <f ca="1">IF($D82&gt;Standings!$Q$27,"",IF(AA82=0,1+AB81,0))</f>
        <v>0</v>
      </c>
      <c r="AC82" s="251">
        <f ca="1">IF($D82&gt;Standings!$Q$27,"",SUM(OFFSET(J82,(-$D82+1),0,1,1):J82))</f>
        <v>1097.4000000000001</v>
      </c>
      <c r="AD82" s="248">
        <f ca="1">IF($D82&gt;Standings!$Q$27,"",SUM(OFFSET(K82,(-$D82+1),0,1,1):K82))</f>
        <v>1124.7099999999998</v>
      </c>
      <c r="AE82" s="248">
        <f ca="1">IF($D82&gt;Standings!$Q$27,"",$J82-$K82)</f>
        <v>3.8400000000000034</v>
      </c>
      <c r="AF82" s="248">
        <f ca="1">IF($D82&gt;Standings!$Q$27,"",AC82-AD82)</f>
        <v>-27.309999999999718</v>
      </c>
      <c r="AG82" s="172">
        <f ca="1">IF($D82&gt;Standings!$Q$27,"",(COUNTIFS($D$2:$D$225,$D82,$C$2:$C$225,$C82,$AC$2:$AC$225,"&lt;"&amp;$AC82)+1)*0.01)</f>
        <v>0.04</v>
      </c>
      <c r="AH82" s="172">
        <f ca="1">IF($D82&gt;Standings!$Q$27,"",Z82+AG82)</f>
        <v>7.04</v>
      </c>
      <c r="AI82" s="267"/>
      <c r="AJ82" s="267">
        <f t="array" aca="1" ref="AJ82" ca="1">IF($D82&gt;Standings!$Q$27,"",(COUNTIFS($D$2:$D$225,$D82,$C$2:$C$225,$C82,$AM$2:$AM$225,"&gt;"&amp;$AM82)+1))</f>
        <v>5</v>
      </c>
      <c r="AK82" s="267">
        <f t="array" aca="1" ref="AK82" ca="1">IF($D82&gt;Standings!$Q$27,"",IF((COUNTIFS($D$2:$D$225,$D82,$C$2:$C$225,$C82,$AH$2:$AH$225,"&gt;"&amp;$AH82)+1)=2,1,0))</f>
        <v>0</v>
      </c>
      <c r="AL82" s="267">
        <f t="array" aca="1" ref="AL82" ca="1">IF($D82&gt;Standings!$Q$27,"",IF((COUNTIFS($D$2:$D$225,$D82,$C$2:$C$225,$C82,$AH$2:$AH$225,"&gt;"&amp;$AH82)+1)&lt;2,1,0))</f>
        <v>0</v>
      </c>
      <c r="AM82" s="267">
        <f ca="1">IF($D82&gt;Standings!$Q$27,"",IF(AL82=1,200+Z82+(16-AQ82)*0.01+AI82,IF(AK82=1,100+Z82+(16-AQ82)*0.01+AI82,IF(AN82=1,50+Z82+(16-AQ82)*0.01,IF(AO82=1,15+Z82+(16-AQ82)*0.01,Z82+(16-AQ82)*0.01+AI82)))))</f>
        <v>7.08</v>
      </c>
      <c r="AN82" s="267">
        <f ca="1">IF($D82&gt;Standings!$Q$27,"",IF(OR($AK82=1,$AL82=1),"Conf Playoff Spot",COUNTIFS($AL$2:$AL$225,0,$AK$2:$AK$225,0,$C$2:$C$225,$C82,$D$2:$D$225,$D82,$AC$2:$AC$225,"&gt;"&amp;$AC82)+1))</f>
        <v>3</v>
      </c>
      <c r="AO82" s="267">
        <f t="array" aca="1" ref="AO82" ca="1">IF($D82&gt;Standings!$Q$27,"",IF(OR($AK82=1,$AL82=1),"Conf Playoff Spot",COUNTIFS($AK$2:$AK$225,0,$AL$2:$AL$225,0,$D$2:$D$225,$D82,$AH$2:$AH$225,"&gt;"&amp;$AH82)+1))</f>
        <v>2</v>
      </c>
      <c r="AP82" s="267">
        <f t="array" aca="1" ref="AP82" ca="1">IF($D82&gt;Standings!$Q$27,"",(COUNTIFS($D$2:$D$225,$D82,$J$2:$J$225,"&gt;"&amp;$J82)+1))</f>
        <v>14</v>
      </c>
      <c r="AQ82" s="249">
        <f ca="1">IF($D82&gt;Standings!$Q$27,"",(COUNTIFS($D$2:$D$225,$D82,$AC$2:$AC$225,"&gt;"&amp;$AC82)+1))</f>
        <v>8</v>
      </c>
      <c r="AR82" s="249">
        <f ca="1">IF($D82&gt;Standings!$Q$27,"",(COUNTIFS($D$2:$D$225,$D82,$K$2:$K$225,"&gt;"&amp;$K82)+1))</f>
        <v>15</v>
      </c>
      <c r="AS82" s="249">
        <f ca="1">IF($D82&gt;Standings!$Q$27,"",(COUNTIFS($D$2:$D$225,$D82,$AD$2:$AD$225,"&gt;"&amp;$AD82)+1))</f>
        <v>9</v>
      </c>
      <c r="AT82" s="354">
        <f ca="1">IF($D82&gt;Standings!$Q$27,"",SUMIFS($J$2:$J$225,$D$2:$D$225,$D82,$C$2:$C$225,$C82))</f>
        <v>833.56000000000006</v>
      </c>
      <c r="AU82" s="253">
        <f ca="1">IF($D82&gt;Standings!$Q$27,"",SUMIFS($AC$2:$AC$225,$D$2:$D$225,$D82,$C$2:$C$225,$C82))</f>
        <v>9035.3000000000011</v>
      </c>
    </row>
    <row r="83" spans="1:47">
      <c r="A83" s="190">
        <f t="shared" si="1"/>
        <v>181</v>
      </c>
      <c r="B83" s="198" t="str">
        <f>'ESPN Data'!$L$9</f>
        <v>Team 6</v>
      </c>
      <c r="C83" s="346" t="str">
        <f>VLOOKUP(B83,'ESPN Data'!$L$4:$M$19,2,FALSE)</f>
        <v>Bone</v>
      </c>
      <c r="D83" s="397">
        <v>12</v>
      </c>
      <c r="E83" s="267" t="str">
        <f t="array" ref="E83">INDEX('ESPN Data'!$C$3:$C$226,MATCH(1,('ESPN Data'!$A$3:$A$226='Point Data'!$D83)*('ESPN Data'!$B$3:$B$226='Point Data'!$B83),0))</f>
        <v>Team 7</v>
      </c>
      <c r="F83" s="250" t="str">
        <f>IF(C83&lt;&gt;VLOOKUP($E83,'ESPN Data'!$L$4:$M$19,2,FALSE),"Non Conf", "Conf")</f>
        <v>Conf</v>
      </c>
      <c r="G83" s="246">
        <f t="array" aca="1" ref="G83" ca="1">IF('Point Data'!$D83&gt;Standings!$Q$27,"",(COUNTIFS($D$2:$D$225,$D83,$AM$2:$AM$225,"&gt;"&amp;$AM83)+1))</f>
        <v>3</v>
      </c>
      <c r="H83" s="172">
        <f ca="1">IF('Point Data'!$D83&gt;Standings!$Q$27,"",$G82)</f>
        <v>8</v>
      </c>
      <c r="I83" s="249">
        <f ca="1">IF('Point Data'!D83&gt;Standings!$Q$27,"",H83-G83)</f>
        <v>5</v>
      </c>
      <c r="J83" s="172">
        <f ca="1">IF('Point Data'!D83&gt;Standings!$Q$27,"",OFFSET('ESPN Data'!D$3,$A83,0,1,1))</f>
        <v>112.45</v>
      </c>
      <c r="K83" s="248">
        <f ca="1">IF('Point Data'!D83&gt;Standings!$Q$27,"",OFFSET('ESPN Data'!E$3,$A83,0,1,1))</f>
        <v>98.78</v>
      </c>
      <c r="L83" s="337">
        <f ca="1">IF('Point Data'!D83&gt;Standings!$Q$27,"",OFFSET('ESPN Data'!I$3,$A83,0,1,1))</f>
        <v>36</v>
      </c>
      <c r="M83" s="337">
        <f ca="1">IF('Point Data'!D83&gt;Standings!$Q$27,"",OFFSET('ESPN Data'!I$3,$A83,-2,1,1))</f>
        <v>0</v>
      </c>
      <c r="N83" s="337">
        <f ca="1">IF('Point Data'!D83&gt;Standings!$Q$27,"",SUMIFS($M$2:$M$225,$D$2:$D$225,D83,$C$2:$C$225,C83))</f>
        <v>6</v>
      </c>
      <c r="O83" s="337">
        <f ca="1">IF('Point Data'!D83&gt;Standings!$Q$27,"",SUMIFS($L$2:$L$225,$D$2:$D$225,$D83,$C$2:$C$225,$C83))</f>
        <v>229</v>
      </c>
      <c r="P83" s="337">
        <f ca="1">IF('Point Data'!D83&gt;Standings!$Q$27,"",SUMIFS($M$2:$M$225,$D$2:$D$225,D83))</f>
        <v>41</v>
      </c>
      <c r="Q83" s="337">
        <f ca="1">IF('Point Data'!D83&gt;Standings!$Q$27,"",SUMIFS($L$2:$L$225,$D$2:$D$225,D83))</f>
        <v>411</v>
      </c>
      <c r="R83" s="249">
        <f ca="1">IF($D83&gt;Standings!$Q$27,"",IF(U83="T",(Z83+0.5)/(D83)*100,(Z83/D83)*100))</f>
        <v>66.666666666666657</v>
      </c>
      <c r="S83" s="253">
        <f ca="1">IF($D83&gt;Standings!$Q$27,"",$J83-$K83)</f>
        <v>13.670000000000002</v>
      </c>
      <c r="T83" s="253">
        <f ca="1">IF($D83&gt;Standings!$Q$27,"",AVERAGE(OFFSET(S83,(-$D83+1),0,1,1):S83))</f>
        <v>-1.1366666666666643</v>
      </c>
      <c r="U83" s="172">
        <f ca="1">IF($D83&gt;Standings!$Q$27,"",IF(J83&gt;K83,1,IF(J83=K83,"T",0)))</f>
        <v>1</v>
      </c>
      <c r="V83" s="267">
        <f ca="1">IF($D83&gt;Standings!$Q$27,"",IF(F83="Conf",V82,SUMIFS($U$2:$U$225,$D$2:$D$225,"&lt;="&amp;$D83,$B$2:$B$225,$B83,$F$2:$F$225,"Non Conf")))</f>
        <v>4</v>
      </c>
      <c r="W83" s="267" t="str">
        <f ca="1">IF($D83&gt;Standings!$Q$27,"",$V83&amp;"-"&amp;COUNTIF(OFFSET($F83,(-$D83+1),0,1,1):$F83,"Non Conf")-$V83)</f>
        <v>4-2</v>
      </c>
      <c r="X83" s="267">
        <f ca="1">IF($D83&gt;Standings!$Q$27,"",SUMIFS($U$2:$U$225,$D$2:$D$225,"&lt;="&amp;$D83,$B$2:$B$225,$B83,$F$2:$F$225,"Conf"))</f>
        <v>4</v>
      </c>
      <c r="Y83" s="267" t="str">
        <f ca="1">IF($D83&gt;Standings!$Q$27,"",$X83&amp;"-"&amp;COUNTIF(OFFSET($F83,(-$D83+1),0,1,1):$F83,"Conf")-$X83)</f>
        <v>4-2</v>
      </c>
      <c r="Z83" s="267">
        <f ca="1">IF($D83&gt;Standings!$Q$27,"",SUM(OFFSET(U83,(-$D83+1),0,1,1):U83))</f>
        <v>8</v>
      </c>
      <c r="AA83" s="172">
        <f ca="1">IF($D83&gt;Standings!$Q$27,"",IF(U83=1,1+AA82,0))</f>
        <v>3</v>
      </c>
      <c r="AB83" s="250">
        <f ca="1">IF($D83&gt;Standings!$Q$27,"",IF(AA83=0,1+AB82,0))</f>
        <v>0</v>
      </c>
      <c r="AC83" s="251">
        <f ca="1">IF($D83&gt;Standings!$Q$27,"",SUM(OFFSET(J83,(-$D83+1),0,1,1):J83))</f>
        <v>1209.8500000000001</v>
      </c>
      <c r="AD83" s="248">
        <f ca="1">IF($D83&gt;Standings!$Q$27,"",SUM(OFFSET(K83,(-$D83+1),0,1,1):K83))</f>
        <v>1223.4899999999998</v>
      </c>
      <c r="AE83" s="248">
        <f ca="1">IF($D83&gt;Standings!$Q$27,"",$J83-$K83)</f>
        <v>13.670000000000002</v>
      </c>
      <c r="AF83" s="248">
        <f ca="1">IF($D83&gt;Standings!$Q$27,"",AC83-AD83)</f>
        <v>-13.639999999999645</v>
      </c>
      <c r="AG83" s="172">
        <f ca="1">IF($D83&gt;Standings!$Q$27,"",(COUNTIFS($D$2:$D$225,$D83,$C$2:$C$225,$C83,$AC$2:$AC$225,"&lt;"&amp;$AC83)+1)*0.01)</f>
        <v>0.05</v>
      </c>
      <c r="AH83" s="172">
        <f ca="1">IF($D83&gt;Standings!$Q$27,"",Z83+AG83)</f>
        <v>8.0500000000000007</v>
      </c>
      <c r="AI83" s="267"/>
      <c r="AJ83" s="267">
        <f t="array" aca="1" ref="AJ83" ca="1">IF($D83&gt;Standings!$Q$27,"",(COUNTIFS($D$2:$D$225,$D83,$C$2:$C$225,$C83,$AM$2:$AM$225,"&gt;"&amp;$AM83)+1))</f>
        <v>2</v>
      </c>
      <c r="AK83" s="267">
        <f t="array" aca="1" ref="AK83" ca="1">IF($D83&gt;Standings!$Q$27,"",IF((COUNTIFS($D$2:$D$225,$D83,$C$2:$C$225,$C83,$AH$2:$AH$225,"&gt;"&amp;$AH83)+1)=2,1,0))</f>
        <v>1</v>
      </c>
      <c r="AL83" s="267">
        <f t="array" aca="1" ref="AL83" ca="1">IF($D83&gt;Standings!$Q$27,"",IF((COUNTIFS($D$2:$D$225,$D83,$C$2:$C$225,$C83,$AH$2:$AH$225,"&gt;"&amp;$AH83)+1)&lt;2,1,0))</f>
        <v>0</v>
      </c>
      <c r="AM83" s="267">
        <f ca="1">IF($D83&gt;Standings!$Q$27,"",IF(AL83=1,200+Z83+(16-AQ83)*0.01+AI83,IF(AK83=1,100+Z83+(16-AQ83)*0.01+AI83,IF(AN83=1,50+Z83+(16-AQ83)*0.01,IF(AO83=1,15+Z83+(16-AQ83)*0.01,Z83+(16-AQ83)*0.01+AI83)))))</f>
        <v>108.09</v>
      </c>
      <c r="AN83" s="267" t="str">
        <f ca="1">IF($D83&gt;Standings!$Q$27,"",IF(OR($AK83=1,$AL83=1),"Conf Playoff Spot",COUNTIFS($AL$2:$AL$225,0,$AK$2:$AK$225,0,$C$2:$C$225,$C83,$D$2:$D$225,$D83,$AC$2:$AC$225,"&gt;"&amp;$AC83)+1))</f>
        <v>Conf Playoff Spot</v>
      </c>
      <c r="AO83" s="267" t="str">
        <f t="array" aca="1" ref="AO83" ca="1">IF($D83&gt;Standings!$Q$27,"",IF(OR($AK83=1,$AL83=1),"Conf Playoff Spot",COUNTIFS($AK$2:$AK$225,0,$AL$2:$AL$225,0,$D$2:$D$225,$D83,$AH$2:$AH$225,"&gt;"&amp;$AH83)+1))</f>
        <v>Conf Playoff Spot</v>
      </c>
      <c r="AP83" s="267">
        <f t="array" aca="1" ref="AP83" ca="1">IF($D83&gt;Standings!$Q$27,"",(COUNTIFS($D$2:$D$225,$D83,$J$2:$J$225,"&gt;"&amp;$J83)+1))</f>
        <v>6</v>
      </c>
      <c r="AQ83" s="249">
        <f ca="1">IF($D83&gt;Standings!$Q$27,"",(COUNTIFS($D$2:$D$225,$D83,$AC$2:$AC$225,"&gt;"&amp;$AC83)+1))</f>
        <v>7</v>
      </c>
      <c r="AR83" s="249">
        <f ca="1">IF($D83&gt;Standings!$Q$27,"",(COUNTIFS($D$2:$D$225,$D83,$K$2:$K$225,"&gt;"&amp;$K83)+1))</f>
        <v>9</v>
      </c>
      <c r="AS83" s="249">
        <f ca="1">IF($D83&gt;Standings!$Q$27,"",(COUNTIFS($D$2:$D$225,$D83,$AD$2:$AD$225,"&gt;"&amp;$AD83)+1))</f>
        <v>8</v>
      </c>
      <c r="AT83" s="354">
        <f ca="1">IF($D83&gt;Standings!$Q$27,"",SUMIFS($J$2:$J$225,$D$2:$D$225,$D83,$C$2:$C$225,$C83))</f>
        <v>841.41000000000008</v>
      </c>
      <c r="AU83" s="253">
        <f ca="1">IF($D83&gt;Standings!$Q$27,"",SUMIFS($AC$2:$AC$225,$D$2:$D$225,$D83,$C$2:$C$225,$C83))</f>
        <v>9876.7100000000009</v>
      </c>
    </row>
    <row r="84" spans="1:47" s="190" customFormat="1">
      <c r="A84" s="190">
        <f t="shared" si="1"/>
        <v>197</v>
      </c>
      <c r="B84" s="227" t="str">
        <f>'ESPN Data'!$L$9</f>
        <v>Team 6</v>
      </c>
      <c r="C84" s="347" t="str">
        <f>VLOOKUP(B84,'ESPN Data'!$L$4:$M$19,2,FALSE)</f>
        <v>Bone</v>
      </c>
      <c r="D84" s="550">
        <v>13</v>
      </c>
      <c r="E84" s="275" t="str">
        <f t="array" ref="E84">INDEX('ESPN Data'!$C$3:$C$226,MATCH(1,('ESPN Data'!$A$3:$A$226='Point Data'!$D84)*('ESPN Data'!$B$3:$B$226='Point Data'!$B84),0))</f>
        <v>Team 14</v>
      </c>
      <c r="F84" s="274" t="str">
        <f>IF(C84&lt;&gt;VLOOKUP($E84,'ESPN Data'!$L$4:$M$19,2,FALSE),"Non Conf", "Conf")</f>
        <v>Non Conf</v>
      </c>
      <c r="G84" s="271">
        <f t="array" aca="1" ref="G84" ca="1">IF('Point Data'!$D84&gt;Standings!$Q$27,"",(COUNTIFS($D$2:$D$225,$D84,$AM$2:$AM$225,"&gt;"&amp;$AM84)+1))</f>
        <v>3</v>
      </c>
      <c r="H84" s="264">
        <f ca="1">IF('Point Data'!$D84&gt;Standings!$Q$27,"",$G83)</f>
        <v>3</v>
      </c>
      <c r="I84" s="265">
        <f ca="1">IF('Point Data'!D84&gt;Standings!$Q$27,"",H84-G84)</f>
        <v>0</v>
      </c>
      <c r="J84" s="264">
        <f ca="1">IF('Point Data'!D84&gt;Standings!$Q$27,"",OFFSET('ESPN Data'!D$3,$A84,0,1,1))</f>
        <v>101.68</v>
      </c>
      <c r="K84" s="272">
        <f ca="1">IF('Point Data'!D84&gt;Standings!$Q$27,"",OFFSET('ESPN Data'!E$3,$A84,0,1,1))</f>
        <v>114.13</v>
      </c>
      <c r="L84" s="339">
        <f ca="1">IF('Point Data'!D84&gt;Standings!$Q$27,"",OFFSET('ESPN Data'!I$3,$A84,0,1,1))</f>
        <v>36</v>
      </c>
      <c r="M84" s="339">
        <f ca="1">IF('Point Data'!D84&gt;Standings!$Q$27,"",OFFSET('ESPN Data'!I$3,$A84,-2,1,1))</f>
        <v>0</v>
      </c>
      <c r="N84" s="339">
        <f ca="1">IF('Point Data'!D84&gt;Standings!$Q$27,"",SUMIFS($M$2:$M$225,$D$2:$D$225,D84,$C$2:$C$225,C84))</f>
        <v>5</v>
      </c>
      <c r="O84" s="339">
        <f ca="1">IF('Point Data'!D84&gt;Standings!$Q$27,"",SUMIFS($L$2:$L$225,$D$2:$D$225,$D84,$C$2:$C$225,$C84))</f>
        <v>224</v>
      </c>
      <c r="P84" s="339">
        <f ca="1">IF('Point Data'!D84&gt;Standings!$Q$27,"",SUMIFS($M$2:$M$225,$D$2:$D$225,D84))</f>
        <v>41</v>
      </c>
      <c r="Q84" s="339">
        <f ca="1">IF('Point Data'!D84&gt;Standings!$Q$27,"",SUMIFS($L$2:$L$225,$D$2:$D$225,D84))</f>
        <v>370</v>
      </c>
      <c r="R84" s="265">
        <f ca="1">IF($D84&gt;Standings!$Q$27,"",IF(U84="T",(Z84+0.5)/(D84)*100,(Z84/D84)*100))</f>
        <v>61.53846153846154</v>
      </c>
      <c r="S84" s="340">
        <f ca="1">IF($D84&gt;Standings!$Q$27,"",$J84-$K84)</f>
        <v>-12.449999999999989</v>
      </c>
      <c r="T84" s="340">
        <f ca="1">IF($D84&gt;Standings!$Q$27,"",AVERAGE(OFFSET(S84,(-$D84+1),0,1,1):S84))</f>
        <v>-2.0069230769230737</v>
      </c>
      <c r="U84" s="264">
        <f ca="1">IF($D84&gt;Standings!$Q$27,"",IF(J84&gt;K84,1,IF(J84=K84,"T",0)))</f>
        <v>0</v>
      </c>
      <c r="V84" s="275">
        <f ca="1">IF($D84&gt;Standings!$Q$27,"",IF(F84="Conf",V83,SUMIFS($U$2:$U$225,$D$2:$D$225,"&lt;="&amp;$D84,$B$2:$B$225,$B84,$F$2:$F$225,"Non Conf")))</f>
        <v>4</v>
      </c>
      <c r="W84" s="275" t="str">
        <f ca="1">IF($D84&gt;Standings!$Q$27,"",$V84&amp;"-"&amp;COUNTIF(OFFSET($F84,(-$D84+1),0,1,1):$F84,"Non Conf")-$V84)</f>
        <v>4-3</v>
      </c>
      <c r="X84" s="275">
        <f ca="1">IF($D84&gt;Standings!$Q$27,"",SUMIFS($U$2:$U$225,$D$2:$D$225,"&lt;="&amp;$D84,$B$2:$B$225,$B84,$F$2:$F$225,"Conf"))</f>
        <v>4</v>
      </c>
      <c r="Y84" s="275" t="str">
        <f ca="1">IF($D84&gt;Standings!$Q$27,"",$X84&amp;"-"&amp;COUNTIF(OFFSET($F84,(-$D84+1),0,1,1):$F84,"Conf")-$X84)</f>
        <v>4-2</v>
      </c>
      <c r="Z84" s="275">
        <f ca="1">IF($D84&gt;Standings!$Q$27,"",SUM(OFFSET(U84,(-$D84+1),0,1,1):U84))</f>
        <v>8</v>
      </c>
      <c r="AA84" s="264">
        <f ca="1">IF($D84&gt;Standings!$Q$27,"",IF(U84=1,1+AA83,0))</f>
        <v>0</v>
      </c>
      <c r="AB84" s="274">
        <f ca="1">IF($D84&gt;Standings!$Q$27,"",IF(AA84=0,1+AB83,0))</f>
        <v>1</v>
      </c>
      <c r="AC84" s="273">
        <f ca="1">IF($D84&gt;Standings!$Q$27,"",SUM(OFFSET(J84,(-$D84+1),0,1,1):J84))</f>
        <v>1311.5300000000002</v>
      </c>
      <c r="AD84" s="272">
        <f ca="1">IF($D84&gt;Standings!$Q$27,"",SUM(OFFSET(K84,(-$D84+1),0,1,1):K84))</f>
        <v>1337.62</v>
      </c>
      <c r="AE84" s="272">
        <f ca="1">IF($D84&gt;Standings!$Q$27,"",$J84-$K84)</f>
        <v>-12.449999999999989</v>
      </c>
      <c r="AF84" s="272">
        <f ca="1">IF($D84&gt;Standings!$Q$27,"",AC84-AD84)</f>
        <v>-26.089999999999691</v>
      </c>
      <c r="AG84" s="264">
        <f ca="1">IF($D84&gt;Standings!$Q$27,"",(COUNTIFS($D$2:$D$225,$D84,$C$2:$C$225,$C84,$AC$2:$AC$225,"&lt;"&amp;$AC84)+1)*0.01)</f>
        <v>0.05</v>
      </c>
      <c r="AH84" s="264">
        <f ca="1">IF($D84&gt;Standings!$Q$27,"",Z84+AG84)</f>
        <v>8.0500000000000007</v>
      </c>
      <c r="AI84" s="275"/>
      <c r="AJ84" s="275">
        <f t="array" aca="1" ref="AJ84" ca="1">IF($D84&gt;Standings!$Q$27,"",(COUNTIFS($D$2:$D$225,$D84,$C$2:$C$225,$C84,$AM$2:$AM$225,"&gt;"&amp;$AM84)+1))</f>
        <v>2</v>
      </c>
      <c r="AK84" s="275">
        <f t="array" aca="1" ref="AK84" ca="1">IF($D84&gt;Standings!$Q$27,"",IF((COUNTIFS($D$2:$D$225,$D84,$C$2:$C$225,$C84,$AH$2:$AH$225,"&gt;"&amp;$AH84)+1)=2,1,0))</f>
        <v>1</v>
      </c>
      <c r="AL84" s="275">
        <f t="array" aca="1" ref="AL84" ca="1">IF($D84&gt;Standings!$Q$27,"",IF((COUNTIFS($D$2:$D$225,$D84,$C$2:$C$225,$C84,$AH$2:$AH$225,"&gt;"&amp;$AH84)+1)&lt;2,1,0))</f>
        <v>0</v>
      </c>
      <c r="AM84" s="275">
        <f ca="1">IF($D84&gt;Standings!$Q$27,"",IF(AL84=1,200+Z84+(16-AQ84)*0.01+AI84,IF(AK84=1,100+Z84+(16-AQ84)*0.01+AI84,IF(AN84=1,50+Z84+(16-AQ84)*0.01,IF(AO84=1,15+Z84+(16-AQ84)*0.01,Z84+(16-AQ84)*0.01+AI84)))))</f>
        <v>108.09</v>
      </c>
      <c r="AN84" s="275" t="str">
        <f ca="1">IF($D84&gt;Standings!$Q$27,"",IF(OR($AK84=1,$AL84=1),"Conf Playoff Spot",COUNTIFS($AL$2:$AL$225,0,$AK$2:$AK$225,0,$C$2:$C$225,$C84,$D$2:$D$225,$D84,$AC$2:$AC$225,"&gt;"&amp;$AC84)+1))</f>
        <v>Conf Playoff Spot</v>
      </c>
      <c r="AO84" s="275" t="str">
        <f t="array" aca="1" ref="AO84" ca="1">IF($D84&gt;Standings!$Q$27,"",IF(OR($AK84=1,$AL84=1),"Conf Playoff Spot",COUNTIFS($AK$2:$AK$225,0,$AL$2:$AL$225,0,$D$2:$D$225,$D84,$AH$2:$AH$225,"&gt;"&amp;$AH84)+1))</f>
        <v>Conf Playoff Spot</v>
      </c>
      <c r="AP84" s="275">
        <f t="array" aca="1" ref="AP84" ca="1">IF($D84&gt;Standings!$Q$27,"",(COUNTIFS($D$2:$D$225,$D84,$J$2:$J$225,"&gt;"&amp;$J84)+1))</f>
        <v>8</v>
      </c>
      <c r="AQ84" s="265">
        <f ca="1">IF($D84&gt;Standings!$Q$27,"",(COUNTIFS($D$2:$D$225,$D84,$AC$2:$AC$225,"&gt;"&amp;$AC84)+1))</f>
        <v>7</v>
      </c>
      <c r="AR84" s="265">
        <f ca="1">IF($D84&gt;Standings!$Q$27,"",(COUNTIFS($D$2:$D$225,$D84,$K$2:$K$225,"&gt;"&amp;$K84)+1))</f>
        <v>3</v>
      </c>
      <c r="AS84" s="265">
        <f ca="1">IF($D84&gt;Standings!$Q$27,"",(COUNTIFS($D$2:$D$225,$D84,$AD$2:$AD$225,"&gt;"&amp;$AD84)+1))</f>
        <v>8</v>
      </c>
      <c r="AT84" s="356">
        <f ca="1">IF($D84&gt;Standings!$Q$27,"",SUMIFS($J$2:$J$225,$D$2:$D$225,$D84,$C$2:$C$225,$C84))</f>
        <v>774.50000000000011</v>
      </c>
      <c r="AU84" s="340">
        <f ca="1">IF($D84&gt;Standings!$Q$27,"",SUMIFS($AC$2:$AC$225,$D$2:$D$225,$D84,$C$2:$C$225,$C84))</f>
        <v>10651.210000000001</v>
      </c>
    </row>
    <row r="85" spans="1:47" ht="16" thickBot="1">
      <c r="A85" s="190">
        <f t="shared" si="1"/>
        <v>213</v>
      </c>
      <c r="B85" s="199" t="str">
        <f>'ESPN Data'!$L$9</f>
        <v>Team 6</v>
      </c>
      <c r="C85" s="348" t="str">
        <f>VLOOKUP(B85,'ESPN Data'!$L$4:$M$19,2,FALSE)</f>
        <v>Bone</v>
      </c>
      <c r="D85" s="398">
        <v>14</v>
      </c>
      <c r="E85" s="268" t="str">
        <f t="array" ref="E85">INDEX('ESPN Data'!$C$3:$C$226,MATCH(1,('ESPN Data'!$A$3:$A$226='Point Data'!$D85)*('ESPN Data'!$B$3:$B$226='Point Data'!$B85),0))</f>
        <v>Team 14</v>
      </c>
      <c r="F85" s="258" t="str">
        <f>IF(C85&lt;&gt;VLOOKUP($E85,'ESPN Data'!$L$4:$M$19,2,FALSE),"Non Conf", "Conf")</f>
        <v>Non Conf</v>
      </c>
      <c r="G85" s="262" t="str">
        <f t="array" ref="G85">IF('Point Data'!$D85&gt;Standings!$Q$27,"",(COUNTIFS($D$2:$D$225,$D85,$AM$2:$AM$225,"&gt;"&amp;$AM85)+1))</f>
        <v/>
      </c>
      <c r="H85" s="257" t="str">
        <f>IF('Point Data'!$D85&gt;Standings!$Q$27,"",$G83)</f>
        <v/>
      </c>
      <c r="I85" s="256" t="str">
        <f>IF('Point Data'!D85&gt;Standings!$Q$27,"",H85-G85)</f>
        <v/>
      </c>
      <c r="J85" s="257" t="str">
        <f ca="1">IF('Point Data'!D85&gt;Standings!$Q$27,"",OFFSET('ESPN Data'!D$3,$A85,0,1,1))</f>
        <v/>
      </c>
      <c r="K85" s="255" t="str">
        <f ca="1">IF('Point Data'!D85&gt;Standings!$Q$27,"",OFFSET('ESPN Data'!E$3,$A85,0,1,1))</f>
        <v/>
      </c>
      <c r="L85" s="338" t="str">
        <f ca="1">IF('Point Data'!D85&gt;Standings!$Q$27,"",OFFSET('ESPN Data'!I$3,$A85,0,1,1))</f>
        <v/>
      </c>
      <c r="M85" s="339" t="str">
        <f ca="1">IF('Point Data'!D85&gt;Standings!$Q$27,"",OFFSET('ESPN Data'!I$3,$A85,-2,1,1))</f>
        <v/>
      </c>
      <c r="N85" s="339" t="str">
        <f>IF('Point Data'!D85&gt;Standings!$Q$27,"",SUMIFS($M$2:$M$225,$D$2:$D$225,D85,$C$2:$C$225,C85))</f>
        <v/>
      </c>
      <c r="O85" s="339" t="str">
        <f>IF('Point Data'!D85&gt;Standings!$Q$27,"",SUMIFS($L$2:$L$225,$D$2:$D$225,$D85,$C$2:$C$225,$C85))</f>
        <v/>
      </c>
      <c r="P85" s="339" t="str">
        <f>IF('Point Data'!D85&gt;Standings!$Q$27,"",SUMIFS($M$2:$M$225,$D$2:$D$225,D85))</f>
        <v/>
      </c>
      <c r="Q85" s="339" t="str">
        <f>IF('Point Data'!D85&gt;Standings!$Q$27,"",SUMIFS($L$2:$L$225,$D$2:$D$225,D85))</f>
        <v/>
      </c>
      <c r="R85" s="265" t="str">
        <f>IF($D85&gt;Standings!$Q$27,"",IF(U85="T",(Z85+0.5)/(D85)*100,(Z85/D85)*100))</f>
        <v/>
      </c>
      <c r="S85" s="261" t="str">
        <f>IF($D85&gt;Standings!$Q$27,"",$J85-$K85)</f>
        <v/>
      </c>
      <c r="T85" s="261" t="str">
        <f ca="1">IF($D85&gt;Standings!$Q$27,"",AVERAGE(OFFSET(S85,(-$D85+1),0,1,1):S85))</f>
        <v/>
      </c>
      <c r="U85" s="257" t="str">
        <f>IF($D85&gt;Standings!$Q$27,"",IF(J85&gt;K85,1,IF(J85=K85,"T",0)))</f>
        <v/>
      </c>
      <c r="V85" s="268" t="str">
        <f>IF($D85&gt;Standings!$Q$27,"",SUMIFS($U$2:$U$225,$D$2:$D$225,"&lt;="&amp;$D85,$B$2:$B$225,$B85,$F$2:$F$225,"Non Conf"))</f>
        <v/>
      </c>
      <c r="W85" s="268" t="str">
        <f ca="1">IF($D85&gt;Standings!$Q$27,"",$V85&amp;"-"&amp;COUNTIF(OFFSET($F85,(-$D85+1),0,1,1):$F85,"Non Conf")-$V85)</f>
        <v/>
      </c>
      <c r="X85" s="268" t="str">
        <f>IF($D85&gt;Standings!$Q$27,"",SUMIFS($U$2:$U$225,$D$2:$D$225,"&lt;="&amp;$D85,$B$2:$B$225,$B85,$F$2:$F$225,"Conf"))</f>
        <v/>
      </c>
      <c r="Y85" s="268" t="str">
        <f ca="1">IF($D85&gt;Standings!$Q$27,"",$X85&amp;"-"&amp;COUNTIF(OFFSET($F85,(-$D85+1),0,1,1):$F85,"Conf")-$X85)</f>
        <v/>
      </c>
      <c r="Z85" s="268" t="str">
        <f ca="1">IF($D85&gt;Standings!$Q$27,"",SUM(OFFSET(U85,(-$D85+1),0,1,1):U85))</f>
        <v/>
      </c>
      <c r="AA85" s="257" t="str">
        <f>IF($D85&gt;Standings!$Q$27,"",IF(U85=1,1+AA83,0))</f>
        <v/>
      </c>
      <c r="AB85" s="258" t="str">
        <f>IF($D85&gt;Standings!$Q$27,"",IF(AA85=0,1+AB83,0))</f>
        <v/>
      </c>
      <c r="AC85" s="259" t="str">
        <f ca="1">IF($D85&gt;Standings!$Q$27,"",SUM(OFFSET(J85,(-$D85+1),0,1,1):J85))</f>
        <v/>
      </c>
      <c r="AD85" s="255" t="str">
        <f ca="1">IF($D85&gt;Standings!$Q$27,"",SUM(OFFSET(K85,(-$D85+1),0,1,1):K85))</f>
        <v/>
      </c>
      <c r="AE85" s="255" t="str">
        <f>IF($D85&gt;Standings!$Q$27,"",$J85-$K85)</f>
        <v/>
      </c>
      <c r="AF85" s="255" t="str">
        <f>IF($D85&gt;Standings!$Q$27,"",AC85-AD85)</f>
        <v/>
      </c>
      <c r="AG85" s="257" t="str">
        <f>IF($D85&gt;Standings!$Q$27,"",(COUNTIFS($D$2:$D$225,$D85,$C$2:$C$225,$C85,$AC$2:$AC$225,"&lt;"&amp;$AC85)+1)*0.01)</f>
        <v/>
      </c>
      <c r="AH85" s="257" t="str">
        <f>IF($D85&gt;Standings!$Q$27,"",Z85+AG85)</f>
        <v/>
      </c>
      <c r="AI85" s="268"/>
      <c r="AJ85" s="268" t="str">
        <f t="array" ref="AJ85">IF($D85&gt;Standings!$Q$27,"",(COUNTIFS($D$2:$D$225,$D85,$C$2:$C$225,$C85,$AM$2:$AM$225,"&gt;"&amp;$AM85)+1))</f>
        <v/>
      </c>
      <c r="AK85" s="268" t="str">
        <f t="array" ref="AK85">IF($D85&gt;Standings!$Q$27,"",IF((COUNTIFS($D$2:$D$225,$D85,$C$2:$C$225,$C85,$AH$2:$AH$225,"&gt;"&amp;$AH85)+1)=2,1,0))</f>
        <v/>
      </c>
      <c r="AL85" s="268" t="str">
        <f t="array" ref="AL85">IF($D85&gt;Standings!$Q$27,"",IF((COUNTIFS($D$2:$D$225,$D85,$C$2:$C$225,$C85,$AH$2:$AH$225,"&gt;"&amp;$AH85)+1)&lt;2,1,0))</f>
        <v/>
      </c>
      <c r="AM85" s="268" t="str">
        <f>IF($D85&gt;Standings!$Q$27,"",IF(AL85=1,200+Z85+(16-AQ85)*0.01+AI85,IF(AK85=1,100+Z85+(16-AQ85)*0.01+AI85,IF(AN85=1,50+Z85+(16-AQ85)*0.01,IF(AO85=1,15+Z85+(16-AQ85)*0.01,Z85+(16-AQ85)*0.01+AI85)))))</f>
        <v/>
      </c>
      <c r="AN85" s="268" t="str">
        <f>IF($D85&gt;Standings!$Q$27,"",IF(OR($AK85=1,$AL85=1),"Conf Playoff Spot",COUNTIFS($AL$2:$AL$225,0,$AK$2:$AK$225,0,$C$2:$C$225,$C85,$D$2:$D$225,$D85,$AC$2:$AC$225,"&gt;"&amp;$AC85)+1))</f>
        <v/>
      </c>
      <c r="AO85" s="268" t="str">
        <f t="array" ref="AO85">IF($D85&gt;Standings!$Q$27,"",IF(OR($AK85=1,$AL85=1),"Conf Playoff Spot",COUNTIFS($AK$2:$AK$225,0,$AL$2:$AL$225,0,$D$2:$D$225,$D85,$AH$2:$AH$225,"&gt;"&amp;$AH85)+1))</f>
        <v/>
      </c>
      <c r="AP85" s="268" t="str">
        <f t="array" ref="AP85">IF($D85&gt;Standings!$Q$27,"",(COUNTIFS($D$2:$D$225,$D85,$J$2:$J$225,"&gt;"&amp;$J85)+1))</f>
        <v/>
      </c>
      <c r="AQ85" s="256" t="str">
        <f>IF($D85&gt;Standings!$Q$27,"",(COUNTIFS($D$2:$D$225,$D85,$AC$2:$AC$225,"&gt;"&amp;$AC85)+1))</f>
        <v/>
      </c>
      <c r="AR85" s="256" t="str">
        <f>IF($D85&gt;Standings!$Q$27,"",(COUNTIFS($D$2:$D$225,$D85,$K$2:$K$225,"&gt;"&amp;$K85)+1))</f>
        <v/>
      </c>
      <c r="AS85" s="256" t="str">
        <f>IF($D85&gt;Standings!$Q$27,"",(COUNTIFS($D$2:$D$225,$D85,$AD$2:$AD$225,"&gt;"&amp;$AD85)+1))</f>
        <v/>
      </c>
      <c r="AT85" s="355" t="str">
        <f>IF($D85&gt;Standings!$Q$27,"",SUMIFS($J$2:$J$225,$D$2:$D$225,$D85,$C$2:$C$225,$C85))</f>
        <v/>
      </c>
      <c r="AU85" s="261" t="str">
        <f>IF($D85&gt;Standings!$Q$27,"",SUMIFS($AC$2:$AC$225,$D$2:$D$225,$D85,$C$2:$C$225,$C85))</f>
        <v/>
      </c>
    </row>
    <row r="86" spans="1:47">
      <c r="A86" s="190">
        <f t="shared" si="1"/>
        <v>6</v>
      </c>
      <c r="B86" s="197" t="str">
        <f>'ESPN Data'!$L$10</f>
        <v>Team 7</v>
      </c>
      <c r="C86" s="345" t="str">
        <f>VLOOKUP(B86,'ESPN Data'!$L$4:$M$19,2,FALSE)</f>
        <v>Bone</v>
      </c>
      <c r="D86" s="396">
        <v>1</v>
      </c>
      <c r="E86" s="266" t="str">
        <f t="array" ref="E86">INDEX('ESPN Data'!$C$3:$C$226,MATCH(1,('ESPN Data'!$A$3:$A$226='Point Data'!$D86)*('ESPN Data'!$B$3:$B$226='Point Data'!$B86),0))</f>
        <v>Team 12</v>
      </c>
      <c r="F86" s="242" t="str">
        <f>IF(C86&lt;&gt;VLOOKUP($E86,'ESPN Data'!$L$4:$M$19,2,FALSE),"Non Conf", "Conf")</f>
        <v>Non Conf</v>
      </c>
      <c r="G86" s="237">
        <f t="array" aca="1" ref="G86" ca="1">IF('Point Data'!$D86&gt;Standings!$Q$27,"",(COUNTIFS($D$2:$D$225,$D86,$AM$2:$AM$225,"&gt;"&amp;$AM86)+1))</f>
        <v>9</v>
      </c>
      <c r="H86" s="241">
        <f>IF('Point Data'!$D86&gt;Standings!$Q$27,"",VLOOKUP($B86,'ESPN Data'!$L$4:$N$19,3,FALSE))</f>
        <v>2</v>
      </c>
      <c r="I86" s="240">
        <f ca="1">IF('Point Data'!$D86&gt;Standings!$Q$27,"",H86-G86)</f>
        <v>-7</v>
      </c>
      <c r="J86" s="241">
        <f ca="1">IF('Point Data'!D86&gt;Standings!$Q$27,"",OFFSET('ESPN Data'!D$3,$A86,0,1,1))</f>
        <v>103.56</v>
      </c>
      <c r="K86" s="239">
        <f ca="1">IF('Point Data'!D86&gt;Standings!$Q$27,"",OFFSET('ESPN Data'!E$3,$A86,0,1,1))</f>
        <v>97.6</v>
      </c>
      <c r="L86" s="336">
        <f ca="1">IF('Point Data'!D86&gt;Standings!$Q$27,"",OFFSET('ESPN Data'!I$3,$A86,0,1,1))</f>
        <v>100</v>
      </c>
      <c r="M86" s="336">
        <f ca="1">IF('Point Data'!D86&gt;Standings!$Q$27,"",OFFSET('ESPN Data'!I$3,$A86,-2,1,1))</f>
        <v>0</v>
      </c>
      <c r="N86" s="336">
        <f ca="1">IF('Point Data'!D86&gt;Standings!$Q$27,"",SUMIFS($M$2:$M$225,$D$2:$D$225,D86,$C$2:$C$225,C86))</f>
        <v>3</v>
      </c>
      <c r="O86" s="336">
        <f ca="1">IF('Point Data'!D86&gt;Standings!$Q$27,"",SUMIFS($L$2:$L$225,$D$2:$D$225,$D86,$C$2:$C$225,$C86))</f>
        <v>797</v>
      </c>
      <c r="P86" s="336">
        <f ca="1">IF('Point Data'!D86&gt;Standings!$Q$27,"",SUMIFS($M$2:$M$225,$D$2:$D$225,D86))</f>
        <v>3</v>
      </c>
      <c r="Q86" s="336">
        <f ca="1">IF('Point Data'!D86&gt;Standings!$Q$27,"",SUMIFS($L$2:$L$225,$D$2:$D$225,$D86))</f>
        <v>1597</v>
      </c>
      <c r="R86" s="240">
        <f ca="1">IF($D86&gt;Standings!$Q$27,"",IF(U86="T",(Z86+0.5)/(D86)*100,(Z86/D86)*100))</f>
        <v>100</v>
      </c>
      <c r="S86" s="245">
        <f ca="1">IF($D86&gt;Standings!$Q$27,"",$J86-$K86)</f>
        <v>5.960000000000008</v>
      </c>
      <c r="T86" s="245">
        <f ca="1">IF($D86&gt;Standings!$Q$27,"",AVERAGE(OFFSET(S86,(-$D86+1),0,1,1):S86))</f>
        <v>5.960000000000008</v>
      </c>
      <c r="U86" s="241">
        <f ca="1">IF($D86&gt;Standings!$Q$27,"",IF(J86&gt;K86,1,IF(J86=K86,"T",0)))</f>
        <v>1</v>
      </c>
      <c r="V86" s="266">
        <f ca="1">IF($D86&gt;Standings!$Q$27,"",IF(F86="Conf",0,SUMIFS($U$2:$U$225,$D$2:$D$225,"&lt;="&amp;$D86,$B$2:$B$225,$B86,$F$2:$F$225,"Non Conf")))</f>
        <v>1</v>
      </c>
      <c r="W86" s="266" t="str">
        <f ca="1">IF($D86&gt;Standings!$Q$27,"",$V86&amp;"-"&amp;COUNTIF(OFFSET($F86,(-$D86+1),0,1,1):$F86,"Non Conf")-$V86)</f>
        <v>1-0</v>
      </c>
      <c r="X86" s="266">
        <f>IF($D86&gt;Standings!$Q$27,"",SUMIFS($U$2:$U$225,$D$2:$D$225,"&lt;="&amp;$D86,$B$2:$B$225,$B86,$F$2:$F$225,"Conf"))</f>
        <v>0</v>
      </c>
      <c r="Y86" s="266" t="str">
        <f ca="1">IF($D86&gt;Standings!$Q$27,"",$X86&amp;"-"&amp;COUNTIF(OFFSET($F86,(-$D86+1),0,1,1):$F86,"Conf")-$X86)</f>
        <v>0-0</v>
      </c>
      <c r="Z86" s="266">
        <f ca="1">IF($D86&gt;Standings!$Q$27,"",SUM(OFFSET(U86,(-$D86+1),0,1,1):U86))</f>
        <v>1</v>
      </c>
      <c r="AA86" s="241">
        <f ca="1">IF($D86&gt;Standings!$Q$27,"",IF(U86=1,1,0))</f>
        <v>1</v>
      </c>
      <c r="AB86" s="242">
        <f ca="1">IF($D86&gt;Standings!$Q$27,"",IF(AA86=0,1,0))</f>
        <v>0</v>
      </c>
      <c r="AC86" s="243">
        <f ca="1">IF($D86&gt;Standings!$Q$27,"",SUM(OFFSET(J86,(-$D86+1),0,1,1):J86))</f>
        <v>103.56</v>
      </c>
      <c r="AD86" s="239">
        <f ca="1">IF($D86&gt;Standings!$Q$27,"",SUM(OFFSET(K86,(-$D86+1),0,1,1):K86))</f>
        <v>97.6</v>
      </c>
      <c r="AE86" s="239">
        <f ca="1">IF($D86&gt;Standings!$Q$27,"",$J86-$K86)</f>
        <v>5.960000000000008</v>
      </c>
      <c r="AF86" s="239">
        <f ca="1">IF($D86&gt;Standings!$Q$27,"",AC86-AD86)</f>
        <v>5.960000000000008</v>
      </c>
      <c r="AG86" s="241">
        <f ca="1">IF($D86&gt;Standings!$Q$27,"",(COUNTIFS($D$2:$D$225,$D86,$C$2:$C$225,$C86,$AC$2:$AC$225,"&lt;"&amp;$AC86)+1)*0.01)</f>
        <v>0.04</v>
      </c>
      <c r="AH86" s="241">
        <f ca="1">IF($D86&gt;Standings!$Q$27,"",Z86+AG86)</f>
        <v>1.04</v>
      </c>
      <c r="AI86" s="266"/>
      <c r="AJ86" s="266">
        <f t="array" aca="1" ref="AJ86" ca="1">IF($D86&gt;Standings!$Q$27,"",(COUNTIFS($D$2:$D$225,$D86,$C$2:$C$225,$C86,$AM$2:$AM$225,"&gt;"&amp;$AM86)+1))</f>
        <v>5</v>
      </c>
      <c r="AK86" s="266">
        <f t="array" aca="1" ref="AK86" ca="1">IF($D86&gt;Standings!$Q$27,"",IF((COUNTIFS($D$2:$D$225,$D86,$C$2:$C$225,$C86,$AH$2:$AH$225,"&gt;"&amp;$AH86)+1)=2,1,0))</f>
        <v>0</v>
      </c>
      <c r="AL86" s="266">
        <f t="array" aca="1" ref="AL86" ca="1">IF($D86&gt;Standings!$Q$27,"",IF((COUNTIFS($D$2:$D$225,$D86,$C$2:$C$225,$C86,$AH$2:$AH$225,"&gt;"&amp;$AH86)+1)&lt;2,1,0))</f>
        <v>0</v>
      </c>
      <c r="AM86" s="266">
        <f ca="1">IF($D86&gt;Standings!$Q$27,"",IF(AL86=1,200+Z86+(16-AQ86)*0.01+AI86,IF(AK86=1,100+Z86+(16-AQ86)*0.01+AI86,IF(AN86=1,50+Z86+(16-AQ86)*0.01,IF(AO86=1,15+Z86+(16-AQ86)*0.01,Z86+(16-AQ86)*0.01+AI86)))))</f>
        <v>1.07</v>
      </c>
      <c r="AN86" s="266">
        <f ca="1">IF($D86&gt;Standings!$Q$27,"",IF(OR($AK86=1,$AL86=1),"Conf Playoff Spot",COUNTIFS($AL$2:$AL$225,0,$AK$2:$AK$225,0,$C$2:$C$225,$C86,$D$2:$D$225,$D86,$AC$2:$AC$225,"&gt;"&amp;$AC86)+1))</f>
        <v>3</v>
      </c>
      <c r="AO86" s="266">
        <f t="array" aca="1" ref="AO86" ca="1">IF($D86&gt;Standings!$Q$27,"",IF(OR($AK86=1,$AL86=1),"Conf Playoff Spot",COUNTIFS($AK$2:$AK$225,0,$AL$2:$AL$225,0,$D$2:$D$225,$D86,$AH$2:$AH$225,"&gt;"&amp;$AH86)+1))</f>
        <v>2</v>
      </c>
      <c r="AP86" s="266">
        <f t="array" aca="1" ref="AP86" ca="1">IF($D86&gt;Standings!$Q$27,"",(COUNTIFS($D$2:$D$225,$D86,$J$2:$J$225,"&gt;"&amp;$J86)+1))</f>
        <v>9</v>
      </c>
      <c r="AQ86" s="241">
        <f ca="1">IF($D86&gt;Standings!$Q$27,"",(COUNTIFS($D$2:$D$225,$D86,$AC$2:$AC$225,"&gt;"&amp;$AC86)+1))</f>
        <v>9</v>
      </c>
      <c r="AR86" s="241">
        <f ca="1">IF($D86&gt;Standings!$Q$27,"",(COUNTIFS($D$2:$D$225,$D86,$K$2:$K$225,"&gt;"&amp;$K86)+1))</f>
        <v>11</v>
      </c>
      <c r="AS86" s="241">
        <f ca="1">IF($D86&gt;Standings!$Q$27,"",(COUNTIFS($D$2:$D$225,$D86,$AD$2:$AD$225,"&gt;"&amp;$AD86)+1))</f>
        <v>11</v>
      </c>
      <c r="AT86" s="357">
        <f ca="1">IF($D86&gt;Standings!$Q$27,"",SUMIFS($J$2:$J$225,$D$2:$D$225,$D86,$C$2:$C$225,$C86))</f>
        <v>827.09</v>
      </c>
      <c r="AU86" s="245">
        <f ca="1">IF($D86&gt;Standings!$Q$27,"",SUMIFS($AC$2:$AC$225,$D$2:$D$225,$D86,$C$2:$C$225,$C86))</f>
        <v>827.09</v>
      </c>
    </row>
    <row r="87" spans="1:47">
      <c r="A87" s="190">
        <f t="shared" si="1"/>
        <v>22</v>
      </c>
      <c r="B87" s="198" t="str">
        <f>'ESPN Data'!$L$10</f>
        <v>Team 7</v>
      </c>
      <c r="C87" s="346" t="str">
        <f>VLOOKUP(B87,'ESPN Data'!$L$4:$M$19,2,FALSE)</f>
        <v>Bone</v>
      </c>
      <c r="D87" s="397">
        <v>2</v>
      </c>
      <c r="E87" s="267" t="str">
        <f t="array" ref="E87">INDEX('ESPN Data'!$C$3:$C$226,MATCH(1,('ESPN Data'!$A$3:$A$226='Point Data'!$D87)*('ESPN Data'!$B$3:$B$226='Point Data'!$B87),0))</f>
        <v>Team 3</v>
      </c>
      <c r="F87" s="250" t="str">
        <f>IF(C87&lt;&gt;VLOOKUP($E87,'ESPN Data'!$L$4:$M$19,2,FALSE),"Non Conf", "Conf")</f>
        <v>Conf</v>
      </c>
      <c r="G87" s="246">
        <f t="array" aca="1" ref="G87" ca="1">IF('Point Data'!$D87&gt;Standings!$Q$27,"",(COUNTIFS($D$2:$D$225,$D87,$AM$2:$AM$225,"&gt;"&amp;$AM87)+1))</f>
        <v>2</v>
      </c>
      <c r="H87" s="172">
        <f ca="1">IF('Point Data'!$D87&gt;Standings!$Q$27,"",$G86)</f>
        <v>9</v>
      </c>
      <c r="I87" s="249">
        <f ca="1">IF('Point Data'!D87&gt;Standings!$Q$27,"",H87-G87)</f>
        <v>7</v>
      </c>
      <c r="J87" s="172">
        <f ca="1">IF('Point Data'!D87&gt;Standings!$Q$27,"",OFFSET('ESPN Data'!D$3,$A87,0,1,1))</f>
        <v>117.67</v>
      </c>
      <c r="K87" s="248">
        <f ca="1">IF('Point Data'!D87&gt;Standings!$Q$27,"",OFFSET('ESPN Data'!E$3,$A87,0,1,1))</f>
        <v>110.03</v>
      </c>
      <c r="L87" s="337">
        <f ca="1">IF('Point Data'!D87&gt;Standings!$Q$27,"",OFFSET('ESPN Data'!I$3,$A87,0,1,1))</f>
        <v>100</v>
      </c>
      <c r="M87" s="337">
        <f ca="1">IF('Point Data'!D87&gt;Standings!$Q$27,"",OFFSET('ESPN Data'!I$3,$A87,-2,1,1))</f>
        <v>0</v>
      </c>
      <c r="N87" s="337">
        <f ca="1">IF('Point Data'!D87&gt;Standings!$Q$27,"",SUMIFS($M$2:$M$225,$D$2:$D$225,D87,$C$2:$C$225,C87))</f>
        <v>44</v>
      </c>
      <c r="O87" s="337">
        <f ca="1">IF('Point Data'!D87&gt;Standings!$Q$27,"",SUMIFS($L$2:$L$225,$D$2:$D$225,$D87,$C$2:$C$225,$C87))</f>
        <v>753</v>
      </c>
      <c r="P87" s="337">
        <f ca="1">IF('Point Data'!D87&gt;Standings!$Q$27,"",SUMIFS($M$2:$M$225,$D$2:$D$225,D87))</f>
        <v>73</v>
      </c>
      <c r="Q87" s="337">
        <f ca="1">IF('Point Data'!D87&gt;Standings!$Q$27,"",SUMIFS($L$2:$L$225,$D$2:$D$225,D87))</f>
        <v>1524</v>
      </c>
      <c r="R87" s="249">
        <f ca="1">IF($D87&gt;Standings!$Q$27,"",IF(U87="T",(Z87+0.5)/(D87)*100,(Z87/D87)*100))</f>
        <v>100</v>
      </c>
      <c r="S87" s="253">
        <f ca="1">IF($D87&gt;Standings!$Q$27,"",$J87-$K87)</f>
        <v>7.6400000000000006</v>
      </c>
      <c r="T87" s="253">
        <f ca="1">IF($D87&gt;Standings!$Q$27,"",AVERAGE(OFFSET(S87,(-$D87+1),0,1,1):S87))</f>
        <v>6.8000000000000043</v>
      </c>
      <c r="U87" s="172">
        <f ca="1">IF($D87&gt;Standings!$Q$27,"",IF(J87&gt;K87,1,IF(J87=K87,"T",0)))</f>
        <v>1</v>
      </c>
      <c r="V87" s="267">
        <f ca="1">IF($D87&gt;Standings!$Q$27,"",IF(F87="Conf",V86,SUMIFS($U$2:$U$225,$D$2:$D$225,"&lt;="&amp;$D87,$B$2:$B$225,$B87,$F$2:$F$225,"Non Conf")))</f>
        <v>1</v>
      </c>
      <c r="W87" s="267" t="str">
        <f ca="1">IF($D87&gt;Standings!$Q$27,"",$V87&amp;"-"&amp;COUNTIF(OFFSET($F87,(-$D87+1),0,1,1):$F87,"Non Conf")-$V87)</f>
        <v>1-0</v>
      </c>
      <c r="X87" s="267">
        <f ca="1">IF($D87&gt;Standings!$Q$27,"",SUMIFS($U$2:$U$225,$D$2:$D$225,"&lt;="&amp;$D87,$B$2:$B$225,$B87,$F$2:$F$225,"Conf"))</f>
        <v>1</v>
      </c>
      <c r="Y87" s="267" t="str">
        <f ca="1">IF($D87&gt;Standings!$Q$27,"",$X87&amp;"-"&amp;COUNTIF(OFFSET($F87,(-$D87+1),0,1,1):$F87,"Conf")-$X87)</f>
        <v>1-0</v>
      </c>
      <c r="Z87" s="267">
        <f ca="1">IF($D87&gt;Standings!$Q$27,"",SUM(OFFSET(U87,(-$D87+1),0,1,1):U87))</f>
        <v>2</v>
      </c>
      <c r="AA87" s="172">
        <f ca="1">IF($D87&gt;Standings!$Q$27,"",IF(U87=1,1+AA86,0))</f>
        <v>2</v>
      </c>
      <c r="AB87" s="250">
        <f ca="1">IF($D87&gt;Standings!$Q$27,"",IF(AA87=0,1+AB86,0))</f>
        <v>0</v>
      </c>
      <c r="AC87" s="251">
        <f ca="1">IF($D87&gt;Standings!$Q$27,"",SUM(OFFSET(J87,(-$D87+1),0,1,1):J87))</f>
        <v>221.23000000000002</v>
      </c>
      <c r="AD87" s="248">
        <f ca="1">IF($D87&gt;Standings!$Q$27,"",SUM(OFFSET(K87,(-$D87+1),0,1,1):K87))</f>
        <v>207.63</v>
      </c>
      <c r="AE87" s="248">
        <f ca="1">IF($D87&gt;Standings!$Q$27,"",$J87-$K87)</f>
        <v>7.6400000000000006</v>
      </c>
      <c r="AF87" s="248">
        <f ca="1">IF($D87&gt;Standings!$Q$27,"",AC87-AD87)</f>
        <v>13.600000000000023</v>
      </c>
      <c r="AG87" s="172">
        <f ca="1">IF($D87&gt;Standings!$Q$27,"",(COUNTIFS($D$2:$D$225,$D87,$C$2:$C$225,$C87,$AC$2:$AC$225,"&lt;"&amp;$AC87)+1)*0.01)</f>
        <v>0.06</v>
      </c>
      <c r="AH87" s="172">
        <f ca="1">IF($D87&gt;Standings!$Q$27,"",Z87+AG87)</f>
        <v>2.06</v>
      </c>
      <c r="AI87" s="267"/>
      <c r="AJ87" s="267">
        <f t="array" aca="1" ref="AJ87" ca="1">IF($D87&gt;Standings!$Q$27,"",(COUNTIFS($D$2:$D$225,$D87,$C$2:$C$225,$C87,$AM$2:$AM$225,"&gt;"&amp;$AM87)+1))</f>
        <v>1</v>
      </c>
      <c r="AK87" s="267">
        <f t="array" aca="1" ref="AK87" ca="1">IF($D87&gt;Standings!$Q$27,"",IF((COUNTIFS($D$2:$D$225,$D87,$C$2:$C$225,$C87,$AH$2:$AH$225,"&gt;"&amp;$AH87)+1)=2,1,0))</f>
        <v>0</v>
      </c>
      <c r="AL87" s="267">
        <f t="array" aca="1" ref="AL87" ca="1">IF($D87&gt;Standings!$Q$27,"",IF((COUNTIFS($D$2:$D$225,$D87,$C$2:$C$225,$C87,$AH$2:$AH$225,"&gt;"&amp;$AH87)+1)&lt;2,1,0))</f>
        <v>1</v>
      </c>
      <c r="AM87" s="267">
        <f ca="1">IF($D87&gt;Standings!$Q$27,"",IF(AL87=1,200+Z87+(16-AQ87)*0.01+AI87,IF(AK87=1,100+Z87+(16-AQ87)*0.01+AI87,IF(AN87=1,50+Z87+(16-AQ87)*0.01,IF(AO87=1,15+Z87+(16-AQ87)*0.01,Z87+(16-AQ87)*0.01+AI87)))))</f>
        <v>202.08</v>
      </c>
      <c r="AN87" s="267" t="str">
        <f ca="1">IF($D87&gt;Standings!$Q$27,"",IF(OR($AK87=1,$AL87=1),"Conf Playoff Spot",COUNTIFS($AL$2:$AL$225,0,$AK$2:$AK$225,0,$C$2:$C$225,$C87,$D$2:$D$225,$D87,$AC$2:$AC$225,"&gt;"&amp;$AC87)+1))</f>
        <v>Conf Playoff Spot</v>
      </c>
      <c r="AO87" s="267" t="str">
        <f t="array" aca="1" ref="AO87" ca="1">IF($D87&gt;Standings!$Q$27,"",IF(OR($AK87=1,$AL87=1),"Conf Playoff Spot",COUNTIFS($AK$2:$AK$225,0,$AL$2:$AL$225,0,$D$2:$D$225,$D87,$AH$2:$AH$225,"&gt;"&amp;$AH87)+1))</f>
        <v>Conf Playoff Spot</v>
      </c>
      <c r="AP87" s="267">
        <f t="array" aca="1" ref="AP87" ca="1">IF($D87&gt;Standings!$Q$27,"",(COUNTIFS($D$2:$D$225,$D87,$J$2:$J$225,"&gt;"&amp;$J87)+1))</f>
        <v>5</v>
      </c>
      <c r="AQ87" s="249">
        <f ca="1">IF($D87&gt;Standings!$Q$27,"",(COUNTIFS($D$2:$D$225,$D87,$AC$2:$AC$225,"&gt;"&amp;$AC87)+1))</f>
        <v>8</v>
      </c>
      <c r="AR87" s="249">
        <f ca="1">IF($D87&gt;Standings!$Q$27,"",(COUNTIFS($D$2:$D$225,$D87,$K$2:$K$225,"&gt;"&amp;$K87)+1))</f>
        <v>9</v>
      </c>
      <c r="AS87" s="249">
        <f ca="1">IF($D87&gt;Standings!$Q$27,"",(COUNTIFS($D$2:$D$225,$D87,$AD$2:$AD$225,"&gt;"&amp;$AD87)+1))</f>
        <v>11</v>
      </c>
      <c r="AT87" s="354">
        <f ca="1">IF($D87&gt;Standings!$Q$27,"",SUMIFS($J$2:$J$225,$D$2:$D$225,$D87,$C$2:$C$225,$C87))</f>
        <v>849.17</v>
      </c>
      <c r="AU87" s="253">
        <f ca="1">IF($D87&gt;Standings!$Q$27,"",SUMIFS($AC$2:$AC$225,$D$2:$D$225,$D87,$C$2:$C$225,$C87))</f>
        <v>1676.26</v>
      </c>
    </row>
    <row r="88" spans="1:47">
      <c r="A88" s="190">
        <f t="shared" si="1"/>
        <v>38</v>
      </c>
      <c r="B88" s="198" t="str">
        <f>'ESPN Data'!$L$10</f>
        <v>Team 7</v>
      </c>
      <c r="C88" s="346" t="str">
        <f>VLOOKUP(B88,'ESPN Data'!$L$4:$M$19,2,FALSE)</f>
        <v>Bone</v>
      </c>
      <c r="D88" s="397">
        <v>3</v>
      </c>
      <c r="E88" s="267" t="str">
        <f t="array" ref="E88">INDEX('ESPN Data'!$C$3:$C$226,MATCH(1,('ESPN Data'!$A$3:$A$226='Point Data'!$D88)*('ESPN Data'!$B$3:$B$226='Point Data'!$B88),0))</f>
        <v>Team 16</v>
      </c>
      <c r="F88" s="250" t="str">
        <f>IF(C88&lt;&gt;VLOOKUP($E88,'ESPN Data'!$L$4:$M$19,2,FALSE),"Non Conf", "Conf")</f>
        <v>Non Conf</v>
      </c>
      <c r="G88" s="246">
        <f t="array" aca="1" ref="G88" ca="1">IF('Point Data'!$D88&gt;Standings!$Q$27,"",(COUNTIFS($D$2:$D$225,$D88,$AM$2:$AM$225,"&gt;"&amp;$AM88)+1))</f>
        <v>2</v>
      </c>
      <c r="H88" s="172">
        <f ca="1">IF('Point Data'!$D88&gt;Standings!$Q$27,"",$G87)</f>
        <v>2</v>
      </c>
      <c r="I88" s="249">
        <f ca="1">IF('Point Data'!D88&gt;Standings!$Q$27,"",H88-G88)</f>
        <v>0</v>
      </c>
      <c r="J88" s="172">
        <f ca="1">IF('Point Data'!D88&gt;Standings!$Q$27,"",OFFSET('ESPN Data'!D$3,$A88,0,1,1))</f>
        <v>139.19</v>
      </c>
      <c r="K88" s="248">
        <f ca="1">IF('Point Data'!D88&gt;Standings!$Q$27,"",OFFSET('ESPN Data'!E$3,$A88,0,1,1))</f>
        <v>102.88</v>
      </c>
      <c r="L88" s="337">
        <f ca="1">IF('Point Data'!D88&gt;Standings!$Q$27,"",OFFSET('ESPN Data'!I$3,$A88,0,1,1))</f>
        <v>100</v>
      </c>
      <c r="M88" s="337">
        <f ca="1">IF('Point Data'!D88&gt;Standings!$Q$27,"",OFFSET('ESPN Data'!I$3,$A88,-2,1,1))</f>
        <v>0</v>
      </c>
      <c r="N88" s="337">
        <f ca="1">IF('Point Data'!D88&gt;Standings!$Q$27,"",SUMIFS($M$2:$M$225,$D$2:$D$225,D88,$C$2:$C$225,C88))</f>
        <v>25</v>
      </c>
      <c r="O88" s="337">
        <f ca="1">IF('Point Data'!D88&gt;Standings!$Q$27,"",SUMIFS($L$2:$L$225,$D$2:$D$225,$D88,$C$2:$C$225,$C88))</f>
        <v>728</v>
      </c>
      <c r="P88" s="337">
        <f ca="1">IF('Point Data'!D88&gt;Standings!$Q$27,"",SUMIFS($M$2:$M$225,$D$2:$D$225,D88))</f>
        <v>210</v>
      </c>
      <c r="Q88" s="337">
        <f ca="1">IF('Point Data'!D88&gt;Standings!$Q$27,"",SUMIFS($L$2:$L$225,$D$2:$D$225,D88))</f>
        <v>1314</v>
      </c>
      <c r="R88" s="249">
        <f ca="1">IF($D88&gt;Standings!$Q$27,"",IF(U88="T",(Z88+0.5)/(D88)*100,(Z88/D88)*100))</f>
        <v>100</v>
      </c>
      <c r="S88" s="253">
        <f ca="1">IF($D88&gt;Standings!$Q$27,"",$J88-$K88)</f>
        <v>36.31</v>
      </c>
      <c r="T88" s="253">
        <f ca="1">IF($D88&gt;Standings!$Q$27,"",AVERAGE(OFFSET(S88,(-$D88+1),0,1,1):S88))</f>
        <v>16.63666666666667</v>
      </c>
      <c r="U88" s="172">
        <f ca="1">IF($D88&gt;Standings!$Q$27,"",IF(J88&gt;K88,1,IF(J88=K88,"T",0)))</f>
        <v>1</v>
      </c>
      <c r="V88" s="267">
        <f ca="1">IF($D88&gt;Standings!$Q$27,"",IF(F88="Conf",V87,SUMIFS($U$2:$U$225,$D$2:$D$225,"&lt;="&amp;$D88,$B$2:$B$225,$B88,$F$2:$F$225,"Non Conf")))</f>
        <v>2</v>
      </c>
      <c r="W88" s="267" t="str">
        <f ca="1">IF($D88&gt;Standings!$Q$27,"",$V88&amp;"-"&amp;COUNTIF(OFFSET($F88,(-$D88+1),0,1,1):$F88,"Non Conf")-$V88)</f>
        <v>2-0</v>
      </c>
      <c r="X88" s="267">
        <f ca="1">IF($D88&gt;Standings!$Q$27,"",SUMIFS($U$2:$U$225,$D$2:$D$225,"&lt;="&amp;$D88,$B$2:$B$225,$B88,$F$2:$F$225,"Conf"))</f>
        <v>1</v>
      </c>
      <c r="Y88" s="267" t="str">
        <f ca="1">IF($D88&gt;Standings!$Q$27,"",$X88&amp;"-"&amp;COUNTIF(OFFSET($F88,(-$D88+1),0,1,1):$F88,"Conf")-$X88)</f>
        <v>1-0</v>
      </c>
      <c r="Z88" s="267">
        <f ca="1">IF($D88&gt;Standings!$Q$27,"",SUM(OFFSET(U88,(-$D88+1),0,1,1):U88))</f>
        <v>3</v>
      </c>
      <c r="AA88" s="172">
        <f ca="1">IF($D88&gt;Standings!$Q$27,"",IF(U88=1,1+AA87,0))</f>
        <v>3</v>
      </c>
      <c r="AB88" s="250">
        <f ca="1">IF($D88&gt;Standings!$Q$27,"",IF(AA88=0,1+AB87,0))</f>
        <v>0</v>
      </c>
      <c r="AC88" s="251">
        <f ca="1">IF($D88&gt;Standings!$Q$27,"",SUM(OFFSET(J88,(-$D88+1),0,1,1):J88))</f>
        <v>360.42</v>
      </c>
      <c r="AD88" s="248">
        <f ca="1">IF($D88&gt;Standings!$Q$27,"",SUM(OFFSET(K88,(-$D88+1),0,1,1):K88))</f>
        <v>310.51</v>
      </c>
      <c r="AE88" s="248">
        <f ca="1">IF($D88&gt;Standings!$Q$27,"",$J88-$K88)</f>
        <v>36.31</v>
      </c>
      <c r="AF88" s="248">
        <f ca="1">IF($D88&gt;Standings!$Q$27,"",AC88-AD88)</f>
        <v>49.910000000000025</v>
      </c>
      <c r="AG88" s="172">
        <f ca="1">IF($D88&gt;Standings!$Q$27,"",(COUNTIFS($D$2:$D$225,$D88,$C$2:$C$225,$C88,$AC$2:$AC$225,"&lt;"&amp;$AC88)+1)*0.01)</f>
        <v>7.0000000000000007E-2</v>
      </c>
      <c r="AH88" s="172">
        <f ca="1">IF($D88&gt;Standings!$Q$27,"",Z88+AG88)</f>
        <v>3.07</v>
      </c>
      <c r="AI88" s="267"/>
      <c r="AJ88" s="267">
        <f t="array" aca="1" ref="AJ88" ca="1">IF($D88&gt;Standings!$Q$27,"",(COUNTIFS($D$2:$D$225,$D88,$C$2:$C$225,$C88,$AM$2:$AM$225,"&gt;"&amp;$AM88)+1))</f>
        <v>1</v>
      </c>
      <c r="AK88" s="267">
        <f t="array" aca="1" ref="AK88" ca="1">IF($D88&gt;Standings!$Q$27,"",IF((COUNTIFS($D$2:$D$225,$D88,$C$2:$C$225,$C88,$AH$2:$AH$225,"&gt;"&amp;$AH88)+1)=2,1,0))</f>
        <v>0</v>
      </c>
      <c r="AL88" s="267">
        <f t="array" aca="1" ref="AL88" ca="1">IF($D88&gt;Standings!$Q$27,"",IF((COUNTIFS($D$2:$D$225,$D88,$C$2:$C$225,$C88,$AH$2:$AH$225,"&gt;"&amp;$AH88)+1)&lt;2,1,0))</f>
        <v>1</v>
      </c>
      <c r="AM88" s="267">
        <f ca="1">IF($D88&gt;Standings!$Q$27,"",IF(AL88=1,200+Z88+(16-AQ88)*0.01+AI88,IF(AK88=1,100+Z88+(16-AQ88)*0.01+AI88,IF(AN88=1,50+Z88+(16-AQ88)*0.01,IF(AO88=1,15+Z88+(16-AQ88)*0.01,Z88+(16-AQ88)*0.01+AI88)))))</f>
        <v>203.11</v>
      </c>
      <c r="AN88" s="267" t="str">
        <f ca="1">IF($D88&gt;Standings!$Q$27,"",IF(OR($AK88=1,$AL88=1),"Conf Playoff Spot",COUNTIFS($AL$2:$AL$225,0,$AK$2:$AK$225,0,$C$2:$C$225,$C88,$D$2:$D$225,$D88,$AC$2:$AC$225,"&gt;"&amp;$AC88)+1))</f>
        <v>Conf Playoff Spot</v>
      </c>
      <c r="AO88" s="267" t="str">
        <f t="array" aca="1" ref="AO88" ca="1">IF($D88&gt;Standings!$Q$27,"",IF(OR($AK88=1,$AL88=1),"Conf Playoff Spot",COUNTIFS($AK$2:$AK$225,0,$AL$2:$AL$225,0,$D$2:$D$225,$D88,$AH$2:$AH$225,"&gt;"&amp;$AH88)+1))</f>
        <v>Conf Playoff Spot</v>
      </c>
      <c r="AP88" s="267">
        <f t="array" aca="1" ref="AP88" ca="1">IF($D88&gt;Standings!$Q$27,"",(COUNTIFS($D$2:$D$225,$D88,$J$2:$J$225,"&gt;"&amp;$J88)+1))</f>
        <v>2</v>
      </c>
      <c r="AQ88" s="249">
        <f ca="1">IF($D88&gt;Standings!$Q$27,"",(COUNTIFS($D$2:$D$225,$D88,$AC$2:$AC$225,"&gt;"&amp;$AC88)+1))</f>
        <v>5</v>
      </c>
      <c r="AR88" s="249">
        <f ca="1">IF($D88&gt;Standings!$Q$27,"",(COUNTIFS($D$2:$D$225,$D88,$K$2:$K$225,"&gt;"&amp;$K88)+1))</f>
        <v>10</v>
      </c>
      <c r="AS88" s="249">
        <f ca="1">IF($D88&gt;Standings!$Q$27,"",(COUNTIFS($D$2:$D$225,$D88,$AD$2:$AD$225,"&gt;"&amp;$AD88)+1))</f>
        <v>13</v>
      </c>
      <c r="AT88" s="354">
        <f ca="1">IF($D88&gt;Standings!$Q$27,"",SUMIFS($J$2:$J$225,$D$2:$D$225,$D88,$C$2:$C$225,$C88))</f>
        <v>927.32</v>
      </c>
      <c r="AU88" s="253">
        <f ca="1">IF($D88&gt;Standings!$Q$27,"",SUMIFS($AC$2:$AC$225,$D$2:$D$225,$D88,$C$2:$C$225,$C88))</f>
        <v>2603.58</v>
      </c>
    </row>
    <row r="89" spans="1:47">
      <c r="A89" s="190">
        <f t="shared" si="1"/>
        <v>54</v>
      </c>
      <c r="B89" s="198" t="str">
        <f>'ESPN Data'!$L$10</f>
        <v>Team 7</v>
      </c>
      <c r="C89" s="346" t="str">
        <f>VLOOKUP(B89,'ESPN Data'!$L$4:$M$19,2,FALSE)</f>
        <v>Bone</v>
      </c>
      <c r="D89" s="397">
        <v>4</v>
      </c>
      <c r="E89" s="267" t="str">
        <f t="array" ref="E89">INDEX('ESPN Data'!$C$3:$C$226,MATCH(1,('ESPN Data'!$A$3:$A$226='Point Data'!$D89)*('ESPN Data'!$B$3:$B$226='Point Data'!$B89),0))</f>
        <v>Team 2</v>
      </c>
      <c r="F89" s="250" t="str">
        <f>IF(C89&lt;&gt;VLOOKUP($E89,'ESPN Data'!$L$4:$M$19,2,FALSE),"Non Conf", "Conf")</f>
        <v>Conf</v>
      </c>
      <c r="G89" s="246">
        <f t="array" aca="1" ref="G89" ca="1">IF('Point Data'!$D89&gt;Standings!$Q$27,"",(COUNTIFS($D$2:$D$225,$D89,$AM$2:$AM$225,"&gt;"&amp;$AM89)+1))</f>
        <v>4</v>
      </c>
      <c r="H89" s="172">
        <f ca="1">IF('Point Data'!$D89&gt;Standings!$Q$27,"",$G88)</f>
        <v>2</v>
      </c>
      <c r="I89" s="249">
        <f ca="1">IF('Point Data'!D89&gt;Standings!$Q$27,"",H89-G89)</f>
        <v>-2</v>
      </c>
      <c r="J89" s="172">
        <f ca="1">IF('Point Data'!D89&gt;Standings!$Q$27,"",OFFSET('ESPN Data'!D$3,$A89,0,1,1))</f>
        <v>87.35</v>
      </c>
      <c r="K89" s="248">
        <f ca="1">IF('Point Data'!D89&gt;Standings!$Q$27,"",OFFSET('ESPN Data'!E$3,$A89,0,1,1))</f>
        <v>121.29</v>
      </c>
      <c r="L89" s="337">
        <f ca="1">IF('Point Data'!D89&gt;Standings!$Q$27,"",OFFSET('ESPN Data'!I$3,$A89,0,1,1))</f>
        <v>100</v>
      </c>
      <c r="M89" s="337">
        <f ca="1">IF('Point Data'!D89&gt;Standings!$Q$27,"",OFFSET('ESPN Data'!I$3,$A89,-2,1,1))</f>
        <v>0</v>
      </c>
      <c r="N89" s="337">
        <f ca="1">IF('Point Data'!D89&gt;Standings!$Q$27,"",SUMIFS($M$2:$M$225,$D$2:$D$225,D89,$C$2:$C$225,C89))</f>
        <v>161</v>
      </c>
      <c r="O89" s="337">
        <f ca="1">IF('Point Data'!D89&gt;Standings!$Q$27,"",SUMIFS($L$2:$L$225,$D$2:$D$225,$D89,$C$2:$C$225,$C89))</f>
        <v>567</v>
      </c>
      <c r="P89" s="337">
        <f ca="1">IF('Point Data'!D89&gt;Standings!$Q$27,"",SUMIFS($M$2:$M$225,$D$2:$D$225,D89))</f>
        <v>171</v>
      </c>
      <c r="Q89" s="337">
        <f ca="1">IF('Point Data'!D89&gt;Standings!$Q$27,"",SUMIFS($L$2:$L$225,$D$2:$D$225,D89))</f>
        <v>1143</v>
      </c>
      <c r="R89" s="249">
        <f ca="1">IF($D89&gt;Standings!$Q$27,"",IF(U89="T",(Z89+0.5)/(D89)*100,(Z89/D89)*100))</f>
        <v>75</v>
      </c>
      <c r="S89" s="253">
        <f ca="1">IF($D89&gt;Standings!$Q$27,"",$J89-$K89)</f>
        <v>-33.940000000000012</v>
      </c>
      <c r="T89" s="253">
        <f ca="1">IF($D89&gt;Standings!$Q$27,"",AVERAGE(OFFSET(S89,(-$D89+1),0,1,1):S89))</f>
        <v>3.9924999999999997</v>
      </c>
      <c r="U89" s="172">
        <f ca="1">IF($D89&gt;Standings!$Q$27,"",IF(J89&gt;K89,1,IF(J89=K89,"T",0)))</f>
        <v>0</v>
      </c>
      <c r="V89" s="267">
        <f ca="1">IF($D89&gt;Standings!$Q$27,"",IF(F89="Conf",V88,SUMIFS($U$2:$U$225,$D$2:$D$225,"&lt;="&amp;$D89,$B$2:$B$225,$B89,$F$2:$F$225,"Non Conf")))</f>
        <v>2</v>
      </c>
      <c r="W89" s="267" t="str">
        <f ca="1">IF($D89&gt;Standings!$Q$27,"",$V89&amp;"-"&amp;COUNTIF(OFFSET($F89,(-$D89+1),0,1,1):$F89,"Non Conf")-$V89)</f>
        <v>2-0</v>
      </c>
      <c r="X89" s="267">
        <f ca="1">IF($D89&gt;Standings!$Q$27,"",SUMIFS($U$2:$U$225,$D$2:$D$225,"&lt;="&amp;$D89,$B$2:$B$225,$B89,$F$2:$F$225,"Conf"))</f>
        <v>1</v>
      </c>
      <c r="Y89" s="267" t="str">
        <f ca="1">IF($D89&gt;Standings!$Q$27,"",$X89&amp;"-"&amp;COUNTIF(OFFSET($F89,(-$D89+1),0,1,1):$F89,"Conf")-$X89)</f>
        <v>1-1</v>
      </c>
      <c r="Z89" s="267">
        <f ca="1">IF($D89&gt;Standings!$Q$27,"",SUM(OFFSET(U89,(-$D89+1),0,1,1):U89))</f>
        <v>3</v>
      </c>
      <c r="AA89" s="172">
        <f ca="1">IF($D89&gt;Standings!$Q$27,"",IF(U89=1,1+AA88,0))</f>
        <v>0</v>
      </c>
      <c r="AB89" s="250">
        <f ca="1">IF($D89&gt;Standings!$Q$27,"",IF(AA89=0,1+AB88,0))</f>
        <v>1</v>
      </c>
      <c r="AC89" s="251">
        <f ca="1">IF($D89&gt;Standings!$Q$27,"",SUM(OFFSET(J89,(-$D89+1),0,1,1):J89))</f>
        <v>447.77</v>
      </c>
      <c r="AD89" s="248">
        <f ca="1">IF($D89&gt;Standings!$Q$27,"",SUM(OFFSET(K89,(-$D89+1),0,1,1):K89))</f>
        <v>431.8</v>
      </c>
      <c r="AE89" s="248">
        <f ca="1">IF($D89&gt;Standings!$Q$27,"",$J89-$K89)</f>
        <v>-33.940000000000012</v>
      </c>
      <c r="AF89" s="248">
        <f ca="1">IF($D89&gt;Standings!$Q$27,"",AC89-AD89)</f>
        <v>15.96999999999997</v>
      </c>
      <c r="AG89" s="172">
        <f ca="1">IF($D89&gt;Standings!$Q$27,"",(COUNTIFS($D$2:$D$225,$D89,$C$2:$C$225,$C89,$AC$2:$AC$225,"&lt;"&amp;$AC89)+1)*0.01)</f>
        <v>0.06</v>
      </c>
      <c r="AH89" s="172">
        <f ca="1">IF($D89&gt;Standings!$Q$27,"",Z89+AG89)</f>
        <v>3.06</v>
      </c>
      <c r="AI89" s="267"/>
      <c r="AJ89" s="267">
        <f t="array" aca="1" ref="AJ89" ca="1">IF($D89&gt;Standings!$Q$27,"",(COUNTIFS($D$2:$D$225,$D89,$C$2:$C$225,$C89,$AM$2:$AM$225,"&gt;"&amp;$AM89)+1))</f>
        <v>2</v>
      </c>
      <c r="AK89" s="267">
        <f t="array" aca="1" ref="AK89" ca="1">IF($D89&gt;Standings!$Q$27,"",IF((COUNTIFS($D$2:$D$225,$D89,$C$2:$C$225,$C89,$AH$2:$AH$225,"&gt;"&amp;$AH89)+1)=2,1,0))</f>
        <v>1</v>
      </c>
      <c r="AL89" s="267">
        <f t="array" aca="1" ref="AL89" ca="1">IF($D89&gt;Standings!$Q$27,"",IF((COUNTIFS($D$2:$D$225,$D89,$C$2:$C$225,$C89,$AH$2:$AH$225,"&gt;"&amp;$AH89)+1)&lt;2,1,0))</f>
        <v>0</v>
      </c>
      <c r="AM89" s="267">
        <f ca="1">IF($D89&gt;Standings!$Q$27,"",IF(AL89=1,200+Z89+(16-AQ89)*0.01+AI89,IF(AK89=1,100+Z89+(16-AQ89)*0.01+AI89,IF(AN89=1,50+Z89+(16-AQ89)*0.01,IF(AO89=1,15+Z89+(16-AQ89)*0.01,Z89+(16-AQ89)*0.01+AI89)))))</f>
        <v>103.1</v>
      </c>
      <c r="AN89" s="267" t="str">
        <f ca="1">IF($D89&gt;Standings!$Q$27,"",IF(OR($AK89=1,$AL89=1),"Conf Playoff Spot",COUNTIFS($AL$2:$AL$225,0,$AK$2:$AK$225,0,$C$2:$C$225,$C89,$D$2:$D$225,$D89,$AC$2:$AC$225,"&gt;"&amp;$AC89)+1))</f>
        <v>Conf Playoff Spot</v>
      </c>
      <c r="AO89" s="267" t="str">
        <f t="array" aca="1" ref="AO89" ca="1">IF($D89&gt;Standings!$Q$27,"",IF(OR($AK89=1,$AL89=1),"Conf Playoff Spot",COUNTIFS($AK$2:$AK$225,0,$AL$2:$AL$225,0,$D$2:$D$225,$D89,$AH$2:$AH$225,"&gt;"&amp;$AH89)+1))</f>
        <v>Conf Playoff Spot</v>
      </c>
      <c r="AP89" s="267">
        <f t="array" aca="1" ref="AP89" ca="1">IF($D89&gt;Standings!$Q$27,"",(COUNTIFS($D$2:$D$225,$D89,$J$2:$J$225,"&gt;"&amp;$J89)+1))</f>
        <v>14</v>
      </c>
      <c r="AQ89" s="249">
        <f ca="1">IF($D89&gt;Standings!$Q$27,"",(COUNTIFS($D$2:$D$225,$D89,$AC$2:$AC$225,"&gt;"&amp;$AC89)+1))</f>
        <v>6</v>
      </c>
      <c r="AR89" s="249">
        <f ca="1">IF($D89&gt;Standings!$Q$27,"",(COUNTIFS($D$2:$D$225,$D89,$K$2:$K$225,"&gt;"&amp;$K89)+1))</f>
        <v>3</v>
      </c>
      <c r="AS89" s="249">
        <f ca="1">IF($D89&gt;Standings!$Q$27,"",(COUNTIFS($D$2:$D$225,$D89,$AD$2:$AD$225,"&gt;"&amp;$AD89)+1))</f>
        <v>10</v>
      </c>
      <c r="AT89" s="354">
        <f ca="1">IF($D89&gt;Standings!$Q$27,"",SUMIFS($J$2:$J$225,$D$2:$D$225,$D89,$C$2:$C$225,$C89))</f>
        <v>806.98</v>
      </c>
      <c r="AU89" s="253">
        <f ca="1">IF($D89&gt;Standings!$Q$27,"",SUMIFS($AC$2:$AC$225,$D$2:$D$225,$D89,$C$2:$C$225,$C89))</f>
        <v>3410.56</v>
      </c>
    </row>
    <row r="90" spans="1:47">
      <c r="A90" s="190">
        <f t="shared" si="1"/>
        <v>70</v>
      </c>
      <c r="B90" s="198" t="str">
        <f>'ESPN Data'!$L$10</f>
        <v>Team 7</v>
      </c>
      <c r="C90" s="346" t="str">
        <f>VLOOKUP(B90,'ESPN Data'!$L$4:$M$19,2,FALSE)</f>
        <v>Bone</v>
      </c>
      <c r="D90" s="397">
        <v>5</v>
      </c>
      <c r="E90" s="267" t="str">
        <f t="array" ref="E90">INDEX('ESPN Data'!$C$3:$C$226,MATCH(1,('ESPN Data'!$A$3:$A$226='Point Data'!$D90)*('ESPN Data'!$B$3:$B$226='Point Data'!$B90),0))</f>
        <v>Team 9</v>
      </c>
      <c r="F90" s="250" t="str">
        <f>IF(C90&lt;&gt;VLOOKUP($E90,'ESPN Data'!$L$4:$M$19,2,FALSE),"Non Conf", "Conf")</f>
        <v>Non Conf</v>
      </c>
      <c r="G90" s="246">
        <f t="array" aca="1" ref="G90" ca="1">IF('Point Data'!$D90&gt;Standings!$Q$27,"",(COUNTIFS($D$2:$D$225,$D90,$AM$2:$AM$225,"&gt;"&amp;$AM90)+1))</f>
        <v>5</v>
      </c>
      <c r="H90" s="172">
        <f ca="1">IF('Point Data'!$D90&gt;Standings!$Q$27,"",$G89)</f>
        <v>4</v>
      </c>
      <c r="I90" s="249">
        <f ca="1">IF('Point Data'!D90&gt;Standings!$Q$27,"",H90-G90)</f>
        <v>-1</v>
      </c>
      <c r="J90" s="172">
        <f ca="1">IF('Point Data'!D90&gt;Standings!$Q$27,"",OFFSET('ESPN Data'!D$3,$A90,0,1,1))</f>
        <v>113.92</v>
      </c>
      <c r="K90" s="248">
        <f ca="1">IF('Point Data'!D90&gt;Standings!$Q$27,"",OFFSET('ESPN Data'!E$3,$A90,0,1,1))</f>
        <v>137.87</v>
      </c>
      <c r="L90" s="337">
        <f ca="1">IF('Point Data'!D90&gt;Standings!$Q$27,"",OFFSET('ESPN Data'!I$3,$A90,0,1,1))</f>
        <v>100</v>
      </c>
      <c r="M90" s="337">
        <f ca="1">IF('Point Data'!D90&gt;Standings!$Q$27,"",OFFSET('ESPN Data'!I$3,$A90,-2,1,1))</f>
        <v>0</v>
      </c>
      <c r="N90" s="337">
        <f ca="1">IF('Point Data'!D90&gt;Standings!$Q$27,"",SUMIFS($M$2:$M$225,$D$2:$D$225,D90,$C$2:$C$225,C90))</f>
        <v>65</v>
      </c>
      <c r="O90" s="337">
        <f ca="1">IF('Point Data'!D90&gt;Standings!$Q$27,"",SUMIFS($L$2:$L$225,$D$2:$D$225,$D90,$C$2:$C$225,$C90))</f>
        <v>502</v>
      </c>
      <c r="P90" s="337">
        <f ca="1">IF('Point Data'!D90&gt;Standings!$Q$27,"",SUMIFS($M$2:$M$225,$D$2:$D$225,D90))</f>
        <v>104</v>
      </c>
      <c r="Q90" s="337">
        <f ca="1">IF('Point Data'!D90&gt;Standings!$Q$27,"",SUMIFS($L$2:$L$225,$D$2:$D$225,D90))</f>
        <v>1039</v>
      </c>
      <c r="R90" s="249">
        <f ca="1">IF($D90&gt;Standings!$Q$27,"",IF(U90="T",(Z90+0.5)/(D90)*100,(Z90/D90)*100))</f>
        <v>60</v>
      </c>
      <c r="S90" s="253">
        <f ca="1">IF($D90&gt;Standings!$Q$27,"",$J90-$K90)</f>
        <v>-23.950000000000003</v>
      </c>
      <c r="T90" s="253">
        <f ca="1">IF($D90&gt;Standings!$Q$27,"",AVERAGE(OFFSET(S90,(-$D90+1),0,1,1):S90))</f>
        <v>-1.5960000000000008</v>
      </c>
      <c r="U90" s="172">
        <f ca="1">IF($D90&gt;Standings!$Q$27,"",IF(J90&gt;K90,1,IF(J90=K90,"T",0)))</f>
        <v>0</v>
      </c>
      <c r="V90" s="267">
        <f ca="1">IF($D90&gt;Standings!$Q$27,"",IF(F90="Conf",V89,SUMIFS($U$2:$U$225,$D$2:$D$225,"&lt;="&amp;$D90,$B$2:$B$225,$B90,$F$2:$F$225,"Non Conf")))</f>
        <v>2</v>
      </c>
      <c r="W90" s="267" t="str">
        <f ca="1">IF($D90&gt;Standings!$Q$27,"",$V90&amp;"-"&amp;COUNTIF(OFFSET($F90,(-$D90+1),0,1,1):$F90,"Non Conf")-$V90)</f>
        <v>2-1</v>
      </c>
      <c r="X90" s="267">
        <f ca="1">IF($D90&gt;Standings!$Q$27,"",SUMIFS($U$2:$U$225,$D$2:$D$225,"&lt;="&amp;$D90,$B$2:$B$225,$B90,$F$2:$F$225,"Conf"))</f>
        <v>1</v>
      </c>
      <c r="Y90" s="267" t="str">
        <f ca="1">IF($D90&gt;Standings!$Q$27,"",$X90&amp;"-"&amp;COUNTIF(OFFSET($F90,(-$D90+1),0,1,1):$F90,"Conf")-$X90)</f>
        <v>1-1</v>
      </c>
      <c r="Z90" s="267">
        <f ca="1">IF($D90&gt;Standings!$Q$27,"",SUM(OFFSET(U90,(-$D90+1),0,1,1):U90))</f>
        <v>3</v>
      </c>
      <c r="AA90" s="172">
        <f ca="1">IF($D90&gt;Standings!$Q$27,"",IF(U90=1,1+AA89,0))</f>
        <v>0</v>
      </c>
      <c r="AB90" s="250">
        <f ca="1">IF($D90&gt;Standings!$Q$27,"",IF(AA90=0,1+AB89,0))</f>
        <v>2</v>
      </c>
      <c r="AC90" s="251">
        <f ca="1">IF($D90&gt;Standings!$Q$27,"",SUM(OFFSET(J90,(-$D90+1),0,1,1):J90))</f>
        <v>561.68999999999994</v>
      </c>
      <c r="AD90" s="248">
        <f ca="1">IF($D90&gt;Standings!$Q$27,"",SUM(OFFSET(K90,(-$D90+1),0,1,1):K90))</f>
        <v>569.67000000000007</v>
      </c>
      <c r="AE90" s="248">
        <f ca="1">IF($D90&gt;Standings!$Q$27,"",$J90-$K90)</f>
        <v>-23.950000000000003</v>
      </c>
      <c r="AF90" s="248">
        <f ca="1">IF($D90&gt;Standings!$Q$27,"",AC90-AD90)</f>
        <v>-7.9800000000001319</v>
      </c>
      <c r="AG90" s="172">
        <f ca="1">IF($D90&gt;Standings!$Q$27,"",(COUNTIFS($D$2:$D$225,$D90,$C$2:$C$225,$C90,$AC$2:$AC$225,"&lt;"&amp;$AC90)+1)*0.01)</f>
        <v>0.06</v>
      </c>
      <c r="AH90" s="172">
        <f ca="1">IF($D90&gt;Standings!$Q$27,"",Z90+AG90)</f>
        <v>3.06</v>
      </c>
      <c r="AI90" s="267"/>
      <c r="AJ90" s="267">
        <f t="array" aca="1" ref="AJ90" ca="1">IF($D90&gt;Standings!$Q$27,"",(COUNTIFS($D$2:$D$225,$D90,$C$2:$C$225,$C90,$AM$2:$AM$225,"&gt;"&amp;$AM90)+1))</f>
        <v>3</v>
      </c>
      <c r="AK90" s="267">
        <f t="array" aca="1" ref="AK90" ca="1">IF($D90&gt;Standings!$Q$27,"",IF((COUNTIFS($D$2:$D$225,$D90,$C$2:$C$225,$C90,$AH$2:$AH$225,"&gt;"&amp;$AH90)+1)=2,1,0))</f>
        <v>0</v>
      </c>
      <c r="AL90" s="267">
        <f t="array" aca="1" ref="AL90" ca="1">IF($D90&gt;Standings!$Q$27,"",IF((COUNTIFS($D$2:$D$225,$D90,$C$2:$C$225,$C90,$AH$2:$AH$225,"&gt;"&amp;$AH90)+1)&lt;2,1,0))</f>
        <v>0</v>
      </c>
      <c r="AM90" s="267">
        <f ca="1">IF($D90&gt;Standings!$Q$27,"",IF(AL90=1,200+Z90+(16-AQ90)*0.01+AI90,IF(AK90=1,100+Z90+(16-AQ90)*0.01+AI90,IF(AN90=1,50+Z90+(16-AQ90)*0.01,IF(AO90=1,15+Z90+(16-AQ90)*0.01,Z90+(16-AQ90)*0.01+AI90)))))</f>
        <v>53.1</v>
      </c>
      <c r="AN90" s="267">
        <f ca="1">IF($D90&gt;Standings!$Q$27,"",IF(OR($AK90=1,$AL90=1),"Conf Playoff Spot",COUNTIFS($AL$2:$AL$225,0,$AK$2:$AK$225,0,$C$2:$C$225,$C90,$D$2:$D$225,$D90,$AC$2:$AC$225,"&gt;"&amp;$AC90)+1))</f>
        <v>1</v>
      </c>
      <c r="AO90" s="267">
        <f t="array" aca="1" ref="AO90" ca="1">IF($D90&gt;Standings!$Q$27,"",IF(OR($AK90=1,$AL90=1),"Conf Playoff Spot",COUNTIFS($AK$2:$AK$225,0,$AL$2:$AL$225,0,$D$2:$D$225,$D90,$AH$2:$AH$225,"&gt;"&amp;$AH90)+1))</f>
        <v>1</v>
      </c>
      <c r="AP90" s="267">
        <f t="array" aca="1" ref="AP90" ca="1">IF($D90&gt;Standings!$Q$27,"",(COUNTIFS($D$2:$D$225,$D90,$J$2:$J$225,"&gt;"&amp;$J90)+1))</f>
        <v>6</v>
      </c>
      <c r="AQ90" s="249">
        <f ca="1">IF($D90&gt;Standings!$Q$27,"",(COUNTIFS($D$2:$D$225,$D90,$AC$2:$AC$225,"&gt;"&amp;$AC90)+1))</f>
        <v>6</v>
      </c>
      <c r="AR90" s="249">
        <f ca="1">IF($D90&gt;Standings!$Q$27,"",(COUNTIFS($D$2:$D$225,$D90,$K$2:$K$225,"&gt;"&amp;$K90)+1))</f>
        <v>2</v>
      </c>
      <c r="AS90" s="249">
        <f ca="1">IF($D90&gt;Standings!$Q$27,"",(COUNTIFS($D$2:$D$225,$D90,$AD$2:$AD$225,"&gt;"&amp;$AD90)+1))</f>
        <v>1</v>
      </c>
      <c r="AT90" s="354">
        <f ca="1">IF($D90&gt;Standings!$Q$27,"",SUMIFS($J$2:$J$225,$D$2:$D$225,$D90,$C$2:$C$225,$C90))</f>
        <v>811.47</v>
      </c>
      <c r="AU90" s="253">
        <f ca="1">IF($D90&gt;Standings!$Q$27,"",SUMIFS($AC$2:$AC$225,$D$2:$D$225,$D90,$C$2:$C$225,$C90))</f>
        <v>4222.03</v>
      </c>
    </row>
    <row r="91" spans="1:47">
      <c r="A91" s="190">
        <f t="shared" si="1"/>
        <v>86</v>
      </c>
      <c r="B91" s="198" t="str">
        <f>'ESPN Data'!$L$10</f>
        <v>Team 7</v>
      </c>
      <c r="C91" s="346" t="str">
        <f>VLOOKUP(B91,'ESPN Data'!$L$4:$M$19,2,FALSE)</f>
        <v>Bone</v>
      </c>
      <c r="D91" s="397">
        <v>6</v>
      </c>
      <c r="E91" s="267" t="str">
        <f t="array" ref="E91">INDEX('ESPN Data'!$C$3:$C$226,MATCH(1,('ESPN Data'!$A$3:$A$226='Point Data'!$D91)*('ESPN Data'!$B$3:$B$226='Point Data'!$B91),0))</f>
        <v>Team 5</v>
      </c>
      <c r="F91" s="250" t="str">
        <f>IF(C91&lt;&gt;VLOOKUP($E91,'ESPN Data'!$L$4:$M$19,2,FALSE),"Non Conf", "Conf")</f>
        <v>Conf</v>
      </c>
      <c r="G91" s="246">
        <f t="array" aca="1" ref="G91" ca="1">IF('Point Data'!$D91&gt;Standings!$Q$27,"",(COUNTIFS($D$2:$D$225,$D91,$AM$2:$AM$225,"&gt;"&amp;$AM91)+1))</f>
        <v>3</v>
      </c>
      <c r="H91" s="172">
        <f ca="1">IF('Point Data'!$D91&gt;Standings!$Q$27,"",$G90)</f>
        <v>5</v>
      </c>
      <c r="I91" s="249">
        <f ca="1">IF('Point Data'!D91&gt;Standings!$Q$27,"",H91-G91)</f>
        <v>2</v>
      </c>
      <c r="J91" s="172">
        <f ca="1">IF('Point Data'!D91&gt;Standings!$Q$27,"",OFFSET('ESPN Data'!D$3,$A91,0,1,1))</f>
        <v>113.46</v>
      </c>
      <c r="K91" s="248">
        <f ca="1">IF('Point Data'!D91&gt;Standings!$Q$27,"",OFFSET('ESPN Data'!E$3,$A91,0,1,1))</f>
        <v>94.69</v>
      </c>
      <c r="L91" s="337">
        <f ca="1">IF('Point Data'!D91&gt;Standings!$Q$27,"",OFFSET('ESPN Data'!I$3,$A91,0,1,1))</f>
        <v>100</v>
      </c>
      <c r="M91" s="337">
        <f ca="1">IF('Point Data'!D91&gt;Standings!$Q$27,"",OFFSET('ESPN Data'!I$3,$A91,-2,1,1))</f>
        <v>0</v>
      </c>
      <c r="N91" s="337">
        <f ca="1">IF('Point Data'!D91&gt;Standings!$Q$27,"",SUMIFS($M$2:$M$225,$D$2:$D$225,D91,$C$2:$C$225,C91))</f>
        <v>116</v>
      </c>
      <c r="O91" s="337">
        <f ca="1">IF('Point Data'!D91&gt;Standings!$Q$27,"",SUMIFS($L$2:$L$225,$D$2:$D$225,$D91,$C$2:$C$225,$C91))</f>
        <v>386</v>
      </c>
      <c r="P91" s="337">
        <f ca="1">IF('Point Data'!D91&gt;Standings!$Q$27,"",SUMIFS($M$2:$M$225,$D$2:$D$225,D91))</f>
        <v>183</v>
      </c>
      <c r="Q91" s="337">
        <f ca="1">IF('Point Data'!D91&gt;Standings!$Q$27,"",SUMIFS($L$2:$L$225,$D$2:$D$225,D91))</f>
        <v>856</v>
      </c>
      <c r="R91" s="249">
        <f ca="1">IF($D91&gt;Standings!$Q$27,"",IF(U91="T",(Z91+0.5)/(D91)*100,(Z91/D91)*100))</f>
        <v>66.666666666666657</v>
      </c>
      <c r="S91" s="253">
        <f ca="1">IF($D91&gt;Standings!$Q$27,"",$J91-$K91)</f>
        <v>18.769999999999996</v>
      </c>
      <c r="T91" s="253">
        <f ca="1">IF($D91&gt;Standings!$Q$27,"",AVERAGE(OFFSET(S91,(-$D91+1),0,1,1):S91))</f>
        <v>1.798333333333332</v>
      </c>
      <c r="U91" s="172">
        <f ca="1">IF($D91&gt;Standings!$Q$27,"",IF(J91&gt;K91,1,IF(J91=K91,"T",0)))</f>
        <v>1</v>
      </c>
      <c r="V91" s="267">
        <f ca="1">IF($D91&gt;Standings!$Q$27,"",IF(F91="Conf",V90,SUMIFS($U$2:$U$225,$D$2:$D$225,"&lt;="&amp;$D91,$B$2:$B$225,$B91,$F$2:$F$225,"Non Conf")))</f>
        <v>2</v>
      </c>
      <c r="W91" s="267" t="str">
        <f ca="1">IF($D91&gt;Standings!$Q$27,"",$V91&amp;"-"&amp;COUNTIF(OFFSET($F91,(-$D91+1),0,1,1):$F91,"Non Conf")-$V91)</f>
        <v>2-1</v>
      </c>
      <c r="X91" s="267">
        <f ca="1">IF($D91&gt;Standings!$Q$27,"",SUMIFS($U$2:$U$225,$D$2:$D$225,"&lt;="&amp;$D91,$B$2:$B$225,$B91,$F$2:$F$225,"Conf"))</f>
        <v>2</v>
      </c>
      <c r="Y91" s="267" t="str">
        <f ca="1">IF($D91&gt;Standings!$Q$27,"",$X91&amp;"-"&amp;COUNTIF(OFFSET($F91,(-$D91+1),0,1,1):$F91,"Conf")-$X91)</f>
        <v>2-1</v>
      </c>
      <c r="Z91" s="267">
        <f ca="1">IF($D91&gt;Standings!$Q$27,"",SUM(OFFSET(U91,(-$D91+1),0,1,1):U91))</f>
        <v>4</v>
      </c>
      <c r="AA91" s="172">
        <f ca="1">IF($D91&gt;Standings!$Q$27,"",IF(U91=1,1+AA90,0))</f>
        <v>1</v>
      </c>
      <c r="AB91" s="250">
        <f ca="1">IF($D91&gt;Standings!$Q$27,"",IF(AA91=0,1+AB90,0))</f>
        <v>0</v>
      </c>
      <c r="AC91" s="251">
        <f ca="1">IF($D91&gt;Standings!$Q$27,"",SUM(OFFSET(J91,(-$D91+1),0,1,1):J91))</f>
        <v>675.15</v>
      </c>
      <c r="AD91" s="248">
        <f ca="1">IF($D91&gt;Standings!$Q$27,"",SUM(OFFSET(K91,(-$D91+1),0,1,1):K91))</f>
        <v>664.36000000000013</v>
      </c>
      <c r="AE91" s="248">
        <f ca="1">IF($D91&gt;Standings!$Q$27,"",$J91-$K91)</f>
        <v>18.769999999999996</v>
      </c>
      <c r="AF91" s="248">
        <f ca="1">IF($D91&gt;Standings!$Q$27,"",AC91-AD91)</f>
        <v>10.78999999999985</v>
      </c>
      <c r="AG91" s="172">
        <f ca="1">IF($D91&gt;Standings!$Q$27,"",(COUNTIFS($D$2:$D$225,$D91,$C$2:$C$225,$C91,$AC$2:$AC$225,"&lt;"&amp;$AC91)+1)*0.01)</f>
        <v>0.08</v>
      </c>
      <c r="AH91" s="172">
        <f ca="1">IF($D91&gt;Standings!$Q$27,"",Z91+AG91)</f>
        <v>4.08</v>
      </c>
      <c r="AI91" s="267"/>
      <c r="AJ91" s="267">
        <f t="array" aca="1" ref="AJ91" ca="1">IF($D91&gt;Standings!$Q$27,"",(COUNTIFS($D$2:$D$225,$D91,$C$2:$C$225,$C91,$AM$2:$AM$225,"&gt;"&amp;$AM91)+1))</f>
        <v>2</v>
      </c>
      <c r="AK91" s="267">
        <f t="array" aca="1" ref="AK91" ca="1">IF($D91&gt;Standings!$Q$27,"",IF((COUNTIFS($D$2:$D$225,$D91,$C$2:$C$225,$C91,$AH$2:$AH$225,"&gt;"&amp;$AH91)+1)=2,1,0))</f>
        <v>1</v>
      </c>
      <c r="AL91" s="267">
        <f t="array" aca="1" ref="AL91" ca="1">IF($D91&gt;Standings!$Q$27,"",IF((COUNTIFS($D$2:$D$225,$D91,$C$2:$C$225,$C91,$AH$2:$AH$225,"&gt;"&amp;$AH91)+1)&lt;2,1,0))</f>
        <v>0</v>
      </c>
      <c r="AM91" s="267">
        <f ca="1">IF($D91&gt;Standings!$Q$27,"",IF(AL91=1,200+Z91+(16-AQ91)*0.01+AI91,IF(AK91=1,100+Z91+(16-AQ91)*0.01+AI91,IF(AN91=1,50+Z91+(16-AQ91)*0.01,IF(AO91=1,15+Z91+(16-AQ91)*0.01,Z91+(16-AQ91)*0.01+AI91)))))</f>
        <v>104.14</v>
      </c>
      <c r="AN91" s="267" t="str">
        <f ca="1">IF($D91&gt;Standings!$Q$27,"",IF(OR($AK91=1,$AL91=1),"Conf Playoff Spot",COUNTIFS($AL$2:$AL$225,0,$AK$2:$AK$225,0,$C$2:$C$225,$C91,$D$2:$D$225,$D91,$AC$2:$AC$225,"&gt;"&amp;$AC91)+1))</f>
        <v>Conf Playoff Spot</v>
      </c>
      <c r="AO91" s="267" t="str">
        <f t="array" aca="1" ref="AO91" ca="1">IF($D91&gt;Standings!$Q$27,"",IF(OR($AK91=1,$AL91=1),"Conf Playoff Spot",COUNTIFS($AK$2:$AK$225,0,$AL$2:$AL$225,0,$D$2:$D$225,$D91,$AH$2:$AH$225,"&gt;"&amp;$AH91)+1))</f>
        <v>Conf Playoff Spot</v>
      </c>
      <c r="AP91" s="267">
        <f t="array" aca="1" ref="AP91" ca="1">IF($D91&gt;Standings!$Q$27,"",(COUNTIFS($D$2:$D$225,$D91,$J$2:$J$225,"&gt;"&amp;$J91)+1))</f>
        <v>4</v>
      </c>
      <c r="AQ91" s="249">
        <f ca="1">IF($D91&gt;Standings!$Q$27,"",(COUNTIFS($D$2:$D$225,$D91,$AC$2:$AC$225,"&gt;"&amp;$AC91)+1))</f>
        <v>2</v>
      </c>
      <c r="AR91" s="249">
        <f ca="1">IF($D91&gt;Standings!$Q$27,"",(COUNTIFS($D$2:$D$225,$D91,$K$2:$K$225,"&gt;"&amp;$K91)+1))</f>
        <v>10</v>
      </c>
      <c r="AS91" s="249">
        <f ca="1">IF($D91&gt;Standings!$Q$27,"",(COUNTIFS($D$2:$D$225,$D91,$AD$2:$AD$225,"&gt;"&amp;$AD91)+1))</f>
        <v>3</v>
      </c>
      <c r="AT91" s="354">
        <f ca="1">IF($D91&gt;Standings!$Q$27,"",SUMIFS($J$2:$J$225,$D$2:$D$225,$D91,$C$2:$C$225,$C91))</f>
        <v>782.35</v>
      </c>
      <c r="AU91" s="253">
        <f ca="1">IF($D91&gt;Standings!$Q$27,"",SUMIFS($AC$2:$AC$225,$D$2:$D$225,$D91,$C$2:$C$225,$C91))</f>
        <v>5004.38</v>
      </c>
    </row>
    <row r="92" spans="1:47">
      <c r="A92" s="190">
        <f t="shared" si="1"/>
        <v>102</v>
      </c>
      <c r="B92" s="198" t="str">
        <f>'ESPN Data'!$L$10</f>
        <v>Team 7</v>
      </c>
      <c r="C92" s="346" t="str">
        <f>VLOOKUP(B92,'ESPN Data'!$L$4:$M$19,2,FALSE)</f>
        <v>Bone</v>
      </c>
      <c r="D92" s="397">
        <v>7</v>
      </c>
      <c r="E92" s="267" t="str">
        <f t="array" ref="E92">INDEX('ESPN Data'!$C$3:$C$226,MATCH(1,('ESPN Data'!$A$3:$A$226='Point Data'!$D92)*('ESPN Data'!$B$3:$B$226='Point Data'!$B92),0))</f>
        <v>Team 10</v>
      </c>
      <c r="F92" s="250" t="str">
        <f>IF(C92&lt;&gt;VLOOKUP($E92,'ESPN Data'!$L$4:$M$19,2,FALSE),"Non Conf", "Conf")</f>
        <v>Non Conf</v>
      </c>
      <c r="G92" s="246">
        <f t="array" aca="1" ref="G92" ca="1">IF('Point Data'!$D92&gt;Standings!$Q$27,"",(COUNTIFS($D$2:$D$225,$D92,$AM$2:$AM$225,"&gt;"&amp;$AM92)+1))</f>
        <v>5</v>
      </c>
      <c r="H92" s="172">
        <f ca="1">IF('Point Data'!$D92&gt;Standings!$Q$27,"",$G91)</f>
        <v>3</v>
      </c>
      <c r="I92" s="249">
        <f ca="1">IF('Point Data'!D92&gt;Standings!$Q$27,"",H92-G92)</f>
        <v>-2</v>
      </c>
      <c r="J92" s="172">
        <f ca="1">IF('Point Data'!D92&gt;Standings!$Q$27,"",OFFSET('ESPN Data'!D$3,$A92,0,1,1))</f>
        <v>143.06</v>
      </c>
      <c r="K92" s="248">
        <f ca="1">IF('Point Data'!D92&gt;Standings!$Q$27,"",OFFSET('ESPN Data'!E$3,$A92,0,1,1))</f>
        <v>68.06</v>
      </c>
      <c r="L92" s="337">
        <f ca="1">IF('Point Data'!D92&gt;Standings!$Q$27,"",OFFSET('ESPN Data'!I$3,$A92,0,1,1))</f>
        <v>100</v>
      </c>
      <c r="M92" s="337">
        <f ca="1">IF('Point Data'!D92&gt;Standings!$Q$27,"",OFFSET('ESPN Data'!I$3,$A92,-2,1,1))</f>
        <v>0</v>
      </c>
      <c r="N92" s="337">
        <f ca="1">IF('Point Data'!D92&gt;Standings!$Q$27,"",SUMIFS($M$2:$M$225,$D$2:$D$225,D92,$C$2:$C$225,C92))</f>
        <v>28</v>
      </c>
      <c r="O92" s="337">
        <f ca="1">IF('Point Data'!D92&gt;Standings!$Q$27,"",SUMIFS($L$2:$L$225,$D$2:$D$225,$D92,$C$2:$C$225,$C92))</f>
        <v>358</v>
      </c>
      <c r="P92" s="337">
        <f ca="1">IF('Point Data'!D92&gt;Standings!$Q$27,"",SUMIFS($M$2:$M$225,$D$2:$D$225,D92))</f>
        <v>168</v>
      </c>
      <c r="Q92" s="337">
        <f ca="1">IF('Point Data'!D92&gt;Standings!$Q$27,"",SUMIFS($L$2:$L$225,$D$2:$D$225,D92))</f>
        <v>688</v>
      </c>
      <c r="R92" s="249">
        <f ca="1">IF($D92&gt;Standings!$Q$27,"",IF(U92="T",(Z92+0.5)/(D92)*100,(Z92/D92)*100))</f>
        <v>71.428571428571431</v>
      </c>
      <c r="S92" s="253">
        <f ca="1">IF($D92&gt;Standings!$Q$27,"",$J92-$K92)</f>
        <v>75</v>
      </c>
      <c r="T92" s="253">
        <f ca="1">IF($D92&gt;Standings!$Q$27,"",AVERAGE(OFFSET(S92,(-$D92+1),0,1,1):S92))</f>
        <v>12.255714285714285</v>
      </c>
      <c r="U92" s="172">
        <f ca="1">IF($D92&gt;Standings!$Q$27,"",IF(J92&gt;K92,1,IF(J92=K92,"T",0)))</f>
        <v>1</v>
      </c>
      <c r="V92" s="267">
        <f ca="1">IF($D92&gt;Standings!$Q$27,"",IF(F92="Conf",V91,SUMIFS($U$2:$U$225,$D$2:$D$225,"&lt;="&amp;$D92,$B$2:$B$225,$B92,$F$2:$F$225,"Non Conf")))</f>
        <v>3</v>
      </c>
      <c r="W92" s="267" t="str">
        <f ca="1">IF($D92&gt;Standings!$Q$27,"",$V92&amp;"-"&amp;COUNTIF(OFFSET($F92,(-$D92+1),0,1,1):$F92,"Non Conf")-$V92)</f>
        <v>3-1</v>
      </c>
      <c r="X92" s="267">
        <f ca="1">IF($D92&gt;Standings!$Q$27,"",SUMIFS($U$2:$U$225,$D$2:$D$225,"&lt;="&amp;$D92,$B$2:$B$225,$B92,$F$2:$F$225,"Conf"))</f>
        <v>2</v>
      </c>
      <c r="Y92" s="267" t="str">
        <f ca="1">IF($D92&gt;Standings!$Q$27,"",$X92&amp;"-"&amp;COUNTIF(OFFSET($F92,(-$D92+1),0,1,1):$F92,"Conf")-$X92)</f>
        <v>2-1</v>
      </c>
      <c r="Z92" s="267">
        <f ca="1">IF($D92&gt;Standings!$Q$27,"",SUM(OFFSET(U92,(-$D92+1),0,1,1):U92))</f>
        <v>5</v>
      </c>
      <c r="AA92" s="172">
        <f ca="1">IF($D92&gt;Standings!$Q$27,"",IF(U92=1,1+AA91,0))</f>
        <v>2</v>
      </c>
      <c r="AB92" s="250">
        <f ca="1">IF($D92&gt;Standings!$Q$27,"",IF(AA92=0,1+AB91,0))</f>
        <v>0</v>
      </c>
      <c r="AC92" s="251">
        <f ca="1">IF($D92&gt;Standings!$Q$27,"",SUM(OFFSET(J92,(-$D92+1),0,1,1):J92))</f>
        <v>818.21</v>
      </c>
      <c r="AD92" s="248">
        <f ca="1">IF($D92&gt;Standings!$Q$27,"",SUM(OFFSET(K92,(-$D92+1),0,1,1):K92))</f>
        <v>732.42000000000007</v>
      </c>
      <c r="AE92" s="248">
        <f ca="1">IF($D92&gt;Standings!$Q$27,"",$J92-$K92)</f>
        <v>75</v>
      </c>
      <c r="AF92" s="248">
        <f ca="1">IF($D92&gt;Standings!$Q$27,"",AC92-AD92)</f>
        <v>85.789999999999964</v>
      </c>
      <c r="AG92" s="172">
        <f ca="1">IF($D92&gt;Standings!$Q$27,"",(COUNTIFS($D$2:$D$225,$D92,$C$2:$C$225,$C92,$AC$2:$AC$225,"&lt;"&amp;$AC92)+1)*0.01)</f>
        <v>7.0000000000000007E-2</v>
      </c>
      <c r="AH92" s="172">
        <f ca="1">IF($D92&gt;Standings!$Q$27,"",Z92+AG92)</f>
        <v>5.07</v>
      </c>
      <c r="AI92" s="267"/>
      <c r="AJ92" s="267">
        <f t="array" aca="1" ref="AJ92" ca="1">IF($D92&gt;Standings!$Q$27,"",(COUNTIFS($D$2:$D$225,$D92,$C$2:$C$225,$C92,$AM$2:$AM$225,"&gt;"&amp;$AM92)+1))</f>
        <v>3</v>
      </c>
      <c r="AK92" s="267">
        <f t="array" aca="1" ref="AK92" ca="1">IF($D92&gt;Standings!$Q$27,"",IF((COUNTIFS($D$2:$D$225,$D92,$C$2:$C$225,$C92,$AH$2:$AH$225,"&gt;"&amp;$AH92)+1)=2,1,0))</f>
        <v>0</v>
      </c>
      <c r="AL92" s="267">
        <f t="array" aca="1" ref="AL92" ca="1">IF($D92&gt;Standings!$Q$27,"",IF((COUNTIFS($D$2:$D$225,$D92,$C$2:$C$225,$C92,$AH$2:$AH$225,"&gt;"&amp;$AH92)+1)&lt;2,1,0))</f>
        <v>0</v>
      </c>
      <c r="AM92" s="267">
        <f ca="1">IF($D92&gt;Standings!$Q$27,"",IF(AL92=1,200+Z92+(16-AQ92)*0.01+AI92,IF(AK92=1,100+Z92+(16-AQ92)*0.01+AI92,IF(AN92=1,50+Z92+(16-AQ92)*0.01,IF(AO92=1,15+Z92+(16-AQ92)*0.01,Z92+(16-AQ92)*0.01+AI92)))))</f>
        <v>55.13</v>
      </c>
      <c r="AN92" s="267">
        <f ca="1">IF($D92&gt;Standings!$Q$27,"",IF(OR($AK92=1,$AL92=1),"Conf Playoff Spot",COUNTIFS($AL$2:$AL$225,0,$AK$2:$AK$225,0,$C$2:$C$225,$C92,$D$2:$D$225,$D92,$AC$2:$AC$225,"&gt;"&amp;$AC92)+1))</f>
        <v>1</v>
      </c>
      <c r="AO92" s="267">
        <f t="array" aca="1" ref="AO92" ca="1">IF($D92&gt;Standings!$Q$27,"",IF(OR($AK92=1,$AL92=1),"Conf Playoff Spot",COUNTIFS($AK$2:$AK$225,0,$AL$2:$AL$225,0,$D$2:$D$225,$D92,$AH$2:$AH$225,"&gt;"&amp;$AH92)+1))</f>
        <v>1</v>
      </c>
      <c r="AP92" s="267">
        <f t="array" aca="1" ref="AP92" ca="1">IF($D92&gt;Standings!$Q$27,"",(COUNTIFS($D$2:$D$225,$D92,$J$2:$J$225,"&gt;"&amp;$J92)+1))</f>
        <v>2</v>
      </c>
      <c r="AQ92" s="249">
        <f ca="1">IF($D92&gt;Standings!$Q$27,"",(COUNTIFS($D$2:$D$225,$D92,$AC$2:$AC$225,"&gt;"&amp;$AC92)+1))</f>
        <v>3</v>
      </c>
      <c r="AR92" s="249">
        <f ca="1">IF($D92&gt;Standings!$Q$27,"",(COUNTIFS($D$2:$D$225,$D92,$K$2:$K$225,"&gt;"&amp;$K92)+1))</f>
        <v>15</v>
      </c>
      <c r="AS92" s="249">
        <f ca="1">IF($D92&gt;Standings!$Q$27,"",(COUNTIFS($D$2:$D$225,$D92,$AD$2:$AD$225,"&gt;"&amp;$AD92)+1))</f>
        <v>9</v>
      </c>
      <c r="AT92" s="354">
        <f ca="1">IF($D92&gt;Standings!$Q$27,"",SUMIFS($J$2:$J$225,$D$2:$D$225,$D92,$C$2:$C$225,$C92))</f>
        <v>939.21999999999991</v>
      </c>
      <c r="AU92" s="253">
        <f ca="1">IF($D92&gt;Standings!$Q$27,"",SUMIFS($AC$2:$AC$225,$D$2:$D$225,$D92,$C$2:$C$225,$C92))</f>
        <v>5943.6</v>
      </c>
    </row>
    <row r="93" spans="1:47">
      <c r="A93" s="190">
        <f t="shared" si="1"/>
        <v>118</v>
      </c>
      <c r="B93" s="198" t="str">
        <f>'ESPN Data'!$L$10</f>
        <v>Team 7</v>
      </c>
      <c r="C93" s="346" t="str">
        <f>VLOOKUP(B93,'ESPN Data'!$L$4:$M$19,2,FALSE)</f>
        <v>Bone</v>
      </c>
      <c r="D93" s="397">
        <v>8</v>
      </c>
      <c r="E93" s="267" t="str">
        <f t="array" ref="E93">INDEX('ESPN Data'!$C$3:$C$226,MATCH(1,('ESPN Data'!$A$3:$A$226='Point Data'!$D93)*('ESPN Data'!$B$3:$B$226='Point Data'!$B93),0))</f>
        <v>Team 15</v>
      </c>
      <c r="F93" s="250" t="str">
        <f>IF(C93&lt;&gt;VLOOKUP($E93,'ESPN Data'!$L$4:$M$19,2,FALSE),"Non Conf", "Conf")</f>
        <v>Non Conf</v>
      </c>
      <c r="G93" s="246">
        <f t="array" aca="1" ref="G93" ca="1">IF('Point Data'!$D93&gt;Standings!$Q$27,"",(COUNTIFS($D$2:$D$225,$D93,$AM$2:$AM$225,"&gt;"&amp;$AM93)+1))</f>
        <v>5</v>
      </c>
      <c r="H93" s="172">
        <f ca="1">IF('Point Data'!$D93&gt;Standings!$Q$27,"",$G92)</f>
        <v>5</v>
      </c>
      <c r="I93" s="249">
        <f ca="1">IF('Point Data'!D93&gt;Standings!$Q$27,"",H93-G93)</f>
        <v>0</v>
      </c>
      <c r="J93" s="172">
        <f ca="1">IF('Point Data'!D93&gt;Standings!$Q$27,"",OFFSET('ESPN Data'!D$3,$A93,0,1,1))</f>
        <v>90.03</v>
      </c>
      <c r="K93" s="248">
        <f ca="1">IF('Point Data'!D93&gt;Standings!$Q$27,"",OFFSET('ESPN Data'!E$3,$A93,0,1,1))</f>
        <v>118.52</v>
      </c>
      <c r="L93" s="337">
        <f ca="1">IF('Point Data'!D93&gt;Standings!$Q$27,"",OFFSET('ESPN Data'!I$3,$A93,0,1,1))</f>
        <v>100</v>
      </c>
      <c r="M93" s="337">
        <f ca="1">IF('Point Data'!D93&gt;Standings!$Q$27,"",OFFSET('ESPN Data'!I$3,$A93,-2,1,1))</f>
        <v>0</v>
      </c>
      <c r="N93" s="337">
        <f ca="1">IF('Point Data'!D93&gt;Standings!$Q$27,"",SUMIFS($M$2:$M$225,$D$2:$D$225,D93,$C$2:$C$225,C93))</f>
        <v>18</v>
      </c>
      <c r="O93" s="337">
        <f ca="1">IF('Point Data'!D93&gt;Standings!$Q$27,"",SUMIFS($L$2:$L$225,$D$2:$D$225,$D93,$C$2:$C$225,$C93))</f>
        <v>340</v>
      </c>
      <c r="P93" s="337">
        <f ca="1">IF('Point Data'!D93&gt;Standings!$Q$27,"",SUMIFS($M$2:$M$225,$D$2:$D$225,D93))</f>
        <v>80</v>
      </c>
      <c r="Q93" s="337">
        <f ca="1">IF('Point Data'!D93&gt;Standings!$Q$27,"",SUMIFS($L$2:$L$225,$D$2:$D$225,D93))</f>
        <v>608</v>
      </c>
      <c r="R93" s="249">
        <f ca="1">IF($D93&gt;Standings!$Q$27,"",IF(U93="T",(Z93+0.5)/(D93)*100,(Z93/D93)*100))</f>
        <v>62.5</v>
      </c>
      <c r="S93" s="253">
        <f ca="1">IF($D93&gt;Standings!$Q$27,"",$J93-$K93)</f>
        <v>-28.489999999999995</v>
      </c>
      <c r="T93" s="253">
        <f ca="1">IF($D93&gt;Standings!$Q$27,"",AVERAGE(OFFSET(S93,(-$D93+1),0,1,1):S93))</f>
        <v>7.1624999999999996</v>
      </c>
      <c r="U93" s="172">
        <f ca="1">IF($D93&gt;Standings!$Q$27,"",IF(J93&gt;K93,1,IF(J93=K93,"T",0)))</f>
        <v>0</v>
      </c>
      <c r="V93" s="267">
        <f ca="1">IF($D93&gt;Standings!$Q$27,"",IF(F93="Conf",V92,SUMIFS($U$2:$U$225,$D$2:$D$225,"&lt;="&amp;$D93,$B$2:$B$225,$B93,$F$2:$F$225,"Non Conf")))</f>
        <v>3</v>
      </c>
      <c r="W93" s="267" t="str">
        <f ca="1">IF($D93&gt;Standings!$Q$27,"",$V93&amp;"-"&amp;COUNTIF(OFFSET($F93,(-$D93+1),0,1,1):$F93,"Non Conf")-$V93)</f>
        <v>3-2</v>
      </c>
      <c r="X93" s="267">
        <f ca="1">IF($D93&gt;Standings!$Q$27,"",SUMIFS($U$2:$U$225,$D$2:$D$225,"&lt;="&amp;$D93,$B$2:$B$225,$B93,$F$2:$F$225,"Conf"))</f>
        <v>2</v>
      </c>
      <c r="Y93" s="267" t="str">
        <f ca="1">IF($D93&gt;Standings!$Q$27,"",$X93&amp;"-"&amp;COUNTIF(OFFSET($F93,(-$D93+1),0,1,1):$F93,"Conf")-$X93)</f>
        <v>2-1</v>
      </c>
      <c r="Z93" s="267">
        <f ca="1">IF($D93&gt;Standings!$Q$27,"",SUM(OFFSET(U93,(-$D93+1),0,1,1):U93))</f>
        <v>5</v>
      </c>
      <c r="AA93" s="172">
        <f ca="1">IF($D93&gt;Standings!$Q$27,"",IF(U93=1,1+AA92,0))</f>
        <v>0</v>
      </c>
      <c r="AB93" s="250">
        <f ca="1">IF($D93&gt;Standings!$Q$27,"",IF(AA93=0,1+AB92,0))</f>
        <v>1</v>
      </c>
      <c r="AC93" s="251">
        <f ca="1">IF($D93&gt;Standings!$Q$27,"",SUM(OFFSET(J93,(-$D93+1),0,1,1):J93))</f>
        <v>908.24</v>
      </c>
      <c r="AD93" s="248">
        <f ca="1">IF($D93&gt;Standings!$Q$27,"",SUM(OFFSET(K93,(-$D93+1),0,1,1):K93))</f>
        <v>850.94</v>
      </c>
      <c r="AE93" s="248">
        <f ca="1">IF($D93&gt;Standings!$Q$27,"",$J93-$K93)</f>
        <v>-28.489999999999995</v>
      </c>
      <c r="AF93" s="248">
        <f ca="1">IF($D93&gt;Standings!$Q$27,"",AC93-AD93)</f>
        <v>57.299999999999955</v>
      </c>
      <c r="AG93" s="172">
        <f ca="1">IF($D93&gt;Standings!$Q$27,"",(COUNTIFS($D$2:$D$225,$D93,$C$2:$C$225,$C93,$AC$2:$AC$225,"&lt;"&amp;$AC93)+1)*0.01)</f>
        <v>7.0000000000000007E-2</v>
      </c>
      <c r="AH93" s="172">
        <f ca="1">IF($D93&gt;Standings!$Q$27,"",Z93+AG93)</f>
        <v>5.07</v>
      </c>
      <c r="AI93" s="267"/>
      <c r="AJ93" s="267">
        <f t="array" aca="1" ref="AJ93" ca="1">IF($D93&gt;Standings!$Q$27,"",(COUNTIFS($D$2:$D$225,$D93,$C$2:$C$225,$C93,$AM$2:$AM$225,"&gt;"&amp;$AM93)+1))</f>
        <v>3</v>
      </c>
      <c r="AK93" s="267">
        <f t="array" aca="1" ref="AK93" ca="1">IF($D93&gt;Standings!$Q$27,"",IF((COUNTIFS($D$2:$D$225,$D93,$C$2:$C$225,$C93,$AH$2:$AH$225,"&gt;"&amp;$AH93)+1)=2,1,0))</f>
        <v>0</v>
      </c>
      <c r="AL93" s="267">
        <f t="array" aca="1" ref="AL93" ca="1">IF($D93&gt;Standings!$Q$27,"",IF((COUNTIFS($D$2:$D$225,$D93,$C$2:$C$225,$C93,$AH$2:$AH$225,"&gt;"&amp;$AH93)+1)&lt;2,1,0))</f>
        <v>0</v>
      </c>
      <c r="AM93" s="267">
        <f ca="1">IF($D93&gt;Standings!$Q$27,"",IF(AL93=1,200+Z93+(16-AQ93)*0.01+AI93,IF(AK93=1,100+Z93+(16-AQ93)*0.01+AI93,IF(AN93=1,50+Z93+(16-AQ93)*0.01,IF(AO93=1,15+Z93+(16-AQ93)*0.01,Z93+(16-AQ93)*0.01+AI93)))))</f>
        <v>55.13</v>
      </c>
      <c r="AN93" s="267">
        <f ca="1">IF($D93&gt;Standings!$Q$27,"",IF(OR($AK93=1,$AL93=1),"Conf Playoff Spot",COUNTIFS($AL$2:$AL$225,0,$AK$2:$AK$225,0,$C$2:$C$225,$C93,$D$2:$D$225,$D93,$AC$2:$AC$225,"&gt;"&amp;$AC93)+1))</f>
        <v>1</v>
      </c>
      <c r="AO93" s="267">
        <f t="array" aca="1" ref="AO93" ca="1">IF($D93&gt;Standings!$Q$27,"",IF(OR($AK93=1,$AL93=1),"Conf Playoff Spot",COUNTIFS($AK$2:$AK$225,0,$AL$2:$AL$225,0,$D$2:$D$225,$D93,$AH$2:$AH$225,"&gt;"&amp;$AH93)+1))</f>
        <v>1</v>
      </c>
      <c r="AP93" s="267">
        <f t="array" aca="1" ref="AP93" ca="1">IF($D93&gt;Standings!$Q$27,"",(COUNTIFS($D$2:$D$225,$D93,$J$2:$J$225,"&gt;"&amp;$J93)+1))</f>
        <v>7</v>
      </c>
      <c r="AQ93" s="249">
        <f ca="1">IF($D93&gt;Standings!$Q$27,"",(COUNTIFS($D$2:$D$225,$D93,$AC$2:$AC$225,"&gt;"&amp;$AC93)+1))</f>
        <v>3</v>
      </c>
      <c r="AR93" s="249">
        <f ca="1">IF($D93&gt;Standings!$Q$27,"",(COUNTIFS($D$2:$D$225,$D93,$K$2:$K$225,"&gt;"&amp;$K93)+1))</f>
        <v>4</v>
      </c>
      <c r="AS93" s="249">
        <f ca="1">IF($D93&gt;Standings!$Q$27,"",(COUNTIFS($D$2:$D$225,$D93,$AD$2:$AD$225,"&gt;"&amp;$AD93)+1))</f>
        <v>6</v>
      </c>
      <c r="AT93" s="354">
        <f ca="1">IF($D93&gt;Standings!$Q$27,"",SUMIFS($J$2:$J$225,$D$2:$D$225,$D93,$C$2:$C$225,$C93))</f>
        <v>724.6400000000001</v>
      </c>
      <c r="AU93" s="253">
        <f ca="1">IF($D93&gt;Standings!$Q$27,"",SUMIFS($AC$2:$AC$225,$D$2:$D$225,$D93,$C$2:$C$225,$C93))</f>
        <v>6668.24</v>
      </c>
    </row>
    <row r="94" spans="1:47">
      <c r="A94" s="190">
        <f t="shared" si="1"/>
        <v>134</v>
      </c>
      <c r="B94" s="198" t="str">
        <f>'ESPN Data'!$L$10</f>
        <v>Team 7</v>
      </c>
      <c r="C94" s="346" t="str">
        <f>VLOOKUP(B94,'ESPN Data'!$L$4:$M$19,2,FALSE)</f>
        <v>Bone</v>
      </c>
      <c r="D94" s="397">
        <v>9</v>
      </c>
      <c r="E94" s="267" t="str">
        <f t="array" ref="E94">INDEX('ESPN Data'!$C$3:$C$226,MATCH(1,('ESPN Data'!$A$3:$A$226='Point Data'!$D94)*('ESPN Data'!$B$3:$B$226='Point Data'!$B94),0))</f>
        <v>Team 8</v>
      </c>
      <c r="F94" s="250" t="str">
        <f>IF(C94&lt;&gt;VLOOKUP($E94,'ESPN Data'!$L$4:$M$19,2,FALSE),"Non Conf", "Conf")</f>
        <v>Conf</v>
      </c>
      <c r="G94" s="246">
        <f t="array" aca="1" ref="G94" ca="1">IF('Point Data'!$D94&gt;Standings!$Q$27,"",(COUNTIFS($D$2:$D$225,$D94,$AM$2:$AM$225,"&gt;"&amp;$AM94)+1))</f>
        <v>5</v>
      </c>
      <c r="H94" s="172">
        <f ca="1">IF('Point Data'!$D94&gt;Standings!$Q$27,"",$G93)</f>
        <v>5</v>
      </c>
      <c r="I94" s="249">
        <f ca="1">IF('Point Data'!D94&gt;Standings!$Q$27,"",H94-G94)</f>
        <v>0</v>
      </c>
      <c r="J94" s="172">
        <f ca="1">IF('Point Data'!D94&gt;Standings!$Q$27,"",OFFSET('ESPN Data'!D$3,$A94,0,1,1))</f>
        <v>90.25</v>
      </c>
      <c r="K94" s="248">
        <f ca="1">IF('Point Data'!D94&gt;Standings!$Q$27,"",OFFSET('ESPN Data'!E$3,$A94,0,1,1))</f>
        <v>132.35</v>
      </c>
      <c r="L94" s="337">
        <f ca="1">IF('Point Data'!D94&gt;Standings!$Q$27,"",OFFSET('ESPN Data'!I$3,$A94,0,1,1))</f>
        <v>100</v>
      </c>
      <c r="M94" s="337">
        <f ca="1">IF('Point Data'!D94&gt;Standings!$Q$27,"",OFFSET('ESPN Data'!I$3,$A94,-2,1,1))</f>
        <v>0</v>
      </c>
      <c r="N94" s="337">
        <f ca="1">IF('Point Data'!D94&gt;Standings!$Q$27,"",SUMIFS($M$2:$M$225,$D$2:$D$225,D94,$C$2:$C$225,C94))</f>
        <v>35</v>
      </c>
      <c r="O94" s="337">
        <f ca="1">IF('Point Data'!D94&gt;Standings!$Q$27,"",SUMIFS($L$2:$L$225,$D$2:$D$225,$D94,$C$2:$C$225,$C94))</f>
        <v>305</v>
      </c>
      <c r="P94" s="337">
        <f ca="1">IF('Point Data'!D94&gt;Standings!$Q$27,"",SUMIFS($M$2:$M$225,$D$2:$D$225,D94))</f>
        <v>63</v>
      </c>
      <c r="Q94" s="337">
        <f ca="1">IF('Point Data'!D94&gt;Standings!$Q$27,"",SUMIFS($L$2:$L$225,$D$2:$D$225,D94))</f>
        <v>545</v>
      </c>
      <c r="R94" s="249">
        <f ca="1">IF($D94&gt;Standings!$Q$27,"",IF(U94="T",(Z94+0.5)/(D94)*100,(Z94/D94)*100))</f>
        <v>55.555555555555557</v>
      </c>
      <c r="S94" s="253">
        <f ca="1">IF($D94&gt;Standings!$Q$27,"",$J94-$K94)</f>
        <v>-42.099999999999994</v>
      </c>
      <c r="T94" s="253">
        <f ca="1">IF($D94&gt;Standings!$Q$27,"",AVERAGE(OFFSET(S94,(-$D94+1),0,1,1):S94))</f>
        <v>1.6888888888888891</v>
      </c>
      <c r="U94" s="172">
        <f ca="1">IF($D94&gt;Standings!$Q$27,"",IF(J94&gt;K94,1,IF(J94=K94,"T",0)))</f>
        <v>0</v>
      </c>
      <c r="V94" s="267">
        <f ca="1">IF($D94&gt;Standings!$Q$27,"",IF(F94="Conf",V93,SUMIFS($U$2:$U$225,$D$2:$D$225,"&lt;="&amp;$D94,$B$2:$B$225,$B94,$F$2:$F$225,"Non Conf")))</f>
        <v>3</v>
      </c>
      <c r="W94" s="267" t="str">
        <f ca="1">IF($D94&gt;Standings!$Q$27,"",$V94&amp;"-"&amp;COUNTIF(OFFSET($F94,(-$D94+1),0,1,1):$F94,"Non Conf")-$V94)</f>
        <v>3-2</v>
      </c>
      <c r="X94" s="267">
        <f ca="1">IF($D94&gt;Standings!$Q$27,"",SUMIFS($U$2:$U$225,$D$2:$D$225,"&lt;="&amp;$D94,$B$2:$B$225,$B94,$F$2:$F$225,"Conf"))</f>
        <v>2</v>
      </c>
      <c r="Y94" s="267" t="str">
        <f ca="1">IF($D94&gt;Standings!$Q$27,"",$X94&amp;"-"&amp;COUNTIF(OFFSET($F94,(-$D94+1),0,1,1):$F94,"Conf")-$X94)</f>
        <v>2-2</v>
      </c>
      <c r="Z94" s="267">
        <f ca="1">IF($D94&gt;Standings!$Q$27,"",SUM(OFFSET(U94,(-$D94+1),0,1,1):U94))</f>
        <v>5</v>
      </c>
      <c r="AA94" s="172">
        <f ca="1">IF($D94&gt;Standings!$Q$27,"",IF(U94=1,1+AA93,0))</f>
        <v>0</v>
      </c>
      <c r="AB94" s="250">
        <f ca="1">IF($D94&gt;Standings!$Q$27,"",IF(AA94=0,1+AB93,0))</f>
        <v>2</v>
      </c>
      <c r="AC94" s="251">
        <f ca="1">IF($D94&gt;Standings!$Q$27,"",SUM(OFFSET(J94,(-$D94+1),0,1,1):J94))</f>
        <v>998.49</v>
      </c>
      <c r="AD94" s="248">
        <f ca="1">IF($D94&gt;Standings!$Q$27,"",SUM(OFFSET(K94,(-$D94+1),0,1,1):K94))</f>
        <v>983.29000000000008</v>
      </c>
      <c r="AE94" s="248">
        <f ca="1">IF($D94&gt;Standings!$Q$27,"",$J94-$K94)</f>
        <v>-42.099999999999994</v>
      </c>
      <c r="AF94" s="248">
        <f ca="1">IF($D94&gt;Standings!$Q$27,"",AC94-AD94)</f>
        <v>15.199999999999932</v>
      </c>
      <c r="AG94" s="172">
        <f ca="1">IF($D94&gt;Standings!$Q$27,"",(COUNTIFS($D$2:$D$225,$D94,$C$2:$C$225,$C94,$AC$2:$AC$225,"&lt;"&amp;$AC94)+1)*0.01)</f>
        <v>7.0000000000000007E-2</v>
      </c>
      <c r="AH94" s="172">
        <f ca="1">IF($D94&gt;Standings!$Q$27,"",Z94+AG94)</f>
        <v>5.07</v>
      </c>
      <c r="AI94" s="267"/>
      <c r="AJ94" s="267">
        <f t="array" aca="1" ref="AJ94" ca="1">IF($D94&gt;Standings!$Q$27,"",(COUNTIFS($D$2:$D$225,$D94,$C$2:$C$225,$C94,$AM$2:$AM$225,"&gt;"&amp;$AM94)+1))</f>
        <v>3</v>
      </c>
      <c r="AK94" s="267">
        <f t="array" aca="1" ref="AK94" ca="1">IF($D94&gt;Standings!$Q$27,"",IF((COUNTIFS($D$2:$D$225,$D94,$C$2:$C$225,$C94,$AH$2:$AH$225,"&gt;"&amp;$AH94)+1)=2,1,0))</f>
        <v>0</v>
      </c>
      <c r="AL94" s="267">
        <f t="array" aca="1" ref="AL94" ca="1">IF($D94&gt;Standings!$Q$27,"",IF((COUNTIFS($D$2:$D$225,$D94,$C$2:$C$225,$C94,$AH$2:$AH$225,"&gt;"&amp;$AH94)+1)&lt;2,1,0))</f>
        <v>0</v>
      </c>
      <c r="AM94" s="267">
        <f ca="1">IF($D94&gt;Standings!$Q$27,"",IF(AL94=1,200+Z94+(16-AQ94)*0.01+AI94,IF(AK94=1,100+Z94+(16-AQ94)*0.01+AI94,IF(AN94=1,50+Z94+(16-AQ94)*0.01,IF(AO94=1,15+Z94+(16-AQ94)*0.01,Z94+(16-AQ94)*0.01+AI94)))))</f>
        <v>55.13</v>
      </c>
      <c r="AN94" s="267">
        <f ca="1">IF($D94&gt;Standings!$Q$27,"",IF(OR($AK94=1,$AL94=1),"Conf Playoff Spot",COUNTIFS($AL$2:$AL$225,0,$AK$2:$AK$225,0,$C$2:$C$225,$C94,$D$2:$D$225,$D94,$AC$2:$AC$225,"&gt;"&amp;$AC94)+1))</f>
        <v>1</v>
      </c>
      <c r="AO94" s="267">
        <f t="array" aca="1" ref="AO94" ca="1">IF($D94&gt;Standings!$Q$27,"",IF(OR($AK94=1,$AL94=1),"Conf Playoff Spot",COUNTIFS($AK$2:$AK$225,0,$AL$2:$AL$225,0,$D$2:$D$225,$D94,$AH$2:$AH$225,"&gt;"&amp;$AH94)+1))</f>
        <v>1</v>
      </c>
      <c r="AP94" s="267">
        <f t="array" aca="1" ref="AP94" ca="1">IF($D94&gt;Standings!$Q$27,"",(COUNTIFS($D$2:$D$225,$D94,$J$2:$J$225,"&gt;"&amp;$J94)+1))</f>
        <v>9</v>
      </c>
      <c r="AQ94" s="249">
        <f ca="1">IF($D94&gt;Standings!$Q$27,"",(COUNTIFS($D$2:$D$225,$D94,$AC$2:$AC$225,"&gt;"&amp;$AC94)+1))</f>
        <v>3</v>
      </c>
      <c r="AR94" s="249">
        <f ca="1">IF($D94&gt;Standings!$Q$27,"",(COUNTIFS($D$2:$D$225,$D94,$K$2:$K$225,"&gt;"&amp;$K94)+1))</f>
        <v>3</v>
      </c>
      <c r="AS94" s="249">
        <f ca="1">IF($D94&gt;Standings!$Q$27,"",(COUNTIFS($D$2:$D$225,$D94,$AD$2:$AD$225,"&gt;"&amp;$AD94)+1))</f>
        <v>3</v>
      </c>
      <c r="AT94" s="354">
        <f ca="1">IF($D94&gt;Standings!$Q$27,"",SUMIFS($J$2:$J$225,$D$2:$D$225,$D94,$C$2:$C$225,$C94))</f>
        <v>780.12</v>
      </c>
      <c r="AU94" s="253">
        <f ca="1">IF($D94&gt;Standings!$Q$27,"",SUMIFS($AC$2:$AC$225,$D$2:$D$225,$D94,$C$2:$C$225,$C94))</f>
        <v>7448.3600000000006</v>
      </c>
    </row>
    <row r="95" spans="1:47">
      <c r="A95" s="190">
        <f t="shared" si="1"/>
        <v>150</v>
      </c>
      <c r="B95" s="198" t="str">
        <f>'ESPN Data'!$L$10</f>
        <v>Team 7</v>
      </c>
      <c r="C95" s="346" t="str">
        <f>VLOOKUP(B95,'ESPN Data'!$L$4:$M$19,2,FALSE)</f>
        <v>Bone</v>
      </c>
      <c r="D95" s="397">
        <v>10</v>
      </c>
      <c r="E95" s="267" t="str">
        <f t="array" ref="E95">INDEX('ESPN Data'!$C$3:$C$226,MATCH(1,('ESPN Data'!$A$3:$A$226='Point Data'!$D95)*('ESPN Data'!$B$3:$B$226='Point Data'!$B95),0))</f>
        <v>Team 4</v>
      </c>
      <c r="F95" s="250" t="str">
        <f>IF(C95&lt;&gt;VLOOKUP($E95,'ESPN Data'!$L$4:$M$19,2,FALSE),"Non Conf", "Conf")</f>
        <v>Conf</v>
      </c>
      <c r="G95" s="246">
        <f t="array" aca="1" ref="G95" ca="1">IF('Point Data'!$D95&gt;Standings!$Q$27,"",(COUNTIFS($D$2:$D$225,$D95,$AM$2:$AM$225,"&gt;"&amp;$AM95)+1))</f>
        <v>5</v>
      </c>
      <c r="H95" s="172">
        <f ca="1">IF('Point Data'!$D95&gt;Standings!$Q$27,"",$G94)</f>
        <v>5</v>
      </c>
      <c r="I95" s="249">
        <f ca="1">IF('Point Data'!D95&gt;Standings!$Q$27,"",H95-G95)</f>
        <v>0</v>
      </c>
      <c r="J95" s="172">
        <f ca="1">IF('Point Data'!D95&gt;Standings!$Q$27,"",OFFSET('ESPN Data'!D$3,$A95,0,1,1))</f>
        <v>104.01</v>
      </c>
      <c r="K95" s="248">
        <f ca="1">IF('Point Data'!D95&gt;Standings!$Q$27,"",OFFSET('ESPN Data'!E$3,$A95,0,1,1))</f>
        <v>100.87</v>
      </c>
      <c r="L95" s="337">
        <f ca="1">IF('Point Data'!D95&gt;Standings!$Q$27,"",OFFSET('ESPN Data'!I$3,$A95,0,1,1))</f>
        <v>100</v>
      </c>
      <c r="M95" s="337">
        <f ca="1">IF('Point Data'!D95&gt;Standings!$Q$27,"",OFFSET('ESPN Data'!I$3,$A95,-2,1,1))</f>
        <v>0</v>
      </c>
      <c r="N95" s="337">
        <f ca="1">IF('Point Data'!D95&gt;Standings!$Q$27,"",SUMIFS($M$2:$M$225,$D$2:$D$225,D95,$C$2:$C$225,C95))</f>
        <v>19</v>
      </c>
      <c r="O95" s="337">
        <f ca="1">IF('Point Data'!D95&gt;Standings!$Q$27,"",SUMIFS($L$2:$L$225,$D$2:$D$225,$D95,$C$2:$C$225,$C95))</f>
        <v>286</v>
      </c>
      <c r="P95" s="337">
        <f ca="1">IF('Point Data'!D95&gt;Standings!$Q$27,"",SUMIFS($M$2:$M$225,$D$2:$D$225,D95))</f>
        <v>32</v>
      </c>
      <c r="Q95" s="337">
        <f ca="1">IF('Point Data'!D95&gt;Standings!$Q$27,"",SUMIFS($L$2:$L$225,$D$2:$D$225,D95))</f>
        <v>513</v>
      </c>
      <c r="R95" s="249">
        <f ca="1">IF($D95&gt;Standings!$Q$27,"",IF(U95="T",(Z95+0.5)/(D95)*100,(Z95/D95)*100))</f>
        <v>60</v>
      </c>
      <c r="S95" s="253">
        <f ca="1">IF($D95&gt;Standings!$Q$27,"",$J95-$K95)</f>
        <v>3.1400000000000006</v>
      </c>
      <c r="T95" s="253">
        <f ca="1">IF($D95&gt;Standings!$Q$27,"",AVERAGE(OFFSET(S95,(-$D95+1),0,1,1):S95))</f>
        <v>1.8340000000000003</v>
      </c>
      <c r="U95" s="172">
        <f ca="1">IF($D95&gt;Standings!$Q$27,"",IF(J95&gt;K95,1,IF(J95=K95,"T",0)))</f>
        <v>1</v>
      </c>
      <c r="V95" s="267">
        <f ca="1">IF($D95&gt;Standings!$Q$27,"",IF(F95="Conf",V94,SUMIFS($U$2:$U$225,$D$2:$D$225,"&lt;="&amp;$D95,$B$2:$B$225,$B95,$F$2:$F$225,"Non Conf")))</f>
        <v>3</v>
      </c>
      <c r="W95" s="267" t="str">
        <f ca="1">IF($D95&gt;Standings!$Q$27,"",$V95&amp;"-"&amp;COUNTIF(OFFSET($F95,(-$D95+1),0,1,1):$F95,"Non Conf")-$V95)</f>
        <v>3-2</v>
      </c>
      <c r="X95" s="267">
        <f ca="1">IF($D95&gt;Standings!$Q$27,"",SUMIFS($U$2:$U$225,$D$2:$D$225,"&lt;="&amp;$D95,$B$2:$B$225,$B95,$F$2:$F$225,"Conf"))</f>
        <v>3</v>
      </c>
      <c r="Y95" s="267" t="str">
        <f ca="1">IF($D95&gt;Standings!$Q$27,"",$X95&amp;"-"&amp;COUNTIF(OFFSET($F95,(-$D95+1),0,1,1):$F95,"Conf")-$X95)</f>
        <v>3-2</v>
      </c>
      <c r="Z95" s="267">
        <f ca="1">IF($D95&gt;Standings!$Q$27,"",SUM(OFFSET(U95,(-$D95+1),0,1,1):U95))</f>
        <v>6</v>
      </c>
      <c r="AA95" s="172">
        <f ca="1">IF($D95&gt;Standings!$Q$27,"",IF(U95=1,1+AA94,0))</f>
        <v>1</v>
      </c>
      <c r="AB95" s="250">
        <f ca="1">IF($D95&gt;Standings!$Q$27,"",IF(AA95=0,1+AB94,0))</f>
        <v>0</v>
      </c>
      <c r="AC95" s="251">
        <f ca="1">IF($D95&gt;Standings!$Q$27,"",SUM(OFFSET(J95,(-$D95+1),0,1,1):J95))</f>
        <v>1102.5</v>
      </c>
      <c r="AD95" s="248">
        <f ca="1">IF($D95&gt;Standings!$Q$27,"",SUM(OFFSET(K95,(-$D95+1),0,1,1):K95))</f>
        <v>1084.1600000000001</v>
      </c>
      <c r="AE95" s="248">
        <f ca="1">IF($D95&gt;Standings!$Q$27,"",$J95-$K95)</f>
        <v>3.1400000000000006</v>
      </c>
      <c r="AF95" s="248">
        <f ca="1">IF($D95&gt;Standings!$Q$27,"",AC95-AD95)</f>
        <v>18.339999999999918</v>
      </c>
      <c r="AG95" s="172">
        <f ca="1">IF($D95&gt;Standings!$Q$27,"",(COUNTIFS($D$2:$D$225,$D95,$C$2:$C$225,$C95,$AC$2:$AC$225,"&lt;"&amp;$AC95)+1)*0.01)</f>
        <v>7.0000000000000007E-2</v>
      </c>
      <c r="AH95" s="172">
        <f ca="1">IF($D95&gt;Standings!$Q$27,"",Z95+AG95)</f>
        <v>6.07</v>
      </c>
      <c r="AI95" s="267"/>
      <c r="AJ95" s="267">
        <f t="array" aca="1" ref="AJ95" ca="1">IF($D95&gt;Standings!$Q$27,"",(COUNTIFS($D$2:$D$225,$D95,$C$2:$C$225,$C95,$AM$2:$AM$225,"&gt;"&amp;$AM95)+1))</f>
        <v>3</v>
      </c>
      <c r="AK95" s="267">
        <f t="array" aca="1" ref="AK95" ca="1">IF($D95&gt;Standings!$Q$27,"",IF((COUNTIFS($D$2:$D$225,$D95,$C$2:$C$225,$C95,$AH$2:$AH$225,"&gt;"&amp;$AH95)+1)=2,1,0))</f>
        <v>0</v>
      </c>
      <c r="AL95" s="267">
        <f t="array" aca="1" ref="AL95" ca="1">IF($D95&gt;Standings!$Q$27,"",IF((COUNTIFS($D$2:$D$225,$D95,$C$2:$C$225,$C95,$AH$2:$AH$225,"&gt;"&amp;$AH95)+1)&lt;2,1,0))</f>
        <v>0</v>
      </c>
      <c r="AM95" s="267">
        <f ca="1">IF($D95&gt;Standings!$Q$27,"",IF(AL95=1,200+Z95+(16-AQ95)*0.01+AI95,IF(AK95=1,100+Z95+(16-AQ95)*0.01+AI95,IF(AN95=1,50+Z95+(16-AQ95)*0.01,IF(AO95=1,15+Z95+(16-AQ95)*0.01,Z95+(16-AQ95)*0.01+AI95)))))</f>
        <v>56.12</v>
      </c>
      <c r="AN95" s="267">
        <f ca="1">IF($D95&gt;Standings!$Q$27,"",IF(OR($AK95=1,$AL95=1),"Conf Playoff Spot",COUNTIFS($AL$2:$AL$225,0,$AK$2:$AK$225,0,$C$2:$C$225,$C95,$D$2:$D$225,$D95,$AC$2:$AC$225,"&gt;"&amp;$AC95)+1))</f>
        <v>1</v>
      </c>
      <c r="AO95" s="267">
        <f t="array" aca="1" ref="AO95" ca="1">IF($D95&gt;Standings!$Q$27,"",IF(OR($AK95=1,$AL95=1),"Conf Playoff Spot",COUNTIFS($AK$2:$AK$225,0,$AL$2:$AL$225,0,$D$2:$D$225,$D95,$AH$2:$AH$225,"&gt;"&amp;$AH95)+1))</f>
        <v>1</v>
      </c>
      <c r="AP95" s="267">
        <f t="array" aca="1" ref="AP95" ca="1">IF($D95&gt;Standings!$Q$27,"",(COUNTIFS($D$2:$D$225,$D95,$J$2:$J$225,"&gt;"&amp;$J95)+1))</f>
        <v>5</v>
      </c>
      <c r="AQ95" s="249">
        <f ca="1">IF($D95&gt;Standings!$Q$27,"",(COUNTIFS($D$2:$D$225,$D95,$AC$2:$AC$225,"&gt;"&amp;$AC95)+1))</f>
        <v>4</v>
      </c>
      <c r="AR95" s="249">
        <f ca="1">IF($D95&gt;Standings!$Q$27,"",(COUNTIFS($D$2:$D$225,$D95,$K$2:$K$225,"&gt;"&amp;$K95)+1))</f>
        <v>7</v>
      </c>
      <c r="AS95" s="249">
        <f ca="1">IF($D95&gt;Standings!$Q$27,"",(COUNTIFS($D$2:$D$225,$D95,$AD$2:$AD$225,"&gt;"&amp;$AD95)+1))</f>
        <v>3</v>
      </c>
      <c r="AT95" s="354">
        <f ca="1">IF($D95&gt;Standings!$Q$27,"",SUMIFS($J$2:$J$225,$D$2:$D$225,$D95,$C$2:$C$225,$C95))</f>
        <v>753.38</v>
      </c>
      <c r="AU95" s="253">
        <f ca="1">IF($D95&gt;Standings!$Q$27,"",SUMIFS($AC$2:$AC$225,$D$2:$D$225,$D95,$C$2:$C$225,$C95))</f>
        <v>8201.74</v>
      </c>
    </row>
    <row r="96" spans="1:47">
      <c r="A96" s="190">
        <f t="shared" si="1"/>
        <v>166</v>
      </c>
      <c r="B96" s="198" t="str">
        <f>'ESPN Data'!$L$10</f>
        <v>Team 7</v>
      </c>
      <c r="C96" s="346" t="str">
        <f>VLOOKUP(B96,'ESPN Data'!$L$4:$M$19,2,FALSE)</f>
        <v>Bone</v>
      </c>
      <c r="D96" s="397">
        <v>11</v>
      </c>
      <c r="E96" s="267" t="str">
        <f t="array" ref="E96">INDEX('ESPN Data'!$C$3:$C$226,MATCH(1,('ESPN Data'!$A$3:$A$226='Point Data'!$D96)*('ESPN Data'!$B$3:$B$226='Point Data'!$B96),0))</f>
        <v>Team 14</v>
      </c>
      <c r="F96" s="250" t="str">
        <f>IF(C96&lt;&gt;VLOOKUP($E96,'ESPN Data'!$L$4:$M$19,2,FALSE),"Non Conf", "Conf")</f>
        <v>Non Conf</v>
      </c>
      <c r="G96" s="246">
        <f t="array" aca="1" ref="G96" ca="1">IF('Point Data'!$D96&gt;Standings!$Q$27,"",(COUNTIFS($D$2:$D$225,$D96,$AM$2:$AM$225,"&gt;"&amp;$AM96)+1))</f>
        <v>3</v>
      </c>
      <c r="H96" s="172">
        <f ca="1">IF('Point Data'!$D96&gt;Standings!$Q$27,"",$G95)</f>
        <v>5</v>
      </c>
      <c r="I96" s="249">
        <f ca="1">IF('Point Data'!D96&gt;Standings!$Q$27,"",H96-G96)</f>
        <v>2</v>
      </c>
      <c r="J96" s="172">
        <f ca="1">IF('Point Data'!D96&gt;Standings!$Q$27,"",OFFSET('ESPN Data'!D$3,$A96,0,1,1))</f>
        <v>121.21</v>
      </c>
      <c r="K96" s="248">
        <f ca="1">IF('Point Data'!D96&gt;Standings!$Q$27,"",OFFSET('ESPN Data'!E$3,$A96,0,1,1))</f>
        <v>120.56</v>
      </c>
      <c r="L96" s="337">
        <f ca="1">IF('Point Data'!D96&gt;Standings!$Q$27,"",OFFSET('ESPN Data'!I$3,$A96,0,1,1))</f>
        <v>70</v>
      </c>
      <c r="M96" s="337">
        <f ca="1">IF('Point Data'!D96&gt;Standings!$Q$27,"",OFFSET('ESPN Data'!I$3,$A96,-2,1,1))</f>
        <v>30</v>
      </c>
      <c r="N96" s="337">
        <f ca="1">IF('Point Data'!D96&gt;Standings!$Q$27,"",SUMIFS($M$2:$M$225,$D$2:$D$225,D96,$C$2:$C$225,C96))</f>
        <v>51</v>
      </c>
      <c r="O96" s="337">
        <f ca="1">IF('Point Data'!D96&gt;Standings!$Q$27,"",SUMIFS($L$2:$L$225,$D$2:$D$225,$D96,$C$2:$C$225,$C96))</f>
        <v>235</v>
      </c>
      <c r="P96" s="337">
        <f ca="1">IF('Point Data'!D96&gt;Standings!$Q$27,"",SUMIFS($M$2:$M$225,$D$2:$D$225,D96))</f>
        <v>61</v>
      </c>
      <c r="Q96" s="337">
        <f ca="1">IF('Point Data'!D96&gt;Standings!$Q$27,"",SUMIFS($L$2:$L$225,$D$2:$D$225,D96))</f>
        <v>452</v>
      </c>
      <c r="R96" s="249">
        <f ca="1">IF($D96&gt;Standings!$Q$27,"",IF(U96="T",(Z96+0.5)/(D96)*100,(Z96/D96)*100))</f>
        <v>63.636363636363633</v>
      </c>
      <c r="S96" s="253">
        <f ca="1">IF($D96&gt;Standings!$Q$27,"",$J96-$K96)</f>
        <v>0.64999999999999147</v>
      </c>
      <c r="T96" s="253">
        <f ca="1">IF($D96&gt;Standings!$Q$27,"",AVERAGE(OFFSET(S96,(-$D96+1),0,1,1):S96))</f>
        <v>1.7263636363636359</v>
      </c>
      <c r="U96" s="172">
        <f ca="1">IF($D96&gt;Standings!$Q$27,"",IF(J96&gt;K96,1,IF(J96=K96,"T",0)))</f>
        <v>1</v>
      </c>
      <c r="V96" s="267">
        <f ca="1">IF($D96&gt;Standings!$Q$27,"",IF(F96="Conf",V95,SUMIFS($U$2:$U$225,$D$2:$D$225,"&lt;="&amp;$D96,$B$2:$B$225,$B96,$F$2:$F$225,"Non Conf")))</f>
        <v>4</v>
      </c>
      <c r="W96" s="267" t="str">
        <f ca="1">IF($D96&gt;Standings!$Q$27,"",$V96&amp;"-"&amp;COUNTIF(OFFSET($F96,(-$D96+1),0,1,1):$F96,"Non Conf")-$V96)</f>
        <v>4-2</v>
      </c>
      <c r="X96" s="267">
        <f ca="1">IF($D96&gt;Standings!$Q$27,"",SUMIFS($U$2:$U$225,$D$2:$D$225,"&lt;="&amp;$D96,$B$2:$B$225,$B96,$F$2:$F$225,"Conf"))</f>
        <v>3</v>
      </c>
      <c r="Y96" s="267" t="str">
        <f ca="1">IF($D96&gt;Standings!$Q$27,"",$X96&amp;"-"&amp;COUNTIF(OFFSET($F96,(-$D96+1),0,1,1):$F96,"Conf")-$X96)</f>
        <v>3-2</v>
      </c>
      <c r="Z96" s="267">
        <f ca="1">IF($D96&gt;Standings!$Q$27,"",SUM(OFFSET(U96,(-$D96+1),0,1,1):U96))</f>
        <v>7</v>
      </c>
      <c r="AA96" s="172">
        <f ca="1">IF($D96&gt;Standings!$Q$27,"",IF(U96=1,1+AA95,0))</f>
        <v>2</v>
      </c>
      <c r="AB96" s="250">
        <f ca="1">IF($D96&gt;Standings!$Q$27,"",IF(AA96=0,1+AB95,0))</f>
        <v>0</v>
      </c>
      <c r="AC96" s="251">
        <f ca="1">IF($D96&gt;Standings!$Q$27,"",SUM(OFFSET(J96,(-$D96+1),0,1,1):J96))</f>
        <v>1223.71</v>
      </c>
      <c r="AD96" s="248">
        <f ca="1">IF($D96&gt;Standings!$Q$27,"",SUM(OFFSET(K96,(-$D96+1),0,1,1):K96))</f>
        <v>1204.72</v>
      </c>
      <c r="AE96" s="248">
        <f ca="1">IF($D96&gt;Standings!$Q$27,"",$J96-$K96)</f>
        <v>0.64999999999999147</v>
      </c>
      <c r="AF96" s="248">
        <f ca="1">IF($D96&gt;Standings!$Q$27,"",AC96-AD96)</f>
        <v>18.990000000000009</v>
      </c>
      <c r="AG96" s="172">
        <f ca="1">IF($D96&gt;Standings!$Q$27,"",(COUNTIFS($D$2:$D$225,$D96,$C$2:$C$225,$C96,$AC$2:$AC$225,"&lt;"&amp;$AC96)+1)*0.01)</f>
        <v>7.0000000000000007E-2</v>
      </c>
      <c r="AH96" s="172">
        <f ca="1">IF($D96&gt;Standings!$Q$27,"",Z96+AG96)</f>
        <v>7.07</v>
      </c>
      <c r="AI96" s="267"/>
      <c r="AJ96" s="267">
        <f t="array" aca="1" ref="AJ96" ca="1">IF($D96&gt;Standings!$Q$27,"",(COUNTIFS($D$2:$D$225,$D96,$C$2:$C$225,$C96,$AM$2:$AM$225,"&gt;"&amp;$AM96)+1))</f>
        <v>2</v>
      </c>
      <c r="AK96" s="267">
        <f t="array" aca="1" ref="AK96" ca="1">IF($D96&gt;Standings!$Q$27,"",IF((COUNTIFS($D$2:$D$225,$D96,$C$2:$C$225,$C96,$AH$2:$AH$225,"&gt;"&amp;$AH96)+1)=2,1,0))</f>
        <v>1</v>
      </c>
      <c r="AL96" s="267">
        <f t="array" aca="1" ref="AL96" ca="1">IF($D96&gt;Standings!$Q$27,"",IF((COUNTIFS($D$2:$D$225,$D96,$C$2:$C$225,$C96,$AH$2:$AH$225,"&gt;"&amp;$AH96)+1)&lt;2,1,0))</f>
        <v>0</v>
      </c>
      <c r="AM96" s="267">
        <f ca="1">IF($D96&gt;Standings!$Q$27,"",IF(AL96=1,200+Z96+(16-AQ96)*0.01+AI96,IF(AK96=1,100+Z96+(16-AQ96)*0.01+AI96,IF(AN96=1,50+Z96+(16-AQ96)*0.01,IF(AO96=1,15+Z96+(16-AQ96)*0.01,Z96+(16-AQ96)*0.01+AI96)))))</f>
        <v>107.12</v>
      </c>
      <c r="AN96" s="267" t="str">
        <f ca="1">IF($D96&gt;Standings!$Q$27,"",IF(OR($AK96=1,$AL96=1),"Conf Playoff Spot",COUNTIFS($AL$2:$AL$225,0,$AK$2:$AK$225,0,$C$2:$C$225,$C96,$D$2:$D$225,$D96,$AC$2:$AC$225,"&gt;"&amp;$AC96)+1))</f>
        <v>Conf Playoff Spot</v>
      </c>
      <c r="AO96" s="267" t="str">
        <f t="array" aca="1" ref="AO96" ca="1">IF($D96&gt;Standings!$Q$27,"",IF(OR($AK96=1,$AL96=1),"Conf Playoff Spot",COUNTIFS($AK$2:$AK$225,0,$AL$2:$AL$225,0,$D$2:$D$225,$D96,$AH$2:$AH$225,"&gt;"&amp;$AH96)+1))</f>
        <v>Conf Playoff Spot</v>
      </c>
      <c r="AP96" s="267">
        <f t="array" aca="1" ref="AP96" ca="1">IF($D96&gt;Standings!$Q$27,"",(COUNTIFS($D$2:$D$225,$D96,$J$2:$J$225,"&gt;"&amp;$J96)+1))</f>
        <v>3</v>
      </c>
      <c r="AQ96" s="249">
        <f ca="1">IF($D96&gt;Standings!$Q$27,"",(COUNTIFS($D$2:$D$225,$D96,$AC$2:$AC$225,"&gt;"&amp;$AC96)+1))</f>
        <v>4</v>
      </c>
      <c r="AR96" s="249">
        <f ca="1">IF($D96&gt;Standings!$Q$27,"",(COUNTIFS($D$2:$D$225,$D96,$K$2:$K$225,"&gt;"&amp;$K96)+1))</f>
        <v>4</v>
      </c>
      <c r="AS96" s="249">
        <f ca="1">IF($D96&gt;Standings!$Q$27,"",(COUNTIFS($D$2:$D$225,$D96,$AD$2:$AD$225,"&gt;"&amp;$AD96)+1))</f>
        <v>3</v>
      </c>
      <c r="AT96" s="354">
        <f ca="1">IF($D96&gt;Standings!$Q$27,"",SUMIFS($J$2:$J$225,$D$2:$D$225,$D96,$C$2:$C$225,$C96))</f>
        <v>833.56000000000006</v>
      </c>
      <c r="AU96" s="253">
        <f ca="1">IF($D96&gt;Standings!$Q$27,"",SUMIFS($AC$2:$AC$225,$D$2:$D$225,$D96,$C$2:$C$225,$C96))</f>
        <v>9035.3000000000011</v>
      </c>
    </row>
    <row r="97" spans="1:47">
      <c r="A97" s="190">
        <f t="shared" si="1"/>
        <v>182</v>
      </c>
      <c r="B97" s="198" t="str">
        <f>'ESPN Data'!$L$10</f>
        <v>Team 7</v>
      </c>
      <c r="C97" s="346" t="str">
        <f>VLOOKUP(B97,'ESPN Data'!$L$4:$M$19,2,FALSE)</f>
        <v>Bone</v>
      </c>
      <c r="D97" s="397">
        <v>12</v>
      </c>
      <c r="E97" s="267" t="str">
        <f t="array" ref="E97">INDEX('ESPN Data'!$C$3:$C$226,MATCH(1,('ESPN Data'!$A$3:$A$226='Point Data'!$D97)*('ESPN Data'!$B$3:$B$226='Point Data'!$B97),0))</f>
        <v>Team 6</v>
      </c>
      <c r="F97" s="250" t="str">
        <f>IF(C97&lt;&gt;VLOOKUP($E97,'ESPN Data'!$L$4:$M$19,2,FALSE),"Non Conf", "Conf")</f>
        <v>Conf</v>
      </c>
      <c r="G97" s="246">
        <f t="array" aca="1" ref="G97" ca="1">IF('Point Data'!$D97&gt;Standings!$Q$27,"",(COUNTIFS($D$2:$D$225,$D97,$AM$2:$AM$225,"&gt;"&amp;$AM97)+1))</f>
        <v>5</v>
      </c>
      <c r="H97" s="172">
        <f ca="1">IF('Point Data'!$D97&gt;Standings!$Q$27,"",$G96)</f>
        <v>3</v>
      </c>
      <c r="I97" s="249">
        <f ca="1">IF('Point Data'!D97&gt;Standings!$Q$27,"",H97-G97)</f>
        <v>-2</v>
      </c>
      <c r="J97" s="172">
        <f ca="1">IF('Point Data'!D97&gt;Standings!$Q$27,"",OFFSET('ESPN Data'!D$3,$A97,0,1,1))</f>
        <v>98.78</v>
      </c>
      <c r="K97" s="248">
        <f ca="1">IF('Point Data'!D97&gt;Standings!$Q$27,"",OFFSET('ESPN Data'!E$3,$A97,0,1,1))</f>
        <v>112.45</v>
      </c>
      <c r="L97" s="337">
        <f ca="1">IF('Point Data'!D97&gt;Standings!$Q$27,"",OFFSET('ESPN Data'!I$3,$A97,0,1,1))</f>
        <v>70</v>
      </c>
      <c r="M97" s="337">
        <f ca="1">IF('Point Data'!D97&gt;Standings!$Q$27,"",OFFSET('ESPN Data'!I$3,$A97,-2,1,1))</f>
        <v>0</v>
      </c>
      <c r="N97" s="337">
        <f ca="1">IF('Point Data'!D97&gt;Standings!$Q$27,"",SUMIFS($M$2:$M$225,$D$2:$D$225,D97,$C$2:$C$225,C97))</f>
        <v>6</v>
      </c>
      <c r="O97" s="337">
        <f ca="1">IF('Point Data'!D97&gt;Standings!$Q$27,"",SUMIFS($L$2:$L$225,$D$2:$D$225,$D97,$C$2:$C$225,$C97))</f>
        <v>229</v>
      </c>
      <c r="P97" s="337">
        <f ca="1">IF('Point Data'!D97&gt;Standings!$Q$27,"",SUMIFS($M$2:$M$225,$D$2:$D$225,D97))</f>
        <v>41</v>
      </c>
      <c r="Q97" s="337">
        <f ca="1">IF('Point Data'!D97&gt;Standings!$Q$27,"",SUMIFS($L$2:$L$225,$D$2:$D$225,D97))</f>
        <v>411</v>
      </c>
      <c r="R97" s="249">
        <f ca="1">IF($D97&gt;Standings!$Q$27,"",IF(U97="T",(Z97+0.5)/(D97)*100,(Z97/D97)*100))</f>
        <v>58.333333333333336</v>
      </c>
      <c r="S97" s="253">
        <f ca="1">IF($D97&gt;Standings!$Q$27,"",$J97-$K97)</f>
        <v>-13.670000000000002</v>
      </c>
      <c r="T97" s="253">
        <f ca="1">IF($D97&gt;Standings!$Q$27,"",AVERAGE(OFFSET(S97,(-$D97+1),0,1,1):S97))</f>
        <v>0.44333333333333275</v>
      </c>
      <c r="U97" s="172">
        <f ca="1">IF($D97&gt;Standings!$Q$27,"",IF(J97&gt;K97,1,IF(J97=K97,"T",0)))</f>
        <v>0</v>
      </c>
      <c r="V97" s="267">
        <f ca="1">IF($D97&gt;Standings!$Q$27,"",IF(F97="Conf",V96,SUMIFS($U$2:$U$225,$D$2:$D$225,"&lt;="&amp;$D97,$B$2:$B$225,$B97,$F$2:$F$225,"Non Conf")))</f>
        <v>4</v>
      </c>
      <c r="W97" s="267" t="str">
        <f ca="1">IF($D97&gt;Standings!$Q$27,"",$V97&amp;"-"&amp;COUNTIF(OFFSET($F97,(-$D97+1),0,1,1):$F97,"Non Conf")-$V97)</f>
        <v>4-2</v>
      </c>
      <c r="X97" s="267">
        <f ca="1">IF($D97&gt;Standings!$Q$27,"",SUMIFS($U$2:$U$225,$D$2:$D$225,"&lt;="&amp;$D97,$B$2:$B$225,$B97,$F$2:$F$225,"Conf"))</f>
        <v>3</v>
      </c>
      <c r="Y97" s="267" t="str">
        <f ca="1">IF($D97&gt;Standings!$Q$27,"",$X97&amp;"-"&amp;COUNTIF(OFFSET($F97,(-$D97+1),0,1,1):$F97,"Conf")-$X97)</f>
        <v>3-3</v>
      </c>
      <c r="Z97" s="267">
        <f ca="1">IF($D97&gt;Standings!$Q$27,"",SUM(OFFSET(U97,(-$D97+1),0,1,1):U97))</f>
        <v>7</v>
      </c>
      <c r="AA97" s="172">
        <f ca="1">IF($D97&gt;Standings!$Q$27,"",IF(U97=1,1+AA96,0))</f>
        <v>0</v>
      </c>
      <c r="AB97" s="250">
        <f ca="1">IF($D97&gt;Standings!$Q$27,"",IF(AA97=0,1+AB96,0))</f>
        <v>1</v>
      </c>
      <c r="AC97" s="251">
        <f ca="1">IF($D97&gt;Standings!$Q$27,"",SUM(OFFSET(J97,(-$D97+1),0,1,1):J97))</f>
        <v>1322.49</v>
      </c>
      <c r="AD97" s="248">
        <f ca="1">IF($D97&gt;Standings!$Q$27,"",SUM(OFFSET(K97,(-$D97+1),0,1,1):K97))</f>
        <v>1317.17</v>
      </c>
      <c r="AE97" s="248">
        <f ca="1">IF($D97&gt;Standings!$Q$27,"",$J97-$K97)</f>
        <v>-13.670000000000002</v>
      </c>
      <c r="AF97" s="248">
        <f ca="1">IF($D97&gt;Standings!$Q$27,"",AC97-AD97)</f>
        <v>5.3199999999999363</v>
      </c>
      <c r="AG97" s="172">
        <f ca="1">IF($D97&gt;Standings!$Q$27,"",(COUNTIFS($D$2:$D$225,$D97,$C$2:$C$225,$C97,$AC$2:$AC$225,"&lt;"&amp;$AC97)+1)*0.01)</f>
        <v>7.0000000000000007E-2</v>
      </c>
      <c r="AH97" s="172">
        <f ca="1">IF($D97&gt;Standings!$Q$27,"",Z97+AG97)</f>
        <v>7.07</v>
      </c>
      <c r="AI97" s="267"/>
      <c r="AJ97" s="267">
        <f t="array" aca="1" ref="AJ97" ca="1">IF($D97&gt;Standings!$Q$27,"",(COUNTIFS($D$2:$D$225,$D97,$C$2:$C$225,$C97,$AM$2:$AM$225,"&gt;"&amp;$AM97)+1))</f>
        <v>3</v>
      </c>
      <c r="AK97" s="267">
        <f t="array" aca="1" ref="AK97" ca="1">IF($D97&gt;Standings!$Q$27,"",IF((COUNTIFS($D$2:$D$225,$D97,$C$2:$C$225,$C97,$AH$2:$AH$225,"&gt;"&amp;$AH97)+1)=2,1,0))</f>
        <v>0</v>
      </c>
      <c r="AL97" s="267">
        <f t="array" aca="1" ref="AL97" ca="1">IF($D97&gt;Standings!$Q$27,"",IF((COUNTIFS($D$2:$D$225,$D97,$C$2:$C$225,$C97,$AH$2:$AH$225,"&gt;"&amp;$AH97)+1)&lt;2,1,0))</f>
        <v>0</v>
      </c>
      <c r="AM97" s="267">
        <f ca="1">IF($D97&gt;Standings!$Q$27,"",IF(AL97=1,200+Z97+(16-AQ97)*0.01+AI97,IF(AK97=1,100+Z97+(16-AQ97)*0.01+AI97,IF(AN97=1,50+Z97+(16-AQ97)*0.01,IF(AO97=1,15+Z97+(16-AQ97)*0.01,Z97+(16-AQ97)*0.01+AI97)))))</f>
        <v>57.12</v>
      </c>
      <c r="AN97" s="267">
        <f ca="1">IF($D97&gt;Standings!$Q$27,"",IF(OR($AK97=1,$AL97=1),"Conf Playoff Spot",COUNTIFS($AL$2:$AL$225,0,$AK$2:$AK$225,0,$C$2:$C$225,$C97,$D$2:$D$225,$D97,$AC$2:$AC$225,"&gt;"&amp;$AC97)+1))</f>
        <v>1</v>
      </c>
      <c r="AO97" s="267">
        <f t="array" aca="1" ref="AO97" ca="1">IF($D97&gt;Standings!$Q$27,"",IF(OR($AK97=1,$AL97=1),"Conf Playoff Spot",COUNTIFS($AK$2:$AK$225,0,$AL$2:$AL$225,0,$D$2:$D$225,$D97,$AH$2:$AH$225,"&gt;"&amp;$AH97)+1))</f>
        <v>2</v>
      </c>
      <c r="AP97" s="267">
        <f t="array" aca="1" ref="AP97" ca="1">IF($D97&gt;Standings!$Q$27,"",(COUNTIFS($D$2:$D$225,$D97,$J$2:$J$225,"&gt;"&amp;$J97)+1))</f>
        <v>9</v>
      </c>
      <c r="AQ97" s="249">
        <f ca="1">IF($D97&gt;Standings!$Q$27,"",(COUNTIFS($D$2:$D$225,$D97,$AC$2:$AC$225,"&gt;"&amp;$AC97)+1))</f>
        <v>4</v>
      </c>
      <c r="AR97" s="249">
        <f ca="1">IF($D97&gt;Standings!$Q$27,"",(COUNTIFS($D$2:$D$225,$D97,$K$2:$K$225,"&gt;"&amp;$K97)+1))</f>
        <v>6</v>
      </c>
      <c r="AS97" s="249">
        <f ca="1">IF($D97&gt;Standings!$Q$27,"",(COUNTIFS($D$2:$D$225,$D97,$AD$2:$AD$225,"&gt;"&amp;$AD97)+1))</f>
        <v>3</v>
      </c>
      <c r="AT97" s="354">
        <f ca="1">IF($D97&gt;Standings!$Q$27,"",SUMIFS($J$2:$J$225,$D$2:$D$225,$D97,$C$2:$C$225,$C97))</f>
        <v>841.41000000000008</v>
      </c>
      <c r="AU97" s="253">
        <f ca="1">IF($D97&gt;Standings!$Q$27,"",SUMIFS($AC$2:$AC$225,$D$2:$D$225,$D97,$C$2:$C$225,$C97))</f>
        <v>9876.7100000000009</v>
      </c>
    </row>
    <row r="98" spans="1:47" s="190" customFormat="1">
      <c r="A98" s="190">
        <f t="shared" si="1"/>
        <v>198</v>
      </c>
      <c r="B98" s="227" t="str">
        <f>'ESPN Data'!$L$10</f>
        <v>Team 7</v>
      </c>
      <c r="C98" s="347" t="str">
        <f>VLOOKUP(B98,'ESPN Data'!$L$4:$M$19,2,FALSE)</f>
        <v>Bone</v>
      </c>
      <c r="D98" s="550">
        <v>13</v>
      </c>
      <c r="E98" s="275" t="str">
        <f t="array" ref="E98">INDEX('ESPN Data'!$C$3:$C$226,MATCH(1,('ESPN Data'!$A$3:$A$226='Point Data'!$D98)*('ESPN Data'!$B$3:$B$226='Point Data'!$B98),0))</f>
        <v>Team 11</v>
      </c>
      <c r="F98" s="274" t="str">
        <f>IF(C98&lt;&gt;VLOOKUP($E98,'ESPN Data'!$L$4:$M$19,2,FALSE),"Non Conf", "Conf")</f>
        <v>Non Conf</v>
      </c>
      <c r="G98" s="271">
        <f t="array" aca="1" ref="G98" ca="1">IF('Point Data'!$D98&gt;Standings!$Q$27,"",(COUNTIFS($D$2:$D$225,$D98,$AM$2:$AM$225,"&gt;"&amp;$AM98)+1))</f>
        <v>9</v>
      </c>
      <c r="H98" s="264">
        <f ca="1">IF('Point Data'!$D98&gt;Standings!$Q$27,"",$G97)</f>
        <v>5</v>
      </c>
      <c r="I98" s="265">
        <f ca="1">IF('Point Data'!D98&gt;Standings!$Q$27,"",H98-G98)</f>
        <v>-4</v>
      </c>
      <c r="J98" s="264">
        <f ca="1">IF('Point Data'!D98&gt;Standings!$Q$27,"",OFFSET('ESPN Data'!D$3,$A98,0,1,1))</f>
        <v>84.18</v>
      </c>
      <c r="K98" s="272">
        <f ca="1">IF('Point Data'!D98&gt;Standings!$Q$27,"",OFFSET('ESPN Data'!E$3,$A98,0,1,1))</f>
        <v>110.41</v>
      </c>
      <c r="L98" s="339">
        <f ca="1">IF('Point Data'!D98&gt;Standings!$Q$27,"",OFFSET('ESPN Data'!I$3,$A98,0,1,1))</f>
        <v>70</v>
      </c>
      <c r="M98" s="339">
        <f ca="1">IF('Point Data'!D98&gt;Standings!$Q$27,"",OFFSET('ESPN Data'!I$3,$A98,-2,1,1))</f>
        <v>0</v>
      </c>
      <c r="N98" s="339">
        <f ca="1">IF('Point Data'!D98&gt;Standings!$Q$27,"",SUMIFS($M$2:$M$225,$D$2:$D$225,D98,$C$2:$C$225,C98))</f>
        <v>5</v>
      </c>
      <c r="O98" s="339">
        <f ca="1">IF('Point Data'!D98&gt;Standings!$Q$27,"",SUMIFS($L$2:$L$225,$D$2:$D$225,$D98,$C$2:$C$225,$C98))</f>
        <v>224</v>
      </c>
      <c r="P98" s="339">
        <f ca="1">IF('Point Data'!D98&gt;Standings!$Q$27,"",SUMIFS($M$2:$M$225,$D$2:$D$225,D98))</f>
        <v>41</v>
      </c>
      <c r="Q98" s="339">
        <f ca="1">IF('Point Data'!D98&gt;Standings!$Q$27,"",SUMIFS($L$2:$L$225,$D$2:$D$225,D98))</f>
        <v>370</v>
      </c>
      <c r="R98" s="265">
        <f ca="1">IF($D98&gt;Standings!$Q$27,"",IF(U98="T",(Z98+0.5)/(D98)*100,(Z98/D98)*100))</f>
        <v>53.846153846153847</v>
      </c>
      <c r="S98" s="340">
        <f ca="1">IF($D98&gt;Standings!$Q$27,"",$J98-$K98)</f>
        <v>-26.22999999999999</v>
      </c>
      <c r="T98" s="340">
        <f ca="1">IF($D98&gt;Standings!$Q$27,"",AVERAGE(OFFSET(S98,(-$D98+1),0,1,1):S98))</f>
        <v>-1.6084615384615382</v>
      </c>
      <c r="U98" s="264">
        <f ca="1">IF($D98&gt;Standings!$Q$27,"",IF(J98&gt;K98,1,IF(J98=K98,"T",0)))</f>
        <v>0</v>
      </c>
      <c r="V98" s="275">
        <f ca="1">IF($D98&gt;Standings!$Q$27,"",IF(F98="Conf",V97,SUMIFS($U$2:$U$225,$D$2:$D$225,"&lt;="&amp;$D98,$B$2:$B$225,$B98,$F$2:$F$225,"Non Conf")))</f>
        <v>4</v>
      </c>
      <c r="W98" s="275" t="str">
        <f ca="1">IF($D98&gt;Standings!$Q$27,"",$V98&amp;"-"&amp;COUNTIF(OFFSET($F98,(-$D98+1),0,1,1):$F98,"Non Conf")-$V98)</f>
        <v>4-3</v>
      </c>
      <c r="X98" s="275">
        <f ca="1">IF($D98&gt;Standings!$Q$27,"",SUMIFS($U$2:$U$225,$D$2:$D$225,"&lt;="&amp;$D98,$B$2:$B$225,$B98,$F$2:$F$225,"Conf"))</f>
        <v>3</v>
      </c>
      <c r="Y98" s="275" t="str">
        <f ca="1">IF($D98&gt;Standings!$Q$27,"",$X98&amp;"-"&amp;COUNTIF(OFFSET($F98,(-$D98+1),0,1,1):$F98,"Conf")-$X98)</f>
        <v>3-3</v>
      </c>
      <c r="Z98" s="275">
        <f ca="1">IF($D98&gt;Standings!$Q$27,"",SUM(OFFSET(U98,(-$D98+1),0,1,1):U98))</f>
        <v>7</v>
      </c>
      <c r="AA98" s="264">
        <f ca="1">IF($D98&gt;Standings!$Q$27,"",IF(U98=1,1+AA97,0))</f>
        <v>0</v>
      </c>
      <c r="AB98" s="274">
        <f ca="1">IF($D98&gt;Standings!$Q$27,"",IF(AA98=0,1+AB97,0))</f>
        <v>2</v>
      </c>
      <c r="AC98" s="273">
        <f ca="1">IF($D98&gt;Standings!$Q$27,"",SUM(OFFSET(J98,(-$D98+1),0,1,1):J98))</f>
        <v>1406.67</v>
      </c>
      <c r="AD98" s="272">
        <f ca="1">IF($D98&gt;Standings!$Q$27,"",SUM(OFFSET(K98,(-$D98+1),0,1,1):K98))</f>
        <v>1427.5800000000002</v>
      </c>
      <c r="AE98" s="272">
        <f ca="1">IF($D98&gt;Standings!$Q$27,"",$J98-$K98)</f>
        <v>-26.22999999999999</v>
      </c>
      <c r="AF98" s="272">
        <f ca="1">IF($D98&gt;Standings!$Q$27,"",AC98-AD98)</f>
        <v>-20.910000000000082</v>
      </c>
      <c r="AG98" s="264">
        <f ca="1">IF($D98&gt;Standings!$Q$27,"",(COUNTIFS($D$2:$D$225,$D98,$C$2:$C$225,$C98,$AC$2:$AC$225,"&lt;"&amp;$AC98)+1)*0.01)</f>
        <v>0.06</v>
      </c>
      <c r="AH98" s="264">
        <f ca="1">IF($D98&gt;Standings!$Q$27,"",Z98+AG98)</f>
        <v>7.06</v>
      </c>
      <c r="AI98" s="275"/>
      <c r="AJ98" s="275">
        <f t="array" aca="1" ref="AJ98" ca="1">IF($D98&gt;Standings!$Q$27,"",(COUNTIFS($D$2:$D$225,$D98,$C$2:$C$225,$C98,$AM$2:$AM$225,"&gt;"&amp;$AM98)+1))</f>
        <v>6</v>
      </c>
      <c r="AK98" s="275">
        <f t="array" aca="1" ref="AK98" ca="1">IF($D98&gt;Standings!$Q$27,"",IF((COUNTIFS($D$2:$D$225,$D98,$C$2:$C$225,$C98,$AH$2:$AH$225,"&gt;"&amp;$AH98)+1)=2,1,0))</f>
        <v>0</v>
      </c>
      <c r="AL98" s="275">
        <f t="array" aca="1" ref="AL98" ca="1">IF($D98&gt;Standings!$Q$27,"",IF((COUNTIFS($D$2:$D$225,$D98,$C$2:$C$225,$C98,$AH$2:$AH$225,"&gt;"&amp;$AH98)+1)&lt;2,1,0))</f>
        <v>0</v>
      </c>
      <c r="AM98" s="275">
        <f ca="1">IF($D98&gt;Standings!$Q$27,"",IF(AL98=1,200+Z98+(16-AQ98)*0.01+AI98,IF(AK98=1,100+Z98+(16-AQ98)*0.01+AI98,IF(AN98=1,50+Z98+(16-AQ98)*0.01,IF(AO98=1,15+Z98+(16-AQ98)*0.01,Z98+(16-AQ98)*0.01+AI98)))))</f>
        <v>7.1</v>
      </c>
      <c r="AN98" s="275">
        <f ca="1">IF($D98&gt;Standings!$Q$27,"",IF(OR($AK98=1,$AL98=1),"Conf Playoff Spot",COUNTIFS($AL$2:$AL$225,0,$AK$2:$AK$225,0,$C$2:$C$225,$C98,$D$2:$D$225,$D98,$AC$2:$AC$225,"&gt;"&amp;$AC98)+1))</f>
        <v>2</v>
      </c>
      <c r="AO98" s="275">
        <f t="array" aca="1" ref="AO98" ca="1">IF($D98&gt;Standings!$Q$27,"",IF(OR($AK98=1,$AL98=1),"Conf Playoff Spot",COUNTIFS($AK$2:$AK$225,0,$AL$2:$AL$225,0,$D$2:$D$225,$D98,$AH$2:$AH$225,"&gt;"&amp;$AH98)+1))</f>
        <v>5</v>
      </c>
      <c r="AP98" s="275">
        <f t="array" aca="1" ref="AP98" ca="1">IF($D98&gt;Standings!$Q$27,"",(COUNTIFS($D$2:$D$225,$D98,$J$2:$J$225,"&gt;"&amp;$J98)+1))</f>
        <v>14</v>
      </c>
      <c r="AQ98" s="265">
        <f ca="1">IF($D98&gt;Standings!$Q$27,"",(COUNTIFS($D$2:$D$225,$D98,$AC$2:$AC$225,"&gt;"&amp;$AC98)+1))</f>
        <v>6</v>
      </c>
      <c r="AR98" s="265">
        <f ca="1">IF($D98&gt;Standings!$Q$27,"",(COUNTIFS($D$2:$D$225,$D98,$K$2:$K$225,"&gt;"&amp;$K98)+1))</f>
        <v>4</v>
      </c>
      <c r="AS98" s="265">
        <f ca="1">IF($D98&gt;Standings!$Q$27,"",(COUNTIFS($D$2:$D$225,$D98,$AD$2:$AD$225,"&gt;"&amp;$AD98)+1))</f>
        <v>3</v>
      </c>
      <c r="AT98" s="356">
        <f ca="1">IF($D98&gt;Standings!$Q$27,"",SUMIFS($J$2:$J$225,$D$2:$D$225,$D98,$C$2:$C$225,$C98))</f>
        <v>774.50000000000011</v>
      </c>
      <c r="AU98" s="340">
        <f ca="1">IF($D98&gt;Standings!$Q$27,"",SUMIFS($AC$2:$AC$225,$D$2:$D$225,$D98,$C$2:$C$225,$C98))</f>
        <v>10651.210000000001</v>
      </c>
    </row>
    <row r="99" spans="1:47" ht="16" thickBot="1">
      <c r="A99" s="190">
        <f t="shared" si="1"/>
        <v>214</v>
      </c>
      <c r="B99" s="199" t="str">
        <f>'ESPN Data'!$L$10</f>
        <v>Team 7</v>
      </c>
      <c r="C99" s="348" t="str">
        <f>VLOOKUP(B99,'ESPN Data'!$L$4:$M$19,2,FALSE)</f>
        <v>Bone</v>
      </c>
      <c r="D99" s="398">
        <v>14</v>
      </c>
      <c r="E99" s="268" t="str">
        <f t="array" ref="E99">INDEX('ESPN Data'!$C$3:$C$226,MATCH(1,('ESPN Data'!$A$3:$A$226='Point Data'!$D99)*('ESPN Data'!$B$3:$B$226='Point Data'!$B99),0))</f>
        <v>Team 11</v>
      </c>
      <c r="F99" s="258" t="str">
        <f>IF(C99&lt;&gt;VLOOKUP($E99,'ESPN Data'!$L$4:$M$19,2,FALSE),"Non Conf", "Conf")</f>
        <v>Non Conf</v>
      </c>
      <c r="G99" s="262" t="str">
        <f t="array" ref="G99">IF('Point Data'!$D99&gt;Standings!$Q$27,"",(COUNTIFS($D$2:$D$225,$D99,$AM$2:$AM$225,"&gt;"&amp;$AM99)+1))</f>
        <v/>
      </c>
      <c r="H99" s="257" t="str">
        <f>IF('Point Data'!$D99&gt;Standings!$Q$27,"",$G97)</f>
        <v/>
      </c>
      <c r="I99" s="256" t="str">
        <f>IF('Point Data'!D99&gt;Standings!$Q$27,"",H99-G99)</f>
        <v/>
      </c>
      <c r="J99" s="257" t="str">
        <f ca="1">IF('Point Data'!D99&gt;Standings!$Q$27,"",OFFSET('ESPN Data'!D$3,$A99,0,1,1))</f>
        <v/>
      </c>
      <c r="K99" s="255" t="str">
        <f ca="1">IF('Point Data'!D99&gt;Standings!$Q$27,"",OFFSET('ESPN Data'!E$3,$A99,0,1,1))</f>
        <v/>
      </c>
      <c r="L99" s="338" t="str">
        <f ca="1">IF('Point Data'!D99&gt;Standings!$Q$27,"",OFFSET('ESPN Data'!I$3,$A99,0,1,1))</f>
        <v/>
      </c>
      <c r="M99" s="339" t="str">
        <f ca="1">IF('Point Data'!D99&gt;Standings!$Q$27,"",OFFSET('ESPN Data'!I$3,$A99,-2,1,1))</f>
        <v/>
      </c>
      <c r="N99" s="339" t="str">
        <f>IF('Point Data'!D99&gt;Standings!$Q$27,"",SUMIFS($M$2:$M$225,$D$2:$D$225,D99,$C$2:$C$225,C99))</f>
        <v/>
      </c>
      <c r="O99" s="339" t="str">
        <f>IF('Point Data'!D99&gt;Standings!$Q$27,"",SUMIFS($L$2:$L$225,$D$2:$D$225,$D99,$C$2:$C$225,$C99))</f>
        <v/>
      </c>
      <c r="P99" s="339" t="str">
        <f>IF('Point Data'!D99&gt;Standings!$Q$27,"",SUMIFS($M$2:$M$225,$D$2:$D$225,D99))</f>
        <v/>
      </c>
      <c r="Q99" s="339" t="str">
        <f>IF('Point Data'!D99&gt;Standings!$Q$27,"",SUMIFS($L$2:$L$225,$D$2:$D$225,D99))</f>
        <v/>
      </c>
      <c r="R99" s="265" t="str">
        <f>IF($D99&gt;Standings!$Q$27,"",IF(U99="T",(Z99+0.5)/(D99)*100,(Z99/D99)*100))</f>
        <v/>
      </c>
      <c r="S99" s="261" t="str">
        <f>IF($D99&gt;Standings!$Q$27,"",$J99-$K99)</f>
        <v/>
      </c>
      <c r="T99" s="261" t="str">
        <f ca="1">IF($D99&gt;Standings!$Q$27,"",AVERAGE(OFFSET(S99,(-$D99+1),0,1,1):S99))</f>
        <v/>
      </c>
      <c r="U99" s="257" t="str">
        <f>IF($D99&gt;Standings!$Q$27,"",IF(J99&gt;K99,1,IF(J99=K99,"T",0)))</f>
        <v/>
      </c>
      <c r="V99" s="268" t="str">
        <f>IF($D99&gt;Standings!$Q$27,"",IF(F99="Conf",V98,SUMIFS($U$2:$U$225,$D$2:$D$225,"&lt;="&amp;$D99,$B$2:$B$225,$B99,$F$2:$F$225,"Non Conf")))</f>
        <v/>
      </c>
      <c r="W99" s="268" t="str">
        <f ca="1">IF($D99&gt;Standings!$Q$27,"",$V99&amp;"-"&amp;COUNTIF(OFFSET($F99,(-$D99+1),0,1,1):$F99,"Non Conf")-$V99)</f>
        <v/>
      </c>
      <c r="X99" s="268" t="str">
        <f>IF($D99&gt;Standings!$Q$27,"",SUMIFS($U$2:$U$225,$D$2:$D$225,"&lt;="&amp;$D99,$B$2:$B$225,$B99,$F$2:$F$225,"Conf"))</f>
        <v/>
      </c>
      <c r="Y99" s="268" t="str">
        <f ca="1">IF($D99&gt;Standings!$Q$27,"",$X99&amp;"-"&amp;COUNTIF(OFFSET($F99,(-$D99+1),0,1,1):$F99,"Conf")-$X99)</f>
        <v/>
      </c>
      <c r="Z99" s="268" t="str">
        <f ca="1">IF($D99&gt;Standings!$Q$27,"",SUM(OFFSET(U99,(-$D99+1),0,1,1):U99))</f>
        <v/>
      </c>
      <c r="AA99" s="257" t="str">
        <f>IF($D99&gt;Standings!$Q$27,"",IF(U99=1,1+AA97,0))</f>
        <v/>
      </c>
      <c r="AB99" s="258" t="str">
        <f>IF($D99&gt;Standings!$Q$27,"",IF(AA99=0,1+AB97,0))</f>
        <v/>
      </c>
      <c r="AC99" s="259" t="str">
        <f ca="1">IF($D99&gt;Standings!$Q$27,"",SUM(OFFSET(J99,(-$D99+1),0,1,1):J99))</f>
        <v/>
      </c>
      <c r="AD99" s="255" t="str">
        <f ca="1">IF($D99&gt;Standings!$Q$27,"",SUM(OFFSET(K99,(-$D99+1),0,1,1):K99))</f>
        <v/>
      </c>
      <c r="AE99" s="255" t="str">
        <f>IF($D99&gt;Standings!$Q$27,"",$J99-$K99)</f>
        <v/>
      </c>
      <c r="AF99" s="255" t="str">
        <f>IF($D99&gt;Standings!$Q$27,"",AC99-AD99)</f>
        <v/>
      </c>
      <c r="AG99" s="257" t="str">
        <f>IF($D99&gt;Standings!$Q$27,"",(COUNTIFS($D$2:$D$225,$D99,$C$2:$C$225,$C99,$AC$2:$AC$225,"&lt;"&amp;$AC99)+1)*0.01)</f>
        <v/>
      </c>
      <c r="AH99" s="257" t="str">
        <f>IF($D99&gt;Standings!$Q$27,"",Z99+AG99)</f>
        <v/>
      </c>
      <c r="AI99" s="268"/>
      <c r="AJ99" s="268" t="str">
        <f t="array" ref="AJ99">IF($D99&gt;Standings!$Q$27,"",(COUNTIFS($D$2:$D$225,$D99,$C$2:$C$225,$C99,$AM$2:$AM$225,"&gt;"&amp;$AM99)+1))</f>
        <v/>
      </c>
      <c r="AK99" s="268" t="str">
        <f t="array" ref="AK99">IF($D99&gt;Standings!$Q$27,"",IF((COUNTIFS($D$2:$D$225,$D99,$C$2:$C$225,$C99,$AH$2:$AH$225,"&gt;"&amp;$AH99)+1)=2,1,0))</f>
        <v/>
      </c>
      <c r="AL99" s="268" t="str">
        <f t="array" ref="AL99">IF($D99&gt;Standings!$Q$27,"",IF((COUNTIFS($D$2:$D$225,$D99,$C$2:$C$225,$C99,$AH$2:$AH$225,"&gt;"&amp;$AH99)+1)&lt;2,1,0))</f>
        <v/>
      </c>
      <c r="AM99" s="268" t="str">
        <f>IF($D99&gt;Standings!$Q$27,"",IF(AL99=1,200+Z99+(16-AQ99)*0.01+AI99,IF(AK99=1,100+Z99+(16-AQ99)*0.01+AI99,IF(AN99=1,50+Z99+(16-AQ99)*0.01,IF(AO99=1,15+Z99+(16-AQ99)*0.01,Z99+(16-AQ99)*0.01+AI99)))))</f>
        <v/>
      </c>
      <c r="AN99" s="268" t="str">
        <f>IF($D99&gt;Standings!$Q$27,"",IF(OR($AK99=1,$AL99=1),"Conf Playoff Spot",COUNTIFS($AL$2:$AL$225,0,$AK$2:$AK$225,0,$C$2:$C$225,$C99,$D$2:$D$225,$D99,$AC$2:$AC$225,"&gt;"&amp;$AC99)+1))</f>
        <v/>
      </c>
      <c r="AO99" s="268" t="str">
        <f t="array" ref="AO99">IF($D99&gt;Standings!$Q$27,"",IF(OR($AK99=1,$AL99=1),"Conf Playoff Spot",COUNTIFS($AK$2:$AK$225,0,$AL$2:$AL$225,0,$D$2:$D$225,$D99,$AH$2:$AH$225,"&gt;"&amp;$AH99)+1))</f>
        <v/>
      </c>
      <c r="AP99" s="268" t="str">
        <f t="array" ref="AP99">IF($D99&gt;Standings!$Q$27,"",(COUNTIFS($D$2:$D$225,$D99,$J$2:$J$225,"&gt;"&amp;$J99)+1))</f>
        <v/>
      </c>
      <c r="AQ99" s="256" t="str">
        <f>IF($D99&gt;Standings!$Q$27,"",(COUNTIFS($D$2:$D$225,$D99,$AC$2:$AC$225,"&gt;"&amp;$AC99)+1))</f>
        <v/>
      </c>
      <c r="AR99" s="256" t="str">
        <f>IF($D99&gt;Standings!$Q$27,"",(COUNTIFS($D$2:$D$225,$D99,$K$2:$K$225,"&gt;"&amp;$K99)+1))</f>
        <v/>
      </c>
      <c r="AS99" s="256" t="str">
        <f>IF($D99&gt;Standings!$Q$27,"",(COUNTIFS($D$2:$D$225,$D99,$AD$2:$AD$225,"&gt;"&amp;$AD99)+1))</f>
        <v/>
      </c>
      <c r="AT99" s="355" t="str">
        <f>IF($D99&gt;Standings!$Q$27,"",SUMIFS($J$2:$J$225,$D$2:$D$225,$D99,$C$2:$C$225,$C99))</f>
        <v/>
      </c>
      <c r="AU99" s="261" t="str">
        <f>IF($D99&gt;Standings!$Q$27,"",SUMIFS($AC$2:$AC$225,$D$2:$D$225,$D99,$C$2:$C$225,$C99))</f>
        <v/>
      </c>
    </row>
    <row r="100" spans="1:47">
      <c r="A100" s="190">
        <f t="shared" si="1"/>
        <v>7</v>
      </c>
      <c r="B100" s="197" t="str">
        <f>'ESPN Data'!$L$11</f>
        <v>Team 8</v>
      </c>
      <c r="C100" s="345" t="str">
        <f>VLOOKUP(B100,'ESPN Data'!$L$4:$M$19,2,FALSE)</f>
        <v>Bone</v>
      </c>
      <c r="D100" s="396">
        <v>1</v>
      </c>
      <c r="E100" s="266" t="str">
        <f t="array" ref="E100">INDEX('ESPN Data'!$C$3:$C$226,MATCH(1,('ESPN Data'!$A$3:$A$226='Point Data'!$D100)*('ESPN Data'!$B$3:$B$226='Point Data'!$B100),0))</f>
        <v>Team 3</v>
      </c>
      <c r="F100" s="242" t="str">
        <f>IF(C100&lt;&gt;VLOOKUP($E100,'ESPN Data'!$L$4:$M$19,2,FALSE),"Non Conf", "Conf")</f>
        <v>Conf</v>
      </c>
      <c r="G100" s="237">
        <f t="array" aca="1" ref="G100" ca="1">IF('Point Data'!$D100&gt;Standings!$Q$27,"",(COUNTIFS($D$2:$D$225,$D100,$AM$2:$AM$225,"&gt;"&amp;$AM100)+1))</f>
        <v>2</v>
      </c>
      <c r="H100" s="241">
        <f>IF('Point Data'!$D100&gt;Standings!$Q$27,"",VLOOKUP($B100,'ESPN Data'!$L$4:$N$19,3,FALSE))</f>
        <v>11</v>
      </c>
      <c r="I100" s="240">
        <f ca="1">IF('Point Data'!$D100&gt;Standings!$Q$27,"",H100-G100)</f>
        <v>9</v>
      </c>
      <c r="J100" s="241">
        <f ca="1">IF('Point Data'!D100&gt;Standings!$Q$27,"",OFFSET('ESPN Data'!D$3,$A100,0,1,1))</f>
        <v>115.37</v>
      </c>
      <c r="K100" s="239">
        <f ca="1">IF('Point Data'!D100&gt;Standings!$Q$27,"",OFFSET('ESPN Data'!E$3,$A100,0,1,1))</f>
        <v>103.84</v>
      </c>
      <c r="L100" s="336">
        <f ca="1">IF('Point Data'!D100&gt;Standings!$Q$27,"",OFFSET('ESPN Data'!I$3,$A100,0,1,1))</f>
        <v>100</v>
      </c>
      <c r="M100" s="336">
        <f ca="1">IF('Point Data'!D100&gt;Standings!$Q$27,"",OFFSET('ESPN Data'!I$3,$A100,-2,1,1))</f>
        <v>0</v>
      </c>
      <c r="N100" s="336">
        <f ca="1">IF('Point Data'!D100&gt;Standings!$Q$27,"",SUMIFS($M$2:$M$225,$D$2:$D$225,D100,$C$2:$C$225,C100))</f>
        <v>3</v>
      </c>
      <c r="O100" s="336">
        <f ca="1">IF('Point Data'!D100&gt;Standings!$Q$27,"",SUMIFS($L$2:$L$225,$D$2:$D$225,$D100,$C$2:$C$225,$C100))</f>
        <v>797</v>
      </c>
      <c r="P100" s="336">
        <f ca="1">IF('Point Data'!D100&gt;Standings!$Q$27,"",SUMIFS($M$2:$M$225,$D$2:$D$225,D100))</f>
        <v>3</v>
      </c>
      <c r="Q100" s="336">
        <f ca="1">IF('Point Data'!D100&gt;Standings!$Q$27,"",SUMIFS($L$2:$L$225,$D$2:$D$225,$D100))</f>
        <v>1597</v>
      </c>
      <c r="R100" s="240">
        <f ca="1">IF($D100&gt;Standings!$Q$27,"",IF(U100="T",(Z100+0.5)/(D100)*100,(Z100/D100)*100))</f>
        <v>100</v>
      </c>
      <c r="S100" s="245">
        <f ca="1">IF($D100&gt;Standings!$Q$27,"",$J100-$K100)</f>
        <v>11.530000000000001</v>
      </c>
      <c r="T100" s="245">
        <f ca="1">IF($D100&gt;Standings!$Q$27,"",AVERAGE(OFFSET(S100,(-$D100+1),0,1,1):S100))</f>
        <v>11.530000000000001</v>
      </c>
      <c r="U100" s="241">
        <f ca="1">IF($D100&gt;Standings!$Q$27,"",IF(J100&gt;K100,1,IF(J100=K100,"T",0)))</f>
        <v>1</v>
      </c>
      <c r="V100" s="266">
        <f>IF($D100&gt;Standings!$Q$27,"",IF(F100="Conf",0,SUMIFS($U$2:$U$225,$D$2:$D$225,"&lt;="&amp;$D100,$B$2:$B$225,$B100,$F$2:$F$225,"Non Conf")))</f>
        <v>0</v>
      </c>
      <c r="W100" s="266" t="str">
        <f ca="1">IF($D100&gt;Standings!$Q$27,"",$V100&amp;"-"&amp;COUNTIF(OFFSET($F100,(-$D100+1),0,1,1):$F100,"Non Conf")-$V100)</f>
        <v>0-0</v>
      </c>
      <c r="X100" s="266">
        <f ca="1">IF($D100&gt;Standings!$Q$27,"",SUMIFS($U$2:$U$225,$D$2:$D$225,"&lt;="&amp;$D100,$B$2:$B$225,$B100,$F$2:$F$225,"Conf"))</f>
        <v>1</v>
      </c>
      <c r="Y100" s="266" t="str">
        <f ca="1">IF($D100&gt;Standings!$Q$27,"",$X100&amp;"-"&amp;COUNTIF(OFFSET($F100,(-$D100+1),0,1,1):$F100,"Conf")-$X100)</f>
        <v>1-0</v>
      </c>
      <c r="Z100" s="266">
        <f ca="1">IF($D100&gt;Standings!$Q$27,"",SUM(OFFSET(U100,(-$D100+1),0,1,1):U100))</f>
        <v>1</v>
      </c>
      <c r="AA100" s="241">
        <f ca="1">IF($D100&gt;Standings!$Q$27,"",IF(U100=1,1,0))</f>
        <v>1</v>
      </c>
      <c r="AB100" s="242">
        <f ca="1">IF($D100&gt;Standings!$Q$27,"",IF(AA100=0,1,0))</f>
        <v>0</v>
      </c>
      <c r="AC100" s="243">
        <f ca="1">IF($D100&gt;Standings!$Q$27,"",SUM(OFFSET(J100,(-$D100+1),0,1,1):J100))</f>
        <v>115.37</v>
      </c>
      <c r="AD100" s="239">
        <f ca="1">IF($D100&gt;Standings!$Q$27,"",SUM(OFFSET(K100,(-$D100+1),0,1,1):K100))</f>
        <v>103.84</v>
      </c>
      <c r="AE100" s="239">
        <f ca="1">IF($D100&gt;Standings!$Q$27,"",$J100-$K100)</f>
        <v>11.530000000000001</v>
      </c>
      <c r="AF100" s="239">
        <f ca="1">IF($D100&gt;Standings!$Q$27,"",AC100-AD100)</f>
        <v>11.530000000000001</v>
      </c>
      <c r="AG100" s="269">
        <f ca="1">IF($D100&gt;Standings!$Q$27,"",(COUNTIFS($D$2:$D$225,$D100,$C$2:$C$225,$C100,$AC$2:$AC$225,"&lt;"&amp;$AC100)+1)*0.01)</f>
        <v>0.08</v>
      </c>
      <c r="AH100" s="269">
        <f ca="1">IF($D100&gt;Standings!$Q$27,"",Z100+AG100)</f>
        <v>1.08</v>
      </c>
      <c r="AI100" s="270"/>
      <c r="AJ100" s="270">
        <f t="array" aca="1" ref="AJ100" ca="1">IF($D100&gt;Standings!$Q$27,"",(COUNTIFS($D$2:$D$225,$D100,$C$2:$C$225,$C100,$AM$2:$AM$225,"&gt;"&amp;$AM100)+1))</f>
        <v>1</v>
      </c>
      <c r="AK100" s="270">
        <f t="array" aca="1" ref="AK100" ca="1">IF($D100&gt;Standings!$Q$27,"",IF((COUNTIFS($D$2:$D$225,$D100,$C$2:$C$225,$C100,$AH$2:$AH$225,"&gt;"&amp;$AH100)+1)=2,1,0))</f>
        <v>0</v>
      </c>
      <c r="AL100" s="270">
        <f t="array" aca="1" ref="AL100" ca="1">IF($D100&gt;Standings!$Q$27,"",IF((COUNTIFS($D$2:$D$225,$D100,$C$2:$C$225,$C100,$AH$2:$AH$225,"&gt;"&amp;$AH100)+1)&lt;2,1,0))</f>
        <v>1</v>
      </c>
      <c r="AM100" s="270">
        <f ca="1">IF($D100&gt;Standings!$Q$27,"",IF(AL100=1,200+Z100+(16-AQ100)*0.01+AI100,IF(AK100=1,100+Z100+(16-AQ100)*0.01+AI100,IF(AN100=1,50+Z100+(16-AQ100)*0.01,IF(AO100=1,15+Z100+(16-AQ100)*0.01,Z100+(16-AQ100)*0.01+AI100)))))</f>
        <v>201.13</v>
      </c>
      <c r="AN100" s="270" t="str">
        <f ca="1">IF($D100&gt;Standings!$Q$27,"",IF(OR($AK100=1,$AL100=1),"Conf Playoff Spot",COUNTIFS($AL$2:$AL$225,0,$AK$2:$AK$225,0,$C$2:$C$225,$C100,$D$2:$D$225,$D100,$AC$2:$AC$225,"&gt;"&amp;$AC100)+1))</f>
        <v>Conf Playoff Spot</v>
      </c>
      <c r="AO100" s="270" t="str">
        <f t="array" aca="1" ref="AO100" ca="1">IF($D100&gt;Standings!$Q$27,"",IF(OR($AK100=1,$AL100=1),"Conf Playoff Spot",COUNTIFS($AK$2:$AK$225,0,$AL$2:$AL$225,0,$D$2:$D$225,$D100,$AH$2:$AH$225,"&gt;"&amp;$AH100)+1))</f>
        <v>Conf Playoff Spot</v>
      </c>
      <c r="AP100" s="270">
        <f t="array" aca="1" ref="AP100" ca="1">IF($D100&gt;Standings!$Q$27,"",(COUNTIFS($D$2:$D$225,$D100,$J$2:$J$225,"&gt;"&amp;$J100)+1))</f>
        <v>3</v>
      </c>
      <c r="AQ100" s="269">
        <f ca="1">IF($D100&gt;Standings!$Q$27,"",(COUNTIFS($D$2:$D$225,$D100,$AC$2:$AC$225,"&gt;"&amp;$AC100)+1))</f>
        <v>3</v>
      </c>
      <c r="AR100" s="269">
        <f ca="1">IF($D100&gt;Standings!$Q$27,"",(COUNTIFS($D$2:$D$225,$D100,$K$2:$K$225,"&gt;"&amp;$K100)+1))</f>
        <v>8</v>
      </c>
      <c r="AS100" s="269">
        <f ca="1">IF($D100&gt;Standings!$Q$27,"",(COUNTIFS($D$2:$D$225,$D100,$AD$2:$AD$225,"&gt;"&amp;$AD100)+1))</f>
        <v>8</v>
      </c>
      <c r="AT100" s="357">
        <f ca="1">IF($D100&gt;Standings!$Q$27,"",SUMIFS($J$2:$J$225,$D$2:$D$225,$D100,$C$2:$C$225,$C100))</f>
        <v>827.09</v>
      </c>
      <c r="AU100" s="245">
        <f ca="1">IF($D100&gt;Standings!$Q$27,"",SUMIFS($AC$2:$AC$225,$D$2:$D$225,$D100,$C$2:$C$225,$C100))</f>
        <v>827.09</v>
      </c>
    </row>
    <row r="101" spans="1:47">
      <c r="A101" s="190">
        <f t="shared" si="1"/>
        <v>23</v>
      </c>
      <c r="B101" s="198" t="str">
        <f>'ESPN Data'!$L$11</f>
        <v>Team 8</v>
      </c>
      <c r="C101" s="346" t="str">
        <f>VLOOKUP(B101,'ESPN Data'!$L$4:$M$19,2,FALSE)</f>
        <v>Bone</v>
      </c>
      <c r="D101" s="397">
        <v>2</v>
      </c>
      <c r="E101" s="267" t="str">
        <f t="array" ref="E101">INDEX('ESPN Data'!$C$3:$C$226,MATCH(1,('ESPN Data'!$A$3:$A$226='Point Data'!$D101)*('ESPN Data'!$B$3:$B$226='Point Data'!$B101),0))</f>
        <v>Team 9</v>
      </c>
      <c r="F101" s="250" t="str">
        <f>IF(C101&lt;&gt;VLOOKUP($E101,'ESPN Data'!$L$4:$M$19,2,FALSE),"Non Conf", "Conf")</f>
        <v>Non Conf</v>
      </c>
      <c r="G101" s="246">
        <f t="array" aca="1" ref="G101" ca="1">IF('Point Data'!$D101&gt;Standings!$Q$27,"",(COUNTIFS($D$2:$D$225,$D101,$AM$2:$AM$225,"&gt;"&amp;$AM101)+1))</f>
        <v>6</v>
      </c>
      <c r="H101" s="172">
        <f ca="1">IF('Point Data'!$D101&gt;Standings!$Q$27,"",$G100)</f>
        <v>2</v>
      </c>
      <c r="I101" s="249">
        <f ca="1">IF('Point Data'!D101&gt;Standings!$Q$27,"",H101-G101)</f>
        <v>-4</v>
      </c>
      <c r="J101" s="172">
        <f ca="1">IF('Point Data'!D101&gt;Standings!$Q$27,"",OFFSET('ESPN Data'!D$3,$A101,0,1,1))</f>
        <v>111.67</v>
      </c>
      <c r="K101" s="248">
        <f ca="1">IF('Point Data'!D101&gt;Standings!$Q$27,"",OFFSET('ESPN Data'!E$3,$A101,0,1,1))</f>
        <v>144.41999999999999</v>
      </c>
      <c r="L101" s="337">
        <f ca="1">IF('Point Data'!D101&gt;Standings!$Q$27,"",OFFSET('ESPN Data'!I$3,$A101,0,1,1))</f>
        <v>96</v>
      </c>
      <c r="M101" s="337">
        <f ca="1">IF('Point Data'!D101&gt;Standings!$Q$27,"",OFFSET('ESPN Data'!I$3,$A101,-2,1,1))</f>
        <v>4</v>
      </c>
      <c r="N101" s="337">
        <f ca="1">IF('Point Data'!D101&gt;Standings!$Q$27,"",SUMIFS($M$2:$M$225,$D$2:$D$225,D101,$C$2:$C$225,C101))</f>
        <v>44</v>
      </c>
      <c r="O101" s="337">
        <f ca="1">IF('Point Data'!D101&gt;Standings!$Q$27,"",SUMIFS($L$2:$L$225,$D$2:$D$225,$D101,$C$2:$C$225,$C101))</f>
        <v>753</v>
      </c>
      <c r="P101" s="337">
        <f ca="1">IF('Point Data'!D101&gt;Standings!$Q$27,"",SUMIFS($M$2:$M$225,$D$2:$D$225,D101))</f>
        <v>73</v>
      </c>
      <c r="Q101" s="337">
        <f ca="1">IF('Point Data'!D101&gt;Standings!$Q$27,"",SUMIFS($L$2:$L$225,$D$2:$D$225,D101))</f>
        <v>1524</v>
      </c>
      <c r="R101" s="249">
        <f ca="1">IF($D101&gt;Standings!$Q$27,"",IF(U101="T",(Z101+0.5)/(D101)*100,(Z101/D101)*100))</f>
        <v>50</v>
      </c>
      <c r="S101" s="253">
        <f ca="1">IF($D101&gt;Standings!$Q$27,"",$J101-$K101)</f>
        <v>-32.749999999999986</v>
      </c>
      <c r="T101" s="253">
        <f ca="1">IF($D101&gt;Standings!$Q$27,"",AVERAGE(OFFSET(S101,(-$D101+1),0,1,1):S101))</f>
        <v>-10.609999999999992</v>
      </c>
      <c r="U101" s="172">
        <f ca="1">IF($D101&gt;Standings!$Q$27,"",IF(J101&gt;K101,1,IF(J101=K101,"T",0)))</f>
        <v>0</v>
      </c>
      <c r="V101" s="267">
        <f ca="1">IF($D101&gt;Standings!$Q$27,"",IF(F101="Conf",V100,SUMIFS($U$2:$U$225,$D$2:$D$225,"&lt;="&amp;$D101,$B$2:$B$225,$B101,$F$2:$F$225,"Non Conf")))</f>
        <v>0</v>
      </c>
      <c r="W101" s="267" t="str">
        <f ca="1">IF($D101&gt;Standings!$Q$27,"",$V101&amp;"-"&amp;COUNTIF(OFFSET($F101,(-$D101+1),0,1,1):$F101,"Non Conf")-$V101)</f>
        <v>0-1</v>
      </c>
      <c r="X101" s="267">
        <f ca="1">IF($D101&gt;Standings!$Q$27,"",SUMIFS($U$2:$U$225,$D$2:$D$225,"&lt;="&amp;$D101,$B$2:$B$225,$B101,$F$2:$F$225,"Conf"))</f>
        <v>1</v>
      </c>
      <c r="Y101" s="267" t="str">
        <f ca="1">IF($D101&gt;Standings!$Q$27,"",$X101&amp;"-"&amp;COUNTIF(OFFSET($F101,(-$D101+1),0,1,1):$F101,"Conf")-$X101)</f>
        <v>1-0</v>
      </c>
      <c r="Z101" s="267">
        <f ca="1">IF($D101&gt;Standings!$Q$27,"",SUM(OFFSET(U101,(-$D101+1),0,1,1):U101))</f>
        <v>1</v>
      </c>
      <c r="AA101" s="172">
        <f ca="1">IF($D101&gt;Standings!$Q$27,"",IF(U101=1,1+AA100,0))</f>
        <v>0</v>
      </c>
      <c r="AB101" s="250">
        <f ca="1">IF($D101&gt;Standings!$Q$27,"",IF(AA101=0,1+AB100,0))</f>
        <v>1</v>
      </c>
      <c r="AC101" s="251">
        <f ca="1">IF($D101&gt;Standings!$Q$27,"",SUM(OFFSET(J101,(-$D101+1),0,1,1):J101))</f>
        <v>227.04000000000002</v>
      </c>
      <c r="AD101" s="248">
        <f ca="1">IF($D101&gt;Standings!$Q$27,"",SUM(OFFSET(K101,(-$D101+1),0,1,1):K101))</f>
        <v>248.26</v>
      </c>
      <c r="AE101" s="248">
        <f ca="1">IF($D101&gt;Standings!$Q$27,"",$J101-$K101)</f>
        <v>-32.749999999999986</v>
      </c>
      <c r="AF101" s="248">
        <f ca="1">IF($D101&gt;Standings!$Q$27,"",AC101-AD101)</f>
        <v>-21.21999999999997</v>
      </c>
      <c r="AG101" s="172">
        <f ca="1">IF($D101&gt;Standings!$Q$27,"",(COUNTIFS($D$2:$D$225,$D101,$C$2:$C$225,$C101,$AC$2:$AC$225,"&lt;"&amp;$AC101)+1)*0.01)</f>
        <v>0.08</v>
      </c>
      <c r="AH101" s="172">
        <f ca="1">IF($D101&gt;Standings!$Q$27,"",Z101+AG101)</f>
        <v>1.08</v>
      </c>
      <c r="AI101" s="267"/>
      <c r="AJ101" s="267">
        <f t="array" aca="1" ref="AJ101" ca="1">IF($D101&gt;Standings!$Q$27,"",(COUNTIFS($D$2:$D$225,$D101,$C$2:$C$225,$C101,$AM$2:$AM$225,"&gt;"&amp;$AM101)+1))</f>
        <v>3</v>
      </c>
      <c r="AK101" s="267">
        <f t="array" aca="1" ref="AK101" ca="1">IF($D101&gt;Standings!$Q$27,"",IF((COUNTIFS($D$2:$D$225,$D101,$C$2:$C$225,$C101,$AH$2:$AH$225,"&gt;"&amp;$AH101)+1)=2,1,0))</f>
        <v>0</v>
      </c>
      <c r="AL101" s="267">
        <f t="array" aca="1" ref="AL101" ca="1">IF($D101&gt;Standings!$Q$27,"",IF((COUNTIFS($D$2:$D$225,$D101,$C$2:$C$225,$C101,$AH$2:$AH$225,"&gt;"&amp;$AH101)+1)&lt;2,1,0))</f>
        <v>0</v>
      </c>
      <c r="AM101" s="267">
        <f ca="1">IF($D101&gt;Standings!$Q$27,"",IF(AL101=1,200+Z101+(16-AQ101)*0.01+AI101,IF(AK101=1,100+Z101+(16-AQ101)*0.01+AI101,IF(AN101=1,50+Z101+(16-AQ101)*0.01,IF(AO101=1,15+Z101+(16-AQ101)*0.01,Z101+(16-AQ101)*0.01+AI101)))))</f>
        <v>51.12</v>
      </c>
      <c r="AN101" s="267">
        <f ca="1">IF($D101&gt;Standings!$Q$27,"",IF(OR($AK101=1,$AL101=1),"Conf Playoff Spot",COUNTIFS($AL$2:$AL$225,0,$AK$2:$AK$225,0,$C$2:$C$225,$C101,$D$2:$D$225,$D101,$AC$2:$AC$225,"&gt;"&amp;$AC101)+1))</f>
        <v>1</v>
      </c>
      <c r="AO101" s="267">
        <f t="array" aca="1" ref="AO101" ca="1">IF($D101&gt;Standings!$Q$27,"",IF(OR($AK101=1,$AL101=1),"Conf Playoff Spot",COUNTIFS($AK$2:$AK$225,0,$AL$2:$AL$225,0,$D$2:$D$225,$D101,$AH$2:$AH$225,"&gt;"&amp;$AH101)+1))</f>
        <v>2</v>
      </c>
      <c r="AP101" s="267">
        <f t="array" aca="1" ref="AP101" ca="1">IF($D101&gt;Standings!$Q$27,"",(COUNTIFS($D$2:$D$225,$D101,$J$2:$J$225,"&gt;"&amp;$J101)+1))</f>
        <v>7</v>
      </c>
      <c r="AQ101" s="249">
        <f ca="1">IF($D101&gt;Standings!$Q$27,"",(COUNTIFS($D$2:$D$225,$D101,$AC$2:$AC$225,"&gt;"&amp;$AC101)+1))</f>
        <v>4</v>
      </c>
      <c r="AR101" s="249">
        <f ca="1">IF($D101&gt;Standings!$Q$27,"",(COUNTIFS($D$2:$D$225,$D101,$K$2:$K$225,"&gt;"&amp;$K101)+1))</f>
        <v>2</v>
      </c>
      <c r="AS101" s="249">
        <f ca="1">IF($D101&gt;Standings!$Q$27,"",(COUNTIFS($D$2:$D$225,$D101,$AD$2:$AD$225,"&gt;"&amp;$AD101)+1))</f>
        <v>2</v>
      </c>
      <c r="AT101" s="354">
        <f ca="1">IF($D101&gt;Standings!$Q$27,"",SUMIFS($J$2:$J$225,$D$2:$D$225,$D101,$C$2:$C$225,$C101))</f>
        <v>849.17</v>
      </c>
      <c r="AU101" s="253">
        <f ca="1">IF($D101&gt;Standings!$Q$27,"",SUMIFS($AC$2:$AC$225,$D$2:$D$225,$D101,$C$2:$C$225,$C101))</f>
        <v>1676.26</v>
      </c>
    </row>
    <row r="102" spans="1:47">
      <c r="A102" s="190">
        <f t="shared" si="1"/>
        <v>39</v>
      </c>
      <c r="B102" s="198" t="str">
        <f>'ESPN Data'!$L$11</f>
        <v>Team 8</v>
      </c>
      <c r="C102" s="346" t="str">
        <f>VLOOKUP(B102,'ESPN Data'!$L$4:$M$19,2,FALSE)</f>
        <v>Bone</v>
      </c>
      <c r="D102" s="397">
        <v>3</v>
      </c>
      <c r="E102" s="267" t="str">
        <f t="array" ref="E102">INDEX('ESPN Data'!$C$3:$C$226,MATCH(1,('ESPN Data'!$A$3:$A$226='Point Data'!$D102)*('ESPN Data'!$B$3:$B$226='Point Data'!$B102),0))</f>
        <v>Team 5</v>
      </c>
      <c r="F102" s="250" t="str">
        <f>IF(C102&lt;&gt;VLOOKUP($E102,'ESPN Data'!$L$4:$M$19,2,FALSE),"Non Conf", "Conf")</f>
        <v>Conf</v>
      </c>
      <c r="G102" s="246">
        <f t="array" aca="1" ref="G102" ca="1">IF('Point Data'!$D102&gt;Standings!$Q$27,"",(COUNTIFS($D$2:$D$225,$D102,$AM$2:$AM$225,"&gt;"&amp;$AM102)+1))</f>
        <v>6</v>
      </c>
      <c r="H102" s="172">
        <f ca="1">IF('Point Data'!$D102&gt;Standings!$Q$27,"",$G101)</f>
        <v>6</v>
      </c>
      <c r="I102" s="249">
        <f ca="1">IF('Point Data'!D102&gt;Standings!$Q$27,"",H102-G102)</f>
        <v>0</v>
      </c>
      <c r="J102" s="172">
        <f ca="1">IF('Point Data'!D102&gt;Standings!$Q$27,"",OFFSET('ESPN Data'!D$3,$A102,0,1,1))</f>
        <v>133.66</v>
      </c>
      <c r="K102" s="248">
        <f ca="1">IF('Point Data'!D102&gt;Standings!$Q$27,"",OFFSET('ESPN Data'!E$3,$A102,0,1,1))</f>
        <v>155.85</v>
      </c>
      <c r="L102" s="337">
        <f ca="1">IF('Point Data'!D102&gt;Standings!$Q$27,"",OFFSET('ESPN Data'!I$3,$A102,0,1,1))</f>
        <v>96</v>
      </c>
      <c r="M102" s="337">
        <f ca="1">IF('Point Data'!D102&gt;Standings!$Q$27,"",OFFSET('ESPN Data'!I$3,$A102,-2,1,1))</f>
        <v>0</v>
      </c>
      <c r="N102" s="337">
        <f ca="1">IF('Point Data'!D102&gt;Standings!$Q$27,"",SUMIFS($M$2:$M$225,$D$2:$D$225,D102,$C$2:$C$225,C102))</f>
        <v>25</v>
      </c>
      <c r="O102" s="337">
        <f ca="1">IF('Point Data'!D102&gt;Standings!$Q$27,"",SUMIFS($L$2:$L$225,$D$2:$D$225,$D102,$C$2:$C$225,$C102))</f>
        <v>728</v>
      </c>
      <c r="P102" s="337">
        <f ca="1">IF('Point Data'!D102&gt;Standings!$Q$27,"",SUMIFS($M$2:$M$225,$D$2:$D$225,D102))</f>
        <v>210</v>
      </c>
      <c r="Q102" s="337">
        <f ca="1">IF('Point Data'!D102&gt;Standings!$Q$27,"",SUMIFS($L$2:$L$225,$D$2:$D$225,D102))</f>
        <v>1314</v>
      </c>
      <c r="R102" s="249">
        <f ca="1">IF($D102&gt;Standings!$Q$27,"",IF(U102="T",(Z102+0.5)/(D102)*100,(Z102/D102)*100))</f>
        <v>33.333333333333329</v>
      </c>
      <c r="S102" s="253">
        <f ca="1">IF($D102&gt;Standings!$Q$27,"",$J102-$K102)</f>
        <v>-22.189999999999998</v>
      </c>
      <c r="T102" s="253">
        <f ca="1">IF($D102&gt;Standings!$Q$27,"",AVERAGE(OFFSET(S102,(-$D102+1),0,1,1):S102))</f>
        <v>-14.469999999999994</v>
      </c>
      <c r="U102" s="172">
        <f ca="1">IF($D102&gt;Standings!$Q$27,"",IF(J102&gt;K102,1,IF(J102=K102,"T",0)))</f>
        <v>0</v>
      </c>
      <c r="V102" s="267">
        <f ca="1">IF($D102&gt;Standings!$Q$27,"",IF(F102="Conf",V101,SUMIFS($U$2:$U$225,$D$2:$D$225,"&lt;="&amp;$D102,$B$2:$B$225,$B102,$F$2:$F$225,"Non Conf")))</f>
        <v>0</v>
      </c>
      <c r="W102" s="267" t="str">
        <f ca="1">IF($D102&gt;Standings!$Q$27,"",$V102&amp;"-"&amp;COUNTIF(OFFSET($F102,(-$D102+1),0,1,1):$F102,"Non Conf")-$V102)</f>
        <v>0-1</v>
      </c>
      <c r="X102" s="267">
        <f ca="1">IF($D102&gt;Standings!$Q$27,"",SUMIFS($U$2:$U$225,$D$2:$D$225,"&lt;="&amp;$D102,$B$2:$B$225,$B102,$F$2:$F$225,"Conf"))</f>
        <v>1</v>
      </c>
      <c r="Y102" s="267" t="str">
        <f ca="1">IF($D102&gt;Standings!$Q$27,"",$X102&amp;"-"&amp;COUNTIF(OFFSET($F102,(-$D102+1),0,1,1):$F102,"Conf")-$X102)</f>
        <v>1-1</v>
      </c>
      <c r="Z102" s="267">
        <f ca="1">IF($D102&gt;Standings!$Q$27,"",SUM(OFFSET(U102,(-$D102+1),0,1,1):U102))</f>
        <v>1</v>
      </c>
      <c r="AA102" s="172">
        <f ca="1">IF($D102&gt;Standings!$Q$27,"",IF(U102=1,1+AA101,0))</f>
        <v>0</v>
      </c>
      <c r="AB102" s="250">
        <f ca="1">IF($D102&gt;Standings!$Q$27,"",IF(AA102=0,1+AB101,0))</f>
        <v>2</v>
      </c>
      <c r="AC102" s="251">
        <f ca="1">IF($D102&gt;Standings!$Q$27,"",SUM(OFFSET(J102,(-$D102+1),0,1,1):J102))</f>
        <v>360.70000000000005</v>
      </c>
      <c r="AD102" s="248">
        <f ca="1">IF($D102&gt;Standings!$Q$27,"",SUM(OFFSET(K102,(-$D102+1),0,1,1):K102))</f>
        <v>404.11</v>
      </c>
      <c r="AE102" s="248">
        <f ca="1">IF($D102&gt;Standings!$Q$27,"",$J102-$K102)</f>
        <v>-22.189999999999998</v>
      </c>
      <c r="AF102" s="248">
        <f ca="1">IF($D102&gt;Standings!$Q$27,"",AC102-AD102)</f>
        <v>-43.409999999999968</v>
      </c>
      <c r="AG102" s="172">
        <f ca="1">IF($D102&gt;Standings!$Q$27,"",(COUNTIFS($D$2:$D$225,$D102,$C$2:$C$225,$C102,$AC$2:$AC$225,"&lt;"&amp;$AC102)+1)*0.01)</f>
        <v>0.08</v>
      </c>
      <c r="AH102" s="172">
        <f ca="1">IF($D102&gt;Standings!$Q$27,"",Z102+AG102)</f>
        <v>1.08</v>
      </c>
      <c r="AI102" s="267"/>
      <c r="AJ102" s="267">
        <f t="array" aca="1" ref="AJ102" ca="1">IF($D102&gt;Standings!$Q$27,"",(COUNTIFS($D$2:$D$225,$D102,$C$2:$C$225,$C102,$AM$2:$AM$225,"&gt;"&amp;$AM102)+1))</f>
        <v>3</v>
      </c>
      <c r="AK102" s="267">
        <f t="array" aca="1" ref="AK102" ca="1">IF($D102&gt;Standings!$Q$27,"",IF((COUNTIFS($D$2:$D$225,$D102,$C$2:$C$225,$C102,$AH$2:$AH$225,"&gt;"&amp;$AH102)+1)=2,1,0))</f>
        <v>0</v>
      </c>
      <c r="AL102" s="267">
        <f t="array" aca="1" ref="AL102" ca="1">IF($D102&gt;Standings!$Q$27,"",IF((COUNTIFS($D$2:$D$225,$D102,$C$2:$C$225,$C102,$AH$2:$AH$225,"&gt;"&amp;$AH102)+1)&lt;2,1,0))</f>
        <v>0</v>
      </c>
      <c r="AM102" s="267">
        <f ca="1">IF($D102&gt;Standings!$Q$27,"",IF(AL102=1,200+Z102+(16-AQ102)*0.01+AI102,IF(AK102=1,100+Z102+(16-AQ102)*0.01+AI102,IF(AN102=1,50+Z102+(16-AQ102)*0.01,IF(AO102=1,15+Z102+(16-AQ102)*0.01,Z102+(16-AQ102)*0.01+AI102)))))</f>
        <v>51.12</v>
      </c>
      <c r="AN102" s="267">
        <f ca="1">IF($D102&gt;Standings!$Q$27,"",IF(OR($AK102=1,$AL102=1),"Conf Playoff Spot",COUNTIFS($AL$2:$AL$225,0,$AK$2:$AK$225,0,$C$2:$C$225,$C102,$D$2:$D$225,$D102,$AC$2:$AC$225,"&gt;"&amp;$AC102)+1))</f>
        <v>1</v>
      </c>
      <c r="AO102" s="267">
        <f t="array" aca="1" ref="AO102" ca="1">IF($D102&gt;Standings!$Q$27,"",IF(OR($AK102=1,$AL102=1),"Conf Playoff Spot",COUNTIFS($AK$2:$AK$225,0,$AL$2:$AL$225,0,$D$2:$D$225,$D102,$AH$2:$AH$225,"&gt;"&amp;$AH102)+1))</f>
        <v>5</v>
      </c>
      <c r="AP102" s="267">
        <f t="array" aca="1" ref="AP102" ca="1">IF($D102&gt;Standings!$Q$27,"",(COUNTIFS($D$2:$D$225,$D102,$J$2:$J$225,"&gt;"&amp;$J102)+1))</f>
        <v>3</v>
      </c>
      <c r="AQ102" s="249">
        <f ca="1">IF($D102&gt;Standings!$Q$27,"",(COUNTIFS($D$2:$D$225,$D102,$AC$2:$AC$225,"&gt;"&amp;$AC102)+1))</f>
        <v>4</v>
      </c>
      <c r="AR102" s="249">
        <f ca="1">IF($D102&gt;Standings!$Q$27,"",(COUNTIFS($D$2:$D$225,$D102,$K$2:$K$225,"&gt;"&amp;$K102)+1))</f>
        <v>1</v>
      </c>
      <c r="AS102" s="249">
        <f ca="1">IF($D102&gt;Standings!$Q$27,"",(COUNTIFS($D$2:$D$225,$D102,$AD$2:$AD$225,"&gt;"&amp;$AD102)+1))</f>
        <v>1</v>
      </c>
      <c r="AT102" s="354">
        <f ca="1">IF($D102&gt;Standings!$Q$27,"",SUMIFS($J$2:$J$225,$D$2:$D$225,$D102,$C$2:$C$225,$C102))</f>
        <v>927.32</v>
      </c>
      <c r="AU102" s="253">
        <f ca="1">IF($D102&gt;Standings!$Q$27,"",SUMIFS($AC$2:$AC$225,$D$2:$D$225,$D102,$C$2:$C$225,$C102))</f>
        <v>2603.58</v>
      </c>
    </row>
    <row r="103" spans="1:47">
      <c r="A103" s="190">
        <f t="shared" si="1"/>
        <v>55</v>
      </c>
      <c r="B103" s="198" t="str">
        <f>'ESPN Data'!$L$11</f>
        <v>Team 8</v>
      </c>
      <c r="C103" s="346" t="str">
        <f>VLOOKUP(B103,'ESPN Data'!$L$4:$M$19,2,FALSE)</f>
        <v>Bone</v>
      </c>
      <c r="D103" s="397">
        <v>4</v>
      </c>
      <c r="E103" s="267" t="str">
        <f t="array" ref="E103">INDEX('ESPN Data'!$C$3:$C$226,MATCH(1,('ESPN Data'!$A$3:$A$226='Point Data'!$D103)*('ESPN Data'!$B$3:$B$226='Point Data'!$B103),0))</f>
        <v>Team 12</v>
      </c>
      <c r="F103" s="250" t="str">
        <f>IF(C103&lt;&gt;VLOOKUP($E103,'ESPN Data'!$L$4:$M$19,2,FALSE),"Non Conf", "Conf")</f>
        <v>Non Conf</v>
      </c>
      <c r="G103" s="246">
        <f t="array" aca="1" ref="G103" ca="1">IF('Point Data'!$D103&gt;Standings!$Q$27,"",(COUNTIFS($D$2:$D$225,$D103,$AM$2:$AM$225,"&gt;"&amp;$AM103)+1))</f>
        <v>6</v>
      </c>
      <c r="H103" s="172">
        <f ca="1">IF('Point Data'!$D103&gt;Standings!$Q$27,"",$G102)</f>
        <v>6</v>
      </c>
      <c r="I103" s="249">
        <f ca="1">IF('Point Data'!D103&gt;Standings!$Q$27,"",H103-G103)</f>
        <v>0</v>
      </c>
      <c r="J103" s="172">
        <f ca="1">IF('Point Data'!D103&gt;Standings!$Q$27,"",OFFSET('ESPN Data'!D$3,$A103,0,1,1))</f>
        <v>115.05</v>
      </c>
      <c r="K103" s="248">
        <f ca="1">IF('Point Data'!D103&gt;Standings!$Q$27,"",OFFSET('ESPN Data'!E$3,$A103,0,1,1))</f>
        <v>108.26</v>
      </c>
      <c r="L103" s="337">
        <f ca="1">IF('Point Data'!D103&gt;Standings!$Q$27,"",OFFSET('ESPN Data'!I$3,$A103,0,1,1))</f>
        <v>96</v>
      </c>
      <c r="M103" s="337">
        <f ca="1">IF('Point Data'!D103&gt;Standings!$Q$27,"",OFFSET('ESPN Data'!I$3,$A103,-2,1,1))</f>
        <v>0</v>
      </c>
      <c r="N103" s="337">
        <f ca="1">IF('Point Data'!D103&gt;Standings!$Q$27,"",SUMIFS($M$2:$M$225,$D$2:$D$225,D103,$C$2:$C$225,C103))</f>
        <v>161</v>
      </c>
      <c r="O103" s="337">
        <f ca="1">IF('Point Data'!D103&gt;Standings!$Q$27,"",SUMIFS($L$2:$L$225,$D$2:$D$225,$D103,$C$2:$C$225,$C103))</f>
        <v>567</v>
      </c>
      <c r="P103" s="337">
        <f ca="1">IF('Point Data'!D103&gt;Standings!$Q$27,"",SUMIFS($M$2:$M$225,$D$2:$D$225,D103))</f>
        <v>171</v>
      </c>
      <c r="Q103" s="337">
        <f ca="1">IF('Point Data'!D103&gt;Standings!$Q$27,"",SUMIFS($L$2:$L$225,$D$2:$D$225,D103))</f>
        <v>1143</v>
      </c>
      <c r="R103" s="249">
        <f ca="1">IF($D103&gt;Standings!$Q$27,"",IF(U103="T",(Z103+0.5)/(D103)*100,(Z103/D103)*100))</f>
        <v>50</v>
      </c>
      <c r="S103" s="253">
        <f ca="1">IF($D103&gt;Standings!$Q$27,"",$J103-$K103)</f>
        <v>6.789999999999992</v>
      </c>
      <c r="T103" s="253">
        <f ca="1">IF($D103&gt;Standings!$Q$27,"",AVERAGE(OFFSET(S103,(-$D103+1),0,1,1):S103))</f>
        <v>-9.1549999999999976</v>
      </c>
      <c r="U103" s="172">
        <f ca="1">IF($D103&gt;Standings!$Q$27,"",IF(J103&gt;K103,1,IF(J103=K103,"T",0)))</f>
        <v>1</v>
      </c>
      <c r="V103" s="267">
        <f ca="1">IF($D103&gt;Standings!$Q$27,"",IF(F103="Conf",V102,SUMIFS($U$2:$U$225,$D$2:$D$225,"&lt;="&amp;$D103,$B$2:$B$225,$B103,$F$2:$F$225,"Non Conf")))</f>
        <v>1</v>
      </c>
      <c r="W103" s="267" t="str">
        <f ca="1">IF($D103&gt;Standings!$Q$27,"",$V103&amp;"-"&amp;COUNTIF(OFFSET($F103,(-$D103+1),0,1,1):$F103,"Non Conf")-$V103)</f>
        <v>1-1</v>
      </c>
      <c r="X103" s="267">
        <f ca="1">IF($D103&gt;Standings!$Q$27,"",SUMIFS($U$2:$U$225,$D$2:$D$225,"&lt;="&amp;$D103,$B$2:$B$225,$B103,$F$2:$F$225,"Conf"))</f>
        <v>1</v>
      </c>
      <c r="Y103" s="267" t="str">
        <f ca="1">IF($D103&gt;Standings!$Q$27,"",$X103&amp;"-"&amp;COUNTIF(OFFSET($F103,(-$D103+1),0,1,1):$F103,"Conf")-$X103)</f>
        <v>1-1</v>
      </c>
      <c r="Z103" s="267">
        <f ca="1">IF($D103&gt;Standings!$Q$27,"",SUM(OFFSET(U103,(-$D103+1),0,1,1):U103))</f>
        <v>2</v>
      </c>
      <c r="AA103" s="172">
        <f ca="1">IF($D103&gt;Standings!$Q$27,"",IF(U103=1,1+AA102,0))</f>
        <v>1</v>
      </c>
      <c r="AB103" s="250">
        <f ca="1">IF($D103&gt;Standings!$Q$27,"",IF(AA103=0,1+AB102,0))</f>
        <v>0</v>
      </c>
      <c r="AC103" s="251">
        <f ca="1">IF($D103&gt;Standings!$Q$27,"",SUM(OFFSET(J103,(-$D103+1),0,1,1):J103))</f>
        <v>475.75000000000006</v>
      </c>
      <c r="AD103" s="248">
        <f ca="1">IF($D103&gt;Standings!$Q$27,"",SUM(OFFSET(K103,(-$D103+1),0,1,1):K103))</f>
        <v>512.37</v>
      </c>
      <c r="AE103" s="248">
        <f ca="1">IF($D103&gt;Standings!$Q$27,"",$J103-$K103)</f>
        <v>6.789999999999992</v>
      </c>
      <c r="AF103" s="248">
        <f ca="1">IF($D103&gt;Standings!$Q$27,"",AC103-AD103)</f>
        <v>-36.619999999999948</v>
      </c>
      <c r="AG103" s="172">
        <f ca="1">IF($D103&gt;Standings!$Q$27,"",(COUNTIFS($D$2:$D$225,$D103,$C$2:$C$225,$C103,$AC$2:$AC$225,"&lt;"&amp;$AC103)+1)*0.01)</f>
        <v>0.08</v>
      </c>
      <c r="AH103" s="172">
        <f ca="1">IF($D103&gt;Standings!$Q$27,"",Z103+AG103)</f>
        <v>2.08</v>
      </c>
      <c r="AI103" s="267"/>
      <c r="AJ103" s="267">
        <f t="array" aca="1" ref="AJ103" ca="1">IF($D103&gt;Standings!$Q$27,"",(COUNTIFS($D$2:$D$225,$D103,$C$2:$C$225,$C103,$AM$2:$AM$225,"&gt;"&amp;$AM103)+1))</f>
        <v>3</v>
      </c>
      <c r="AK103" s="267">
        <f t="array" aca="1" ref="AK103" ca="1">IF($D103&gt;Standings!$Q$27,"",IF((COUNTIFS($D$2:$D$225,$D103,$C$2:$C$225,$C103,$AH$2:$AH$225,"&gt;"&amp;$AH103)+1)=2,1,0))</f>
        <v>0</v>
      </c>
      <c r="AL103" s="267">
        <f t="array" aca="1" ref="AL103" ca="1">IF($D103&gt;Standings!$Q$27,"",IF((COUNTIFS($D$2:$D$225,$D103,$C$2:$C$225,$C103,$AH$2:$AH$225,"&gt;"&amp;$AH103)+1)&lt;2,1,0))</f>
        <v>0</v>
      </c>
      <c r="AM103" s="267">
        <f ca="1">IF($D103&gt;Standings!$Q$27,"",IF(AL103=1,200+Z103+(16-AQ103)*0.01+AI103,IF(AK103=1,100+Z103+(16-AQ103)*0.01+AI103,IF(AN103=1,50+Z103+(16-AQ103)*0.01,IF(AO103=1,15+Z103+(16-AQ103)*0.01,Z103+(16-AQ103)*0.01+AI103)))))</f>
        <v>52.13</v>
      </c>
      <c r="AN103" s="267">
        <f ca="1">IF($D103&gt;Standings!$Q$27,"",IF(OR($AK103=1,$AL103=1),"Conf Playoff Spot",COUNTIFS($AL$2:$AL$225,0,$AK$2:$AK$225,0,$C$2:$C$225,$C103,$D$2:$D$225,$D103,$AC$2:$AC$225,"&gt;"&amp;$AC103)+1))</f>
        <v>1</v>
      </c>
      <c r="AO103" s="267">
        <f t="array" aca="1" ref="AO103" ca="1">IF($D103&gt;Standings!$Q$27,"",IF(OR($AK103=1,$AL103=1),"Conf Playoff Spot",COUNTIFS($AK$2:$AK$225,0,$AL$2:$AL$225,0,$D$2:$D$225,$D103,$AH$2:$AH$225,"&gt;"&amp;$AH103)+1))</f>
        <v>3</v>
      </c>
      <c r="AP103" s="267">
        <f t="array" aca="1" ref="AP103" ca="1">IF($D103&gt;Standings!$Q$27,"",(COUNTIFS($D$2:$D$225,$D103,$J$2:$J$225,"&gt;"&amp;$J103)+1))</f>
        <v>4</v>
      </c>
      <c r="AQ103" s="249">
        <f ca="1">IF($D103&gt;Standings!$Q$27,"",(COUNTIFS($D$2:$D$225,$D103,$AC$2:$AC$225,"&gt;"&amp;$AC103)+1))</f>
        <v>3</v>
      </c>
      <c r="AR103" s="249">
        <f ca="1">IF($D103&gt;Standings!$Q$27,"",(COUNTIFS($D$2:$D$225,$D103,$K$2:$K$225,"&gt;"&amp;$K103)+1))</f>
        <v>8</v>
      </c>
      <c r="AS103" s="249">
        <f ca="1">IF($D103&gt;Standings!$Q$27,"",(COUNTIFS($D$2:$D$225,$D103,$AD$2:$AD$225,"&gt;"&amp;$AD103)+1))</f>
        <v>1</v>
      </c>
      <c r="AT103" s="354">
        <f ca="1">IF($D103&gt;Standings!$Q$27,"",SUMIFS($J$2:$J$225,$D$2:$D$225,$D103,$C$2:$C$225,$C103))</f>
        <v>806.98</v>
      </c>
      <c r="AU103" s="253">
        <f ca="1">IF($D103&gt;Standings!$Q$27,"",SUMIFS($AC$2:$AC$225,$D$2:$D$225,$D103,$C$2:$C$225,$C103))</f>
        <v>3410.56</v>
      </c>
    </row>
    <row r="104" spans="1:47">
      <c r="A104" s="190">
        <f t="shared" si="1"/>
        <v>71</v>
      </c>
      <c r="B104" s="198" t="str">
        <f>'ESPN Data'!$L$11</f>
        <v>Team 8</v>
      </c>
      <c r="C104" s="346" t="str">
        <f>VLOOKUP(B104,'ESPN Data'!$L$4:$M$19,2,FALSE)</f>
        <v>Bone</v>
      </c>
      <c r="D104" s="397">
        <v>5</v>
      </c>
      <c r="E104" s="267" t="str">
        <f t="array" ref="E104">INDEX('ESPN Data'!$C$3:$C$226,MATCH(1,('ESPN Data'!$A$3:$A$226='Point Data'!$D104)*('ESPN Data'!$B$3:$B$226='Point Data'!$B104),0))</f>
        <v>Team 13</v>
      </c>
      <c r="F104" s="250" t="str">
        <f>IF(C104&lt;&gt;VLOOKUP($E104,'ESPN Data'!$L$4:$M$19,2,FALSE),"Non Conf", "Conf")</f>
        <v>Non Conf</v>
      </c>
      <c r="G104" s="246">
        <f t="array" aca="1" ref="G104" ca="1">IF('Point Data'!$D104&gt;Standings!$Q$27,"",(COUNTIFS($D$2:$D$225,$D104,$AM$2:$AM$225,"&gt;"&amp;$AM104)+1))</f>
        <v>7</v>
      </c>
      <c r="H104" s="172">
        <f ca="1">IF('Point Data'!$D104&gt;Standings!$Q$27,"",$G103)</f>
        <v>6</v>
      </c>
      <c r="I104" s="249">
        <f ca="1">IF('Point Data'!D104&gt;Standings!$Q$27,"",H104-G104)</f>
        <v>-1</v>
      </c>
      <c r="J104" s="172">
        <f ca="1">IF('Point Data'!D104&gt;Standings!$Q$27,"",OFFSET('ESPN Data'!D$3,$A104,0,1,1))</f>
        <v>81.97</v>
      </c>
      <c r="K104" s="248">
        <f ca="1">IF('Point Data'!D104&gt;Standings!$Q$27,"",OFFSET('ESPN Data'!E$3,$A104,0,1,1))</f>
        <v>54.24</v>
      </c>
      <c r="L104" s="337">
        <f ca="1">IF('Point Data'!D104&gt;Standings!$Q$27,"",OFFSET('ESPN Data'!I$3,$A104,0,1,1))</f>
        <v>96</v>
      </c>
      <c r="M104" s="337">
        <f ca="1">IF('Point Data'!D104&gt;Standings!$Q$27,"",OFFSET('ESPN Data'!I$3,$A104,-2,1,1))</f>
        <v>0</v>
      </c>
      <c r="N104" s="337">
        <f ca="1">IF('Point Data'!D104&gt;Standings!$Q$27,"",SUMIFS($M$2:$M$225,$D$2:$D$225,D104,$C$2:$C$225,C104))</f>
        <v>65</v>
      </c>
      <c r="O104" s="337">
        <f ca="1">IF('Point Data'!D104&gt;Standings!$Q$27,"",SUMIFS($L$2:$L$225,$D$2:$D$225,$D104,$C$2:$C$225,$C104))</f>
        <v>502</v>
      </c>
      <c r="P104" s="337">
        <f ca="1">IF('Point Data'!D104&gt;Standings!$Q$27,"",SUMIFS($M$2:$M$225,$D$2:$D$225,D104))</f>
        <v>104</v>
      </c>
      <c r="Q104" s="337">
        <f ca="1">IF('Point Data'!D104&gt;Standings!$Q$27,"",SUMIFS($L$2:$L$225,$D$2:$D$225,D104))</f>
        <v>1039</v>
      </c>
      <c r="R104" s="249">
        <f ca="1">IF($D104&gt;Standings!$Q$27,"",IF(U104="T",(Z104+0.5)/(D104)*100,(Z104/D104)*100))</f>
        <v>60</v>
      </c>
      <c r="S104" s="253">
        <f ca="1">IF($D104&gt;Standings!$Q$27,"",$J104-$K104)</f>
        <v>27.729999999999997</v>
      </c>
      <c r="T104" s="253">
        <f ca="1">IF($D104&gt;Standings!$Q$27,"",AVERAGE(OFFSET(S104,(-$D104+1),0,1,1):S104))</f>
        <v>-1.7779999999999987</v>
      </c>
      <c r="U104" s="172">
        <f ca="1">IF($D104&gt;Standings!$Q$27,"",IF(J104&gt;K104,1,IF(J104=K104,"T",0)))</f>
        <v>1</v>
      </c>
      <c r="V104" s="267">
        <f ca="1">IF($D104&gt;Standings!$Q$27,"",IF(F104="Conf",V103,SUMIFS($U$2:$U$225,$D$2:$D$225,"&lt;="&amp;$D104,$B$2:$B$225,$B104,$F$2:$F$225,"Non Conf")))</f>
        <v>2</v>
      </c>
      <c r="W104" s="267" t="str">
        <f ca="1">IF($D104&gt;Standings!$Q$27,"",$V104&amp;"-"&amp;COUNTIF(OFFSET($F104,(-$D104+1),0,1,1):$F104,"Non Conf")-$V104)</f>
        <v>2-1</v>
      </c>
      <c r="X104" s="267">
        <f ca="1">IF($D104&gt;Standings!$Q$27,"",SUMIFS($U$2:$U$225,$D$2:$D$225,"&lt;="&amp;$D104,$B$2:$B$225,$B104,$F$2:$F$225,"Conf"))</f>
        <v>1</v>
      </c>
      <c r="Y104" s="267" t="str">
        <f ca="1">IF($D104&gt;Standings!$Q$27,"",$X104&amp;"-"&amp;COUNTIF(OFFSET($F104,(-$D104+1),0,1,1):$F104,"Conf")-$X104)</f>
        <v>1-1</v>
      </c>
      <c r="Z104" s="267">
        <f ca="1">IF($D104&gt;Standings!$Q$27,"",SUM(OFFSET(U104,(-$D104+1),0,1,1):U104))</f>
        <v>3</v>
      </c>
      <c r="AA104" s="172">
        <f ca="1">IF($D104&gt;Standings!$Q$27,"",IF(U104=1,1+AA103,0))</f>
        <v>2</v>
      </c>
      <c r="AB104" s="250">
        <f ca="1">IF($D104&gt;Standings!$Q$27,"",IF(AA104=0,1+AB103,0))</f>
        <v>0</v>
      </c>
      <c r="AC104" s="251">
        <f ca="1">IF($D104&gt;Standings!$Q$27,"",SUM(OFFSET(J104,(-$D104+1),0,1,1):J104))</f>
        <v>557.72</v>
      </c>
      <c r="AD104" s="248">
        <f ca="1">IF($D104&gt;Standings!$Q$27,"",SUM(OFFSET(K104,(-$D104+1),0,1,1):K104))</f>
        <v>566.61</v>
      </c>
      <c r="AE104" s="248">
        <f ca="1">IF($D104&gt;Standings!$Q$27,"",$J104-$K104)</f>
        <v>27.729999999999997</v>
      </c>
      <c r="AF104" s="248">
        <f ca="1">IF($D104&gt;Standings!$Q$27,"",AC104-AD104)</f>
        <v>-8.8899999999999864</v>
      </c>
      <c r="AG104" s="172">
        <f ca="1">IF($D104&gt;Standings!$Q$27,"",(COUNTIFS($D$2:$D$225,$D104,$C$2:$C$225,$C104,$AC$2:$AC$225,"&lt;"&amp;$AC104)+1)*0.01)</f>
        <v>0.05</v>
      </c>
      <c r="AH104" s="172">
        <f ca="1">IF($D104&gt;Standings!$Q$27,"",Z104+AG104)</f>
        <v>3.05</v>
      </c>
      <c r="AI104" s="267"/>
      <c r="AJ104" s="267">
        <f t="array" aca="1" ref="AJ104" ca="1">IF($D104&gt;Standings!$Q$27,"",(COUNTIFS($D$2:$D$225,$D104,$C$2:$C$225,$C104,$AM$2:$AM$225,"&gt;"&amp;$AM104)+1))</f>
        <v>4</v>
      </c>
      <c r="AK104" s="267">
        <f t="array" aca="1" ref="AK104" ca="1">IF($D104&gt;Standings!$Q$27,"",IF((COUNTIFS($D$2:$D$225,$D104,$C$2:$C$225,$C104,$AH$2:$AH$225,"&gt;"&amp;$AH104)+1)=2,1,0))</f>
        <v>0</v>
      </c>
      <c r="AL104" s="267">
        <f t="array" aca="1" ref="AL104" ca="1">IF($D104&gt;Standings!$Q$27,"",IF((COUNTIFS($D$2:$D$225,$D104,$C$2:$C$225,$C104,$AH$2:$AH$225,"&gt;"&amp;$AH104)+1)&lt;2,1,0))</f>
        <v>0</v>
      </c>
      <c r="AM104" s="267">
        <f ca="1">IF($D104&gt;Standings!$Q$27,"",IF(AL104=1,200+Z104+(16-AQ104)*0.01+AI104,IF(AK104=1,100+Z104+(16-AQ104)*0.01+AI104,IF(AN104=1,50+Z104+(16-AQ104)*0.01,IF(AO104=1,15+Z104+(16-AQ104)*0.01,Z104+(16-AQ104)*0.01+AI104)))))</f>
        <v>3.09</v>
      </c>
      <c r="AN104" s="267">
        <f ca="1">IF($D104&gt;Standings!$Q$27,"",IF(OR($AK104=1,$AL104=1),"Conf Playoff Spot",COUNTIFS($AL$2:$AL$225,0,$AK$2:$AK$225,0,$C$2:$C$225,$C104,$D$2:$D$225,$D104,$AC$2:$AC$225,"&gt;"&amp;$AC104)+1))</f>
        <v>2</v>
      </c>
      <c r="AO104" s="267">
        <f t="array" aca="1" ref="AO104" ca="1">IF($D104&gt;Standings!$Q$27,"",IF(OR($AK104=1,$AL104=1),"Conf Playoff Spot",COUNTIFS($AK$2:$AK$225,0,$AL$2:$AL$225,0,$D$2:$D$225,$D104,$AH$2:$AH$225,"&gt;"&amp;$AH104)+1))</f>
        <v>2</v>
      </c>
      <c r="AP104" s="267">
        <f t="array" aca="1" ref="AP104" ca="1">IF($D104&gt;Standings!$Q$27,"",(COUNTIFS($D$2:$D$225,$D104,$J$2:$J$225,"&gt;"&amp;$J104)+1))</f>
        <v>14</v>
      </c>
      <c r="AQ104" s="249">
        <f ca="1">IF($D104&gt;Standings!$Q$27,"",(COUNTIFS($D$2:$D$225,$D104,$AC$2:$AC$225,"&gt;"&amp;$AC104)+1))</f>
        <v>7</v>
      </c>
      <c r="AR104" s="249">
        <f ca="1">IF($D104&gt;Standings!$Q$27,"",(COUNTIFS($D$2:$D$225,$D104,$K$2:$K$225,"&gt;"&amp;$K104)+1))</f>
        <v>16</v>
      </c>
      <c r="AS104" s="249">
        <f ca="1">IF($D104&gt;Standings!$Q$27,"",(COUNTIFS($D$2:$D$225,$D104,$AD$2:$AD$225,"&gt;"&amp;$AD104)+1))</f>
        <v>3</v>
      </c>
      <c r="AT104" s="354">
        <f ca="1">IF($D104&gt;Standings!$Q$27,"",SUMIFS($J$2:$J$225,$D$2:$D$225,$D104,$C$2:$C$225,$C104))</f>
        <v>811.47</v>
      </c>
      <c r="AU104" s="253">
        <f ca="1">IF($D104&gt;Standings!$Q$27,"",SUMIFS($AC$2:$AC$225,$D$2:$D$225,$D104,$C$2:$C$225,$C104))</f>
        <v>4222.03</v>
      </c>
    </row>
    <row r="105" spans="1:47">
      <c r="A105" s="190">
        <f t="shared" si="1"/>
        <v>87</v>
      </c>
      <c r="B105" s="198" t="str">
        <f>'ESPN Data'!$L$11</f>
        <v>Team 8</v>
      </c>
      <c r="C105" s="346" t="str">
        <f>VLOOKUP(B105,'ESPN Data'!$L$4:$M$19,2,FALSE)</f>
        <v>Bone</v>
      </c>
      <c r="D105" s="397">
        <v>6</v>
      </c>
      <c r="E105" s="267" t="str">
        <f t="array" ref="E105">INDEX('ESPN Data'!$C$3:$C$226,MATCH(1,('ESPN Data'!$A$3:$A$226='Point Data'!$D105)*('ESPN Data'!$B$3:$B$226='Point Data'!$B105),0))</f>
        <v>Team 1</v>
      </c>
      <c r="F105" s="250" t="str">
        <f>IF(C105&lt;&gt;VLOOKUP($E105,'ESPN Data'!$L$4:$M$19,2,FALSE),"Non Conf", "Conf")</f>
        <v>Conf</v>
      </c>
      <c r="G105" s="246">
        <f t="array" aca="1" ref="G105" ca="1">IF('Point Data'!$D105&gt;Standings!$Q$27,"",(COUNTIFS($D$2:$D$225,$D105,$AM$2:$AM$225,"&gt;"&amp;$AM105)+1))</f>
        <v>5</v>
      </c>
      <c r="H105" s="172">
        <f ca="1">IF('Point Data'!$D105&gt;Standings!$Q$27,"",$G104)</f>
        <v>7</v>
      </c>
      <c r="I105" s="249">
        <f ca="1">IF('Point Data'!D105&gt;Standings!$Q$27,"",H105-G105)</f>
        <v>2</v>
      </c>
      <c r="J105" s="172">
        <f ca="1">IF('Point Data'!D105&gt;Standings!$Q$27,"",OFFSET('ESPN Data'!D$3,$A105,0,1,1))</f>
        <v>108.9</v>
      </c>
      <c r="K105" s="248">
        <f ca="1">IF('Point Data'!D105&gt;Standings!$Q$27,"",OFFSET('ESPN Data'!E$3,$A105,0,1,1))</f>
        <v>74.430000000000007</v>
      </c>
      <c r="L105" s="337">
        <f ca="1">IF('Point Data'!D105&gt;Standings!$Q$27,"",OFFSET('ESPN Data'!I$3,$A105,0,1,1))</f>
        <v>52</v>
      </c>
      <c r="M105" s="337">
        <f ca="1">IF('Point Data'!D105&gt;Standings!$Q$27,"",OFFSET('ESPN Data'!I$3,$A105,-2,1,1))</f>
        <v>44</v>
      </c>
      <c r="N105" s="337">
        <f ca="1">IF('Point Data'!D105&gt;Standings!$Q$27,"",SUMIFS($M$2:$M$225,$D$2:$D$225,D105,$C$2:$C$225,C105))</f>
        <v>116</v>
      </c>
      <c r="O105" s="337">
        <f ca="1">IF('Point Data'!D105&gt;Standings!$Q$27,"",SUMIFS($L$2:$L$225,$D$2:$D$225,$D105,$C$2:$C$225,$C105))</f>
        <v>386</v>
      </c>
      <c r="P105" s="337">
        <f ca="1">IF('Point Data'!D105&gt;Standings!$Q$27,"",SUMIFS($M$2:$M$225,$D$2:$D$225,D105))</f>
        <v>183</v>
      </c>
      <c r="Q105" s="337">
        <f ca="1">IF('Point Data'!D105&gt;Standings!$Q$27,"",SUMIFS($L$2:$L$225,$D$2:$D$225,D105))</f>
        <v>856</v>
      </c>
      <c r="R105" s="249">
        <f ca="1">IF($D105&gt;Standings!$Q$27,"",IF(U105="T",(Z105+0.5)/(D105)*100,(Z105/D105)*100))</f>
        <v>66.666666666666657</v>
      </c>
      <c r="S105" s="253">
        <f ca="1">IF($D105&gt;Standings!$Q$27,"",$J105-$K105)</f>
        <v>34.47</v>
      </c>
      <c r="T105" s="253">
        <f ca="1">IF($D105&gt;Standings!$Q$27,"",AVERAGE(OFFSET(S105,(-$D105+1),0,1,1):S105))</f>
        <v>4.2633333333333345</v>
      </c>
      <c r="U105" s="172">
        <f ca="1">IF($D105&gt;Standings!$Q$27,"",IF(J105&gt;K105,1,IF(J105=K105,"T",0)))</f>
        <v>1</v>
      </c>
      <c r="V105" s="267">
        <f ca="1">IF($D105&gt;Standings!$Q$27,"",IF(F105="Conf",V104,SUMIFS($U$2:$U$225,$D$2:$D$225,"&lt;="&amp;$D105,$B$2:$B$225,$B105,$F$2:$F$225,"Non Conf")))</f>
        <v>2</v>
      </c>
      <c r="W105" s="267" t="str">
        <f ca="1">IF($D105&gt;Standings!$Q$27,"",$V105&amp;"-"&amp;COUNTIF(OFFSET($F105,(-$D105+1),0,1,1):$F105,"Non Conf")-$V105)</f>
        <v>2-1</v>
      </c>
      <c r="X105" s="267">
        <f ca="1">IF($D105&gt;Standings!$Q$27,"",SUMIFS($U$2:$U$225,$D$2:$D$225,"&lt;="&amp;$D105,$B$2:$B$225,$B105,$F$2:$F$225,"Conf"))</f>
        <v>2</v>
      </c>
      <c r="Y105" s="267" t="str">
        <f ca="1">IF($D105&gt;Standings!$Q$27,"",$X105&amp;"-"&amp;COUNTIF(OFFSET($F105,(-$D105+1),0,1,1):$F105,"Conf")-$X105)</f>
        <v>2-1</v>
      </c>
      <c r="Z105" s="267">
        <f ca="1">IF($D105&gt;Standings!$Q$27,"",SUM(OFFSET(U105,(-$D105+1),0,1,1):U105))</f>
        <v>4</v>
      </c>
      <c r="AA105" s="172">
        <f ca="1">IF($D105&gt;Standings!$Q$27,"",IF(U105=1,1+AA104,0))</f>
        <v>3</v>
      </c>
      <c r="AB105" s="250">
        <f ca="1">IF($D105&gt;Standings!$Q$27,"",IF(AA105=0,1+AB104,0))</f>
        <v>0</v>
      </c>
      <c r="AC105" s="251">
        <f ca="1">IF($D105&gt;Standings!$Q$27,"",SUM(OFFSET(J105,(-$D105+1),0,1,1):J105))</f>
        <v>666.62</v>
      </c>
      <c r="AD105" s="248">
        <f ca="1">IF($D105&gt;Standings!$Q$27,"",SUM(OFFSET(K105,(-$D105+1),0,1,1):K105))</f>
        <v>641.04</v>
      </c>
      <c r="AE105" s="248">
        <f ca="1">IF($D105&gt;Standings!$Q$27,"",$J105-$K105)</f>
        <v>34.47</v>
      </c>
      <c r="AF105" s="248">
        <f ca="1">IF($D105&gt;Standings!$Q$27,"",AC105-AD105)</f>
        <v>25.580000000000041</v>
      </c>
      <c r="AG105" s="172">
        <f ca="1">IF($D105&gt;Standings!$Q$27,"",(COUNTIFS($D$2:$D$225,$D105,$C$2:$C$225,$C105,$AC$2:$AC$225,"&lt;"&amp;$AC105)+1)*0.01)</f>
        <v>7.0000000000000007E-2</v>
      </c>
      <c r="AH105" s="172">
        <f ca="1">IF($D105&gt;Standings!$Q$27,"",Z105+AG105)</f>
        <v>4.07</v>
      </c>
      <c r="AI105" s="267"/>
      <c r="AJ105" s="267">
        <f t="array" aca="1" ref="AJ105" ca="1">IF($D105&gt;Standings!$Q$27,"",(COUNTIFS($D$2:$D$225,$D105,$C$2:$C$225,$C105,$AM$2:$AM$225,"&gt;"&amp;$AM105)+1))</f>
        <v>3</v>
      </c>
      <c r="AK105" s="267">
        <f t="array" aca="1" ref="AK105" ca="1">IF($D105&gt;Standings!$Q$27,"",IF((COUNTIFS($D$2:$D$225,$D105,$C$2:$C$225,$C105,$AH$2:$AH$225,"&gt;"&amp;$AH105)+1)=2,1,0))</f>
        <v>0</v>
      </c>
      <c r="AL105" s="267">
        <f t="array" aca="1" ref="AL105" ca="1">IF($D105&gt;Standings!$Q$27,"",IF((COUNTIFS($D$2:$D$225,$D105,$C$2:$C$225,$C105,$AH$2:$AH$225,"&gt;"&amp;$AH105)+1)&lt;2,1,0))</f>
        <v>0</v>
      </c>
      <c r="AM105" s="267">
        <f ca="1">IF($D105&gt;Standings!$Q$27,"",IF(AL105=1,200+Z105+(16-AQ105)*0.01+AI105,IF(AK105=1,100+Z105+(16-AQ105)*0.01+AI105,IF(AN105=1,50+Z105+(16-AQ105)*0.01,IF(AO105=1,15+Z105+(16-AQ105)*0.01,Z105+(16-AQ105)*0.01+AI105)))))</f>
        <v>54.13</v>
      </c>
      <c r="AN105" s="267">
        <f ca="1">IF($D105&gt;Standings!$Q$27,"",IF(OR($AK105=1,$AL105=1),"Conf Playoff Spot",COUNTIFS($AL$2:$AL$225,0,$AK$2:$AK$225,0,$C$2:$C$225,$C105,$D$2:$D$225,$D105,$AC$2:$AC$225,"&gt;"&amp;$AC105)+1))</f>
        <v>1</v>
      </c>
      <c r="AO105" s="267">
        <f t="array" aca="1" ref="AO105" ca="1">IF($D105&gt;Standings!$Q$27,"",IF(OR($AK105=1,$AL105=1),"Conf Playoff Spot",COUNTIFS($AK$2:$AK$225,0,$AL$2:$AL$225,0,$D$2:$D$225,$D105,$AH$2:$AH$225,"&gt;"&amp;$AH105)+1))</f>
        <v>1</v>
      </c>
      <c r="AP105" s="267">
        <f t="array" aca="1" ref="AP105" ca="1">IF($D105&gt;Standings!$Q$27,"",(COUNTIFS($D$2:$D$225,$D105,$J$2:$J$225,"&gt;"&amp;$J105)+1))</f>
        <v>6</v>
      </c>
      <c r="AQ105" s="249">
        <f ca="1">IF($D105&gt;Standings!$Q$27,"",(COUNTIFS($D$2:$D$225,$D105,$AC$2:$AC$225,"&gt;"&amp;$AC105)+1))</f>
        <v>3</v>
      </c>
      <c r="AR105" s="249">
        <f ca="1">IF($D105&gt;Standings!$Q$27,"",(COUNTIFS($D$2:$D$225,$D105,$K$2:$K$225,"&gt;"&amp;$K105)+1))</f>
        <v>13</v>
      </c>
      <c r="AS105" s="249">
        <f ca="1">IF($D105&gt;Standings!$Q$27,"",(COUNTIFS($D$2:$D$225,$D105,$AD$2:$AD$225,"&gt;"&amp;$AD105)+1))</f>
        <v>8</v>
      </c>
      <c r="AT105" s="354">
        <f ca="1">IF($D105&gt;Standings!$Q$27,"",SUMIFS($J$2:$J$225,$D$2:$D$225,$D105,$C$2:$C$225,$C105))</f>
        <v>782.35</v>
      </c>
      <c r="AU105" s="253">
        <f ca="1">IF($D105&gt;Standings!$Q$27,"",SUMIFS($AC$2:$AC$225,$D$2:$D$225,$D105,$C$2:$C$225,$C105))</f>
        <v>5004.38</v>
      </c>
    </row>
    <row r="106" spans="1:47">
      <c r="A106" s="190">
        <f t="shared" si="1"/>
        <v>103</v>
      </c>
      <c r="B106" s="198" t="str">
        <f>'ESPN Data'!$L$11</f>
        <v>Team 8</v>
      </c>
      <c r="C106" s="346" t="str">
        <f>VLOOKUP(B106,'ESPN Data'!$L$4:$M$19,2,FALSE)</f>
        <v>Bone</v>
      </c>
      <c r="D106" s="397">
        <v>7</v>
      </c>
      <c r="E106" s="267" t="str">
        <f t="array" ref="E106">INDEX('ESPN Data'!$C$3:$C$226,MATCH(1,('ESPN Data'!$A$3:$A$226='Point Data'!$D106)*('ESPN Data'!$B$3:$B$226='Point Data'!$B106),0))</f>
        <v>Team 6</v>
      </c>
      <c r="F106" s="250" t="str">
        <f>IF(C106&lt;&gt;VLOOKUP($E106,'ESPN Data'!$L$4:$M$19,2,FALSE),"Non Conf", "Conf")</f>
        <v>Conf</v>
      </c>
      <c r="G106" s="246">
        <f t="array" aca="1" ref="G106" ca="1">IF('Point Data'!$D106&gt;Standings!$Q$27,"",(COUNTIFS($D$2:$D$225,$D106,$AM$2:$AM$225,"&gt;"&amp;$AM106)+1))</f>
        <v>8</v>
      </c>
      <c r="H106" s="172">
        <f ca="1">IF('Point Data'!$D106&gt;Standings!$Q$27,"",$G105)</f>
        <v>5</v>
      </c>
      <c r="I106" s="249">
        <f ca="1">IF('Point Data'!D106&gt;Standings!$Q$27,"",H106-G106)</f>
        <v>-3</v>
      </c>
      <c r="J106" s="172">
        <f ca="1">IF('Point Data'!D106&gt;Standings!$Q$27,"",OFFSET('ESPN Data'!D$3,$A106,0,1,1))</f>
        <v>95.12</v>
      </c>
      <c r="K106" s="248">
        <f ca="1">IF('Point Data'!D106&gt;Standings!$Q$27,"",OFFSET('ESPN Data'!E$3,$A106,0,1,1))</f>
        <v>113.68</v>
      </c>
      <c r="L106" s="337">
        <f ca="1">IF('Point Data'!D106&gt;Standings!$Q$27,"",OFFSET('ESPN Data'!I$3,$A106,0,1,1))</f>
        <v>52</v>
      </c>
      <c r="M106" s="337">
        <f ca="1">IF('Point Data'!D106&gt;Standings!$Q$27,"",OFFSET('ESPN Data'!I$3,$A106,-2,1,1))</f>
        <v>0</v>
      </c>
      <c r="N106" s="337">
        <f ca="1">IF('Point Data'!D106&gt;Standings!$Q$27,"",SUMIFS($M$2:$M$225,$D$2:$D$225,D106,$C$2:$C$225,C106))</f>
        <v>28</v>
      </c>
      <c r="O106" s="337">
        <f ca="1">IF('Point Data'!D106&gt;Standings!$Q$27,"",SUMIFS($L$2:$L$225,$D$2:$D$225,$D106,$C$2:$C$225,$C106))</f>
        <v>358</v>
      </c>
      <c r="P106" s="337">
        <f ca="1">IF('Point Data'!D106&gt;Standings!$Q$27,"",SUMIFS($M$2:$M$225,$D$2:$D$225,D106))</f>
        <v>168</v>
      </c>
      <c r="Q106" s="337">
        <f ca="1">IF('Point Data'!D106&gt;Standings!$Q$27,"",SUMIFS($L$2:$L$225,$D$2:$D$225,D106))</f>
        <v>688</v>
      </c>
      <c r="R106" s="249">
        <f ca="1">IF($D106&gt;Standings!$Q$27,"",IF(U106="T",(Z106+0.5)/(D106)*100,(Z106/D106)*100))</f>
        <v>57.142857142857139</v>
      </c>
      <c r="S106" s="253">
        <f ca="1">IF($D106&gt;Standings!$Q$27,"",$J106-$K106)</f>
        <v>-18.560000000000002</v>
      </c>
      <c r="T106" s="253">
        <f ca="1">IF($D106&gt;Standings!$Q$27,"",AVERAGE(OFFSET(S106,(-$D106+1),0,1,1):S106))</f>
        <v>1.0028571428571433</v>
      </c>
      <c r="U106" s="172">
        <f ca="1">IF($D106&gt;Standings!$Q$27,"",IF(J106&gt;K106,1,IF(J106=K106,"T",0)))</f>
        <v>0</v>
      </c>
      <c r="V106" s="267">
        <f ca="1">IF($D106&gt;Standings!$Q$27,"",IF(F106="Conf",V105,SUMIFS($U$2:$U$225,$D$2:$D$225,"&lt;="&amp;$D106,$B$2:$B$225,$B106,$F$2:$F$225,"Non Conf")))</f>
        <v>2</v>
      </c>
      <c r="W106" s="267" t="str">
        <f ca="1">IF($D106&gt;Standings!$Q$27,"",$V106&amp;"-"&amp;COUNTIF(OFFSET($F106,(-$D106+1),0,1,1):$F106,"Non Conf")-$V106)</f>
        <v>2-1</v>
      </c>
      <c r="X106" s="267">
        <f ca="1">IF($D106&gt;Standings!$Q$27,"",SUMIFS($U$2:$U$225,$D$2:$D$225,"&lt;="&amp;$D106,$B$2:$B$225,$B106,$F$2:$F$225,"Conf"))</f>
        <v>2</v>
      </c>
      <c r="Y106" s="267" t="str">
        <f ca="1">IF($D106&gt;Standings!$Q$27,"",$X106&amp;"-"&amp;COUNTIF(OFFSET($F106,(-$D106+1),0,1,1):$F106,"Conf")-$X106)</f>
        <v>2-2</v>
      </c>
      <c r="Z106" s="267">
        <f ca="1">IF($D106&gt;Standings!$Q$27,"",SUM(OFFSET(U106,(-$D106+1),0,1,1):U106))</f>
        <v>4</v>
      </c>
      <c r="AA106" s="172">
        <f ca="1">IF($D106&gt;Standings!$Q$27,"",IF(U106=1,1+AA105,0))</f>
        <v>0</v>
      </c>
      <c r="AB106" s="250">
        <f ca="1">IF($D106&gt;Standings!$Q$27,"",IF(AA106=0,1+AB105,0))</f>
        <v>1</v>
      </c>
      <c r="AC106" s="251">
        <f ca="1">IF($D106&gt;Standings!$Q$27,"",SUM(OFFSET(J106,(-$D106+1),0,1,1):J106))</f>
        <v>761.74</v>
      </c>
      <c r="AD106" s="248">
        <f ca="1">IF($D106&gt;Standings!$Q$27,"",SUM(OFFSET(K106,(-$D106+1),0,1,1):K106))</f>
        <v>754.72</v>
      </c>
      <c r="AE106" s="248">
        <f ca="1">IF($D106&gt;Standings!$Q$27,"",$J106-$K106)</f>
        <v>-18.560000000000002</v>
      </c>
      <c r="AF106" s="248">
        <f ca="1">IF($D106&gt;Standings!$Q$27,"",AC106-AD106)</f>
        <v>7.0199999999999818</v>
      </c>
      <c r="AG106" s="172">
        <f ca="1">IF($D106&gt;Standings!$Q$27,"",(COUNTIFS($D$2:$D$225,$D106,$C$2:$C$225,$C106,$AC$2:$AC$225,"&lt;"&amp;$AC106)+1)*0.01)</f>
        <v>0.06</v>
      </c>
      <c r="AH106" s="172">
        <f ca="1">IF($D106&gt;Standings!$Q$27,"",Z106+AG106)</f>
        <v>4.0599999999999996</v>
      </c>
      <c r="AI106" s="267"/>
      <c r="AJ106" s="267">
        <f t="array" aca="1" ref="AJ106" ca="1">IF($D106&gt;Standings!$Q$27,"",(COUNTIFS($D$2:$D$225,$D106,$C$2:$C$225,$C106,$AM$2:$AM$225,"&gt;"&amp;$AM106)+1))</f>
        <v>5</v>
      </c>
      <c r="AK106" s="267">
        <f t="array" aca="1" ref="AK106" ca="1">IF($D106&gt;Standings!$Q$27,"",IF((COUNTIFS($D$2:$D$225,$D106,$C$2:$C$225,$C106,$AH$2:$AH$225,"&gt;"&amp;$AH106)+1)=2,1,0))</f>
        <v>0</v>
      </c>
      <c r="AL106" s="267">
        <f t="array" aca="1" ref="AL106" ca="1">IF($D106&gt;Standings!$Q$27,"",IF((COUNTIFS($D$2:$D$225,$D106,$C$2:$C$225,$C106,$AH$2:$AH$225,"&gt;"&amp;$AH106)+1)&lt;2,1,0))</f>
        <v>0</v>
      </c>
      <c r="AM106" s="267">
        <f ca="1">IF($D106&gt;Standings!$Q$27,"",IF(AL106=1,200+Z106+(16-AQ106)*0.01+AI106,IF(AK106=1,100+Z106+(16-AQ106)*0.01+AI106,IF(AN106=1,50+Z106+(16-AQ106)*0.01,IF(AO106=1,15+Z106+(16-AQ106)*0.01,Z106+(16-AQ106)*0.01+AI106)))))</f>
        <v>4.12</v>
      </c>
      <c r="AN106" s="267">
        <f ca="1">IF($D106&gt;Standings!$Q$27,"",IF(OR($AK106=1,$AL106=1),"Conf Playoff Spot",COUNTIFS($AL$2:$AL$225,0,$AK$2:$AK$225,0,$C$2:$C$225,$C106,$D$2:$D$225,$D106,$AC$2:$AC$225,"&gt;"&amp;$AC106)+1))</f>
        <v>2</v>
      </c>
      <c r="AO106" s="267">
        <f t="array" aca="1" ref="AO106" ca="1">IF($D106&gt;Standings!$Q$27,"",IF(OR($AK106=1,$AL106=1),"Conf Playoff Spot",COUNTIFS($AK$2:$AK$225,0,$AL$2:$AL$225,0,$D$2:$D$225,$D106,$AH$2:$AH$225,"&gt;"&amp;$AH106)+1))</f>
        <v>3</v>
      </c>
      <c r="AP106" s="267">
        <f t="array" aca="1" ref="AP106" ca="1">IF($D106&gt;Standings!$Q$27,"",(COUNTIFS($D$2:$D$225,$D106,$J$2:$J$225,"&gt;"&amp;$J106)+1))</f>
        <v>10</v>
      </c>
      <c r="AQ106" s="249">
        <f ca="1">IF($D106&gt;Standings!$Q$27,"",(COUNTIFS($D$2:$D$225,$D106,$AC$2:$AC$225,"&gt;"&amp;$AC106)+1))</f>
        <v>4</v>
      </c>
      <c r="AR106" s="249">
        <f ca="1">IF($D106&gt;Standings!$Q$27,"",(COUNTIFS($D$2:$D$225,$D106,$K$2:$K$225,"&gt;"&amp;$K106)+1))</f>
        <v>6</v>
      </c>
      <c r="AS106" s="249">
        <f ca="1">IF($D106&gt;Standings!$Q$27,"",(COUNTIFS($D$2:$D$225,$D106,$AD$2:$AD$225,"&gt;"&amp;$AD106)+1))</f>
        <v>7</v>
      </c>
      <c r="AT106" s="354">
        <f ca="1">IF($D106&gt;Standings!$Q$27,"",SUMIFS($J$2:$J$225,$D$2:$D$225,$D106,$C$2:$C$225,$C106))</f>
        <v>939.21999999999991</v>
      </c>
      <c r="AU106" s="253">
        <f ca="1">IF($D106&gt;Standings!$Q$27,"",SUMIFS($AC$2:$AC$225,$D$2:$D$225,$D106,$C$2:$C$225,$C106))</f>
        <v>5943.6</v>
      </c>
    </row>
    <row r="107" spans="1:47">
      <c r="A107" s="190">
        <f t="shared" si="1"/>
        <v>119</v>
      </c>
      <c r="B107" s="198" t="str">
        <f>'ESPN Data'!$L$11</f>
        <v>Team 8</v>
      </c>
      <c r="C107" s="346" t="str">
        <f>VLOOKUP(B107,'ESPN Data'!$L$4:$M$19,2,FALSE)</f>
        <v>Bone</v>
      </c>
      <c r="D107" s="397">
        <v>8</v>
      </c>
      <c r="E107" s="267" t="str">
        <f t="array" ref="E107">INDEX('ESPN Data'!$C$3:$C$226,MATCH(1,('ESPN Data'!$A$3:$A$226='Point Data'!$D107)*('ESPN Data'!$B$3:$B$226='Point Data'!$B107),0))</f>
        <v>Team 14</v>
      </c>
      <c r="F107" s="250" t="str">
        <f>IF(C107&lt;&gt;VLOOKUP($E107,'ESPN Data'!$L$4:$M$19,2,FALSE),"Non Conf", "Conf")</f>
        <v>Non Conf</v>
      </c>
      <c r="G107" s="246">
        <f t="array" aca="1" ref="G107" ca="1">IF('Point Data'!$D107&gt;Standings!$Q$27,"",(COUNTIFS($D$2:$D$225,$D107,$AM$2:$AM$225,"&gt;"&amp;$AM107)+1))</f>
        <v>10</v>
      </c>
      <c r="H107" s="172">
        <f ca="1">IF('Point Data'!$D107&gt;Standings!$Q$27,"",$G106)</f>
        <v>8</v>
      </c>
      <c r="I107" s="249">
        <f ca="1">IF('Point Data'!D107&gt;Standings!$Q$27,"",H107-G107)</f>
        <v>-2</v>
      </c>
      <c r="J107" s="172">
        <f ca="1">IF('Point Data'!D107&gt;Standings!$Q$27,"",OFFSET('ESPN Data'!D$3,$A107,0,1,1))</f>
        <v>88.93</v>
      </c>
      <c r="K107" s="248">
        <f ca="1">IF('Point Data'!D107&gt;Standings!$Q$27,"",OFFSET('ESPN Data'!E$3,$A107,0,1,1))</f>
        <v>131.43</v>
      </c>
      <c r="L107" s="337">
        <f ca="1">IF('Point Data'!D107&gt;Standings!$Q$27,"",OFFSET('ESPN Data'!I$3,$A107,0,1,1))</f>
        <v>52</v>
      </c>
      <c r="M107" s="337">
        <f ca="1">IF('Point Data'!D107&gt;Standings!$Q$27,"",OFFSET('ESPN Data'!I$3,$A107,-2,1,1))</f>
        <v>0</v>
      </c>
      <c r="N107" s="337">
        <f ca="1">IF('Point Data'!D107&gt;Standings!$Q$27,"",SUMIFS($M$2:$M$225,$D$2:$D$225,D107,$C$2:$C$225,C107))</f>
        <v>18</v>
      </c>
      <c r="O107" s="337">
        <f ca="1">IF('Point Data'!D107&gt;Standings!$Q$27,"",SUMIFS($L$2:$L$225,$D$2:$D$225,$D107,$C$2:$C$225,$C107))</f>
        <v>340</v>
      </c>
      <c r="P107" s="337">
        <f ca="1">IF('Point Data'!D107&gt;Standings!$Q$27,"",SUMIFS($M$2:$M$225,$D$2:$D$225,D107))</f>
        <v>80</v>
      </c>
      <c r="Q107" s="337">
        <f ca="1">IF('Point Data'!D107&gt;Standings!$Q$27,"",SUMIFS($L$2:$L$225,$D$2:$D$225,D107))</f>
        <v>608</v>
      </c>
      <c r="R107" s="249">
        <f ca="1">IF($D107&gt;Standings!$Q$27,"",IF(U107="T",(Z107+0.5)/(D107)*100,(Z107/D107)*100))</f>
        <v>50</v>
      </c>
      <c r="S107" s="253">
        <f ca="1">IF($D107&gt;Standings!$Q$27,"",$J107-$K107)</f>
        <v>-42.5</v>
      </c>
      <c r="T107" s="253">
        <f ca="1">IF($D107&gt;Standings!$Q$27,"",AVERAGE(OFFSET(S107,(-$D107+1),0,1,1):S107))</f>
        <v>-4.4349999999999996</v>
      </c>
      <c r="U107" s="172">
        <f ca="1">IF($D107&gt;Standings!$Q$27,"",IF(J107&gt;K107,1,IF(J107=K107,"T",0)))</f>
        <v>0</v>
      </c>
      <c r="V107" s="267">
        <f ca="1">IF($D107&gt;Standings!$Q$27,"",IF(F107="Conf",V106,SUMIFS($U$2:$U$225,$D$2:$D$225,"&lt;="&amp;$D107,$B$2:$B$225,$B107,$F$2:$F$225,"Non Conf")))</f>
        <v>2</v>
      </c>
      <c r="W107" s="267" t="str">
        <f ca="1">IF($D107&gt;Standings!$Q$27,"",$V107&amp;"-"&amp;COUNTIF(OFFSET($F107,(-$D107+1),0,1,1):$F107,"Non Conf")-$V107)</f>
        <v>2-2</v>
      </c>
      <c r="X107" s="267">
        <f ca="1">IF($D107&gt;Standings!$Q$27,"",SUMIFS($U$2:$U$225,$D$2:$D$225,"&lt;="&amp;$D107,$B$2:$B$225,$B107,$F$2:$F$225,"Conf"))</f>
        <v>2</v>
      </c>
      <c r="Y107" s="267" t="str">
        <f ca="1">IF($D107&gt;Standings!$Q$27,"",$X107&amp;"-"&amp;COUNTIF(OFFSET($F107,(-$D107+1),0,1,1):$F107,"Conf")-$X107)</f>
        <v>2-2</v>
      </c>
      <c r="Z107" s="267">
        <f ca="1">IF($D107&gt;Standings!$Q$27,"",SUM(OFFSET(U107,(-$D107+1),0,1,1):U107))</f>
        <v>4</v>
      </c>
      <c r="AA107" s="172">
        <f ca="1">IF($D107&gt;Standings!$Q$27,"",IF(U107=1,1+AA106,0))</f>
        <v>0</v>
      </c>
      <c r="AB107" s="250">
        <f ca="1">IF($D107&gt;Standings!$Q$27,"",IF(AA107=0,1+AB106,0))</f>
        <v>2</v>
      </c>
      <c r="AC107" s="251">
        <f ca="1">IF($D107&gt;Standings!$Q$27,"",SUM(OFFSET(J107,(-$D107+1),0,1,1):J107))</f>
        <v>850.67000000000007</v>
      </c>
      <c r="AD107" s="248">
        <f ca="1">IF($D107&gt;Standings!$Q$27,"",SUM(OFFSET(K107,(-$D107+1),0,1,1):K107))</f>
        <v>886.15000000000009</v>
      </c>
      <c r="AE107" s="248">
        <f ca="1">IF($D107&gt;Standings!$Q$27,"",$J107-$K107)</f>
        <v>-42.5</v>
      </c>
      <c r="AF107" s="248">
        <f ca="1">IF($D107&gt;Standings!$Q$27,"",AC107-AD107)</f>
        <v>-35.480000000000018</v>
      </c>
      <c r="AG107" s="172">
        <f ca="1">IF($D107&gt;Standings!$Q$27,"",(COUNTIFS($D$2:$D$225,$D107,$C$2:$C$225,$C107,$AC$2:$AC$225,"&lt;"&amp;$AC107)+1)*0.01)</f>
        <v>0.06</v>
      </c>
      <c r="AH107" s="172">
        <f ca="1">IF($D107&gt;Standings!$Q$27,"",Z107+AG107)</f>
        <v>4.0599999999999996</v>
      </c>
      <c r="AI107" s="267"/>
      <c r="AJ107" s="267">
        <f t="array" aca="1" ref="AJ107" ca="1">IF($D107&gt;Standings!$Q$27,"",(COUNTIFS($D$2:$D$225,$D107,$C$2:$C$225,$C107,$AM$2:$AM$225,"&gt;"&amp;$AM107)+1))</f>
        <v>6</v>
      </c>
      <c r="AK107" s="267">
        <f t="array" aca="1" ref="AK107" ca="1">IF($D107&gt;Standings!$Q$27,"",IF((COUNTIFS($D$2:$D$225,$D107,$C$2:$C$225,$C107,$AH$2:$AH$225,"&gt;"&amp;$AH107)+1)=2,1,0))</f>
        <v>0</v>
      </c>
      <c r="AL107" s="267">
        <f t="array" aca="1" ref="AL107" ca="1">IF($D107&gt;Standings!$Q$27,"",IF((COUNTIFS($D$2:$D$225,$D107,$C$2:$C$225,$C107,$AH$2:$AH$225,"&gt;"&amp;$AH107)+1)&lt;2,1,0))</f>
        <v>0</v>
      </c>
      <c r="AM107" s="267">
        <f ca="1">IF($D107&gt;Standings!$Q$27,"",IF(AL107=1,200+Z107+(16-AQ107)*0.01+AI107,IF(AK107=1,100+Z107+(16-AQ107)*0.01+AI107,IF(AN107=1,50+Z107+(16-AQ107)*0.01,IF(AO107=1,15+Z107+(16-AQ107)*0.01,Z107+(16-AQ107)*0.01+AI107)))))</f>
        <v>4.0999999999999996</v>
      </c>
      <c r="AN107" s="267">
        <f ca="1">IF($D107&gt;Standings!$Q$27,"",IF(OR($AK107=1,$AL107=1),"Conf Playoff Spot",COUNTIFS($AL$2:$AL$225,0,$AK$2:$AK$225,0,$C$2:$C$225,$C107,$D$2:$D$225,$D107,$AC$2:$AC$225,"&gt;"&amp;$AC107)+1))</f>
        <v>2</v>
      </c>
      <c r="AO107" s="267">
        <f t="array" aca="1" ref="AO107" ca="1">IF($D107&gt;Standings!$Q$27,"",IF(OR($AK107=1,$AL107=1),"Conf Playoff Spot",COUNTIFS($AK$2:$AK$225,0,$AL$2:$AL$225,0,$D$2:$D$225,$D107,$AH$2:$AH$225,"&gt;"&amp;$AH107)+1))</f>
        <v>4</v>
      </c>
      <c r="AP107" s="267">
        <f t="array" aca="1" ref="AP107" ca="1">IF($D107&gt;Standings!$Q$27,"",(COUNTIFS($D$2:$D$225,$D107,$J$2:$J$225,"&gt;"&amp;$J107)+1))</f>
        <v>8</v>
      </c>
      <c r="AQ107" s="249">
        <f ca="1">IF($D107&gt;Standings!$Q$27,"",(COUNTIFS($D$2:$D$225,$D107,$AC$2:$AC$225,"&gt;"&amp;$AC107)+1))</f>
        <v>6</v>
      </c>
      <c r="AR107" s="249">
        <f ca="1">IF($D107&gt;Standings!$Q$27,"",(COUNTIFS($D$2:$D$225,$D107,$K$2:$K$225,"&gt;"&amp;$K107)+1))</f>
        <v>1</v>
      </c>
      <c r="AS107" s="249">
        <f ca="1">IF($D107&gt;Standings!$Q$27,"",(COUNTIFS($D$2:$D$225,$D107,$AD$2:$AD$225,"&gt;"&amp;$AD107)+1))</f>
        <v>2</v>
      </c>
      <c r="AT107" s="354">
        <f ca="1">IF($D107&gt;Standings!$Q$27,"",SUMIFS($J$2:$J$225,$D$2:$D$225,$D107,$C$2:$C$225,$C107))</f>
        <v>724.6400000000001</v>
      </c>
      <c r="AU107" s="253">
        <f ca="1">IF($D107&gt;Standings!$Q$27,"",SUMIFS($AC$2:$AC$225,$D$2:$D$225,$D107,$C$2:$C$225,$C107))</f>
        <v>6668.24</v>
      </c>
    </row>
    <row r="108" spans="1:47">
      <c r="A108" s="190">
        <f t="shared" si="1"/>
        <v>135</v>
      </c>
      <c r="B108" s="198" t="str">
        <f>'ESPN Data'!$L$11</f>
        <v>Team 8</v>
      </c>
      <c r="C108" s="346" t="str">
        <f>VLOOKUP(B108,'ESPN Data'!$L$4:$M$19,2,FALSE)</f>
        <v>Bone</v>
      </c>
      <c r="D108" s="397">
        <v>9</v>
      </c>
      <c r="E108" s="267" t="str">
        <f t="array" ref="E108">INDEX('ESPN Data'!$C$3:$C$226,MATCH(1,('ESPN Data'!$A$3:$A$226='Point Data'!$D108)*('ESPN Data'!$B$3:$B$226='Point Data'!$B108),0))</f>
        <v>Team 7</v>
      </c>
      <c r="F108" s="250" t="str">
        <f>IF(C108&lt;&gt;VLOOKUP($E108,'ESPN Data'!$L$4:$M$19,2,FALSE),"Non Conf", "Conf")</f>
        <v>Conf</v>
      </c>
      <c r="G108" s="246">
        <f t="array" aca="1" ref="G108" ca="1">IF('Point Data'!$D108&gt;Standings!$Q$27,"",(COUNTIFS($D$2:$D$225,$D108,$AM$2:$AM$225,"&gt;"&amp;$AM108)+1))</f>
        <v>7</v>
      </c>
      <c r="H108" s="172">
        <f ca="1">IF('Point Data'!$D108&gt;Standings!$Q$27,"",$G107)</f>
        <v>10</v>
      </c>
      <c r="I108" s="249">
        <f ca="1">IF('Point Data'!D108&gt;Standings!$Q$27,"",H108-G108)</f>
        <v>3</v>
      </c>
      <c r="J108" s="172">
        <f ca="1">IF('Point Data'!D108&gt;Standings!$Q$27,"",OFFSET('ESPN Data'!D$3,$A108,0,1,1))</f>
        <v>132.35</v>
      </c>
      <c r="K108" s="248">
        <f ca="1">IF('Point Data'!D108&gt;Standings!$Q$27,"",OFFSET('ESPN Data'!E$3,$A108,0,1,1))</f>
        <v>90.25</v>
      </c>
      <c r="L108" s="337">
        <f ca="1">IF('Point Data'!D108&gt;Standings!$Q$27,"",OFFSET('ESPN Data'!I$3,$A108,0,1,1))</f>
        <v>52</v>
      </c>
      <c r="M108" s="337">
        <f ca="1">IF('Point Data'!D108&gt;Standings!$Q$27,"",OFFSET('ESPN Data'!I$3,$A108,-2,1,1))</f>
        <v>0</v>
      </c>
      <c r="N108" s="337">
        <f ca="1">IF('Point Data'!D108&gt;Standings!$Q$27,"",SUMIFS($M$2:$M$225,$D$2:$D$225,D108,$C$2:$C$225,C108))</f>
        <v>35</v>
      </c>
      <c r="O108" s="337">
        <f ca="1">IF('Point Data'!D108&gt;Standings!$Q$27,"",SUMIFS($L$2:$L$225,$D$2:$D$225,$D108,$C$2:$C$225,$C108))</f>
        <v>305</v>
      </c>
      <c r="P108" s="337">
        <f ca="1">IF('Point Data'!D108&gt;Standings!$Q$27,"",SUMIFS($M$2:$M$225,$D$2:$D$225,D108))</f>
        <v>63</v>
      </c>
      <c r="Q108" s="337">
        <f ca="1">IF('Point Data'!D108&gt;Standings!$Q$27,"",SUMIFS($L$2:$L$225,$D$2:$D$225,D108))</f>
        <v>545</v>
      </c>
      <c r="R108" s="249">
        <f ca="1">IF($D108&gt;Standings!$Q$27,"",IF(U108="T",(Z108+0.5)/(D108)*100,(Z108/D108)*100))</f>
        <v>55.555555555555557</v>
      </c>
      <c r="S108" s="253">
        <f ca="1">IF($D108&gt;Standings!$Q$27,"",$J108-$K108)</f>
        <v>42.099999999999994</v>
      </c>
      <c r="T108" s="253">
        <f ca="1">IF($D108&gt;Standings!$Q$27,"",AVERAGE(OFFSET(S108,(-$D108+1),0,1,1):S108))</f>
        <v>0.7355555555555553</v>
      </c>
      <c r="U108" s="172">
        <f ca="1">IF($D108&gt;Standings!$Q$27,"",IF(J108&gt;K108,1,IF(J108=K108,"T",0)))</f>
        <v>1</v>
      </c>
      <c r="V108" s="267">
        <f ca="1">IF($D108&gt;Standings!$Q$27,"",IF(F108="Conf",V107,SUMIFS($U$2:$U$225,$D$2:$D$225,"&lt;="&amp;$D108,$B$2:$B$225,$B108,$F$2:$F$225,"Non Conf")))</f>
        <v>2</v>
      </c>
      <c r="W108" s="267" t="str">
        <f ca="1">IF($D108&gt;Standings!$Q$27,"",$V108&amp;"-"&amp;COUNTIF(OFFSET($F108,(-$D108+1),0,1,1):$F108,"Non Conf")-$V108)</f>
        <v>2-2</v>
      </c>
      <c r="X108" s="267">
        <f ca="1">IF($D108&gt;Standings!$Q$27,"",SUMIFS($U$2:$U$225,$D$2:$D$225,"&lt;="&amp;$D108,$B$2:$B$225,$B108,$F$2:$F$225,"Conf"))</f>
        <v>3</v>
      </c>
      <c r="Y108" s="267" t="str">
        <f ca="1">IF($D108&gt;Standings!$Q$27,"",$X108&amp;"-"&amp;COUNTIF(OFFSET($F108,(-$D108+1),0,1,1):$F108,"Conf")-$X108)</f>
        <v>3-2</v>
      </c>
      <c r="Z108" s="267">
        <f ca="1">IF($D108&gt;Standings!$Q$27,"",SUM(OFFSET(U108,(-$D108+1),0,1,1):U108))</f>
        <v>5</v>
      </c>
      <c r="AA108" s="172">
        <f ca="1">IF($D108&gt;Standings!$Q$27,"",IF(U108=1,1+AA107,0))</f>
        <v>1</v>
      </c>
      <c r="AB108" s="250">
        <f ca="1">IF($D108&gt;Standings!$Q$27,"",IF(AA108=0,1+AB107,0))</f>
        <v>0</v>
      </c>
      <c r="AC108" s="251">
        <f ca="1">IF($D108&gt;Standings!$Q$27,"",SUM(OFFSET(J108,(-$D108+1),0,1,1):J108))</f>
        <v>983.0200000000001</v>
      </c>
      <c r="AD108" s="248">
        <f ca="1">IF($D108&gt;Standings!$Q$27,"",SUM(OFFSET(K108,(-$D108+1),0,1,1):K108))</f>
        <v>976.40000000000009</v>
      </c>
      <c r="AE108" s="248">
        <f ca="1">IF($D108&gt;Standings!$Q$27,"",$J108-$K108)</f>
        <v>42.099999999999994</v>
      </c>
      <c r="AF108" s="248">
        <f ca="1">IF($D108&gt;Standings!$Q$27,"",AC108-AD108)</f>
        <v>6.6200000000000045</v>
      </c>
      <c r="AG108" s="172">
        <f ca="1">IF($D108&gt;Standings!$Q$27,"",(COUNTIFS($D$2:$D$225,$D108,$C$2:$C$225,$C108,$AC$2:$AC$225,"&lt;"&amp;$AC108)+1)*0.01)</f>
        <v>0.06</v>
      </c>
      <c r="AH108" s="172">
        <f ca="1">IF($D108&gt;Standings!$Q$27,"",Z108+AG108)</f>
        <v>5.0599999999999996</v>
      </c>
      <c r="AI108" s="267"/>
      <c r="AJ108" s="267">
        <f t="array" aca="1" ref="AJ108" ca="1">IF($D108&gt;Standings!$Q$27,"",(COUNTIFS($D$2:$D$225,$D108,$C$2:$C$225,$C108,$AM$2:$AM$225,"&gt;"&amp;$AM108)+1))</f>
        <v>4</v>
      </c>
      <c r="AK108" s="267">
        <f t="array" aca="1" ref="AK108" ca="1">IF($D108&gt;Standings!$Q$27,"",IF((COUNTIFS($D$2:$D$225,$D108,$C$2:$C$225,$C108,$AH$2:$AH$225,"&gt;"&amp;$AH108)+1)=2,1,0))</f>
        <v>0</v>
      </c>
      <c r="AL108" s="267">
        <f t="array" aca="1" ref="AL108" ca="1">IF($D108&gt;Standings!$Q$27,"",IF((COUNTIFS($D$2:$D$225,$D108,$C$2:$C$225,$C108,$AH$2:$AH$225,"&gt;"&amp;$AH108)+1)&lt;2,1,0))</f>
        <v>0</v>
      </c>
      <c r="AM108" s="267">
        <f ca="1">IF($D108&gt;Standings!$Q$27,"",IF(AL108=1,200+Z108+(16-AQ108)*0.01+AI108,IF(AK108=1,100+Z108+(16-AQ108)*0.01+AI108,IF(AN108=1,50+Z108+(16-AQ108)*0.01,IF(AO108=1,15+Z108+(16-AQ108)*0.01,Z108+(16-AQ108)*0.01+AI108)))))</f>
        <v>5.1100000000000003</v>
      </c>
      <c r="AN108" s="267">
        <f ca="1">IF($D108&gt;Standings!$Q$27,"",IF(OR($AK108=1,$AL108=1),"Conf Playoff Spot",COUNTIFS($AL$2:$AL$225,0,$AK$2:$AK$225,0,$C$2:$C$225,$C108,$D$2:$D$225,$D108,$AC$2:$AC$225,"&gt;"&amp;$AC108)+1))</f>
        <v>2</v>
      </c>
      <c r="AO108" s="267">
        <f t="array" aca="1" ref="AO108" ca="1">IF($D108&gt;Standings!$Q$27,"",IF(OR($AK108=1,$AL108=1),"Conf Playoff Spot",COUNTIFS($AK$2:$AK$225,0,$AL$2:$AL$225,0,$D$2:$D$225,$D108,$AH$2:$AH$225,"&gt;"&amp;$AH108)+1))</f>
        <v>3</v>
      </c>
      <c r="AP108" s="267">
        <f t="array" aca="1" ref="AP108" ca="1">IF($D108&gt;Standings!$Q$27,"",(COUNTIFS($D$2:$D$225,$D108,$J$2:$J$225,"&gt;"&amp;$J108)+1))</f>
        <v>3</v>
      </c>
      <c r="AQ108" s="249">
        <f ca="1">IF($D108&gt;Standings!$Q$27,"",(COUNTIFS($D$2:$D$225,$D108,$AC$2:$AC$225,"&gt;"&amp;$AC108)+1))</f>
        <v>5</v>
      </c>
      <c r="AR108" s="249">
        <f ca="1">IF($D108&gt;Standings!$Q$27,"",(COUNTIFS($D$2:$D$225,$D108,$K$2:$K$225,"&gt;"&amp;$K108)+1))</f>
        <v>9</v>
      </c>
      <c r="AS108" s="249">
        <f ca="1">IF($D108&gt;Standings!$Q$27,"",(COUNTIFS($D$2:$D$225,$D108,$AD$2:$AD$225,"&gt;"&amp;$AD108)+1))</f>
        <v>4</v>
      </c>
      <c r="AT108" s="354">
        <f ca="1">IF($D108&gt;Standings!$Q$27,"",SUMIFS($J$2:$J$225,$D$2:$D$225,$D108,$C$2:$C$225,$C108))</f>
        <v>780.12</v>
      </c>
      <c r="AU108" s="253">
        <f ca="1">IF($D108&gt;Standings!$Q$27,"",SUMIFS($AC$2:$AC$225,$D$2:$D$225,$D108,$C$2:$C$225,$C108))</f>
        <v>7448.3600000000006</v>
      </c>
    </row>
    <row r="109" spans="1:47">
      <c r="A109" s="190">
        <f t="shared" si="1"/>
        <v>151</v>
      </c>
      <c r="B109" s="198" t="str">
        <f>'ESPN Data'!$L$11</f>
        <v>Team 8</v>
      </c>
      <c r="C109" s="346" t="str">
        <f>VLOOKUP(B109,'ESPN Data'!$L$4:$M$19,2,FALSE)</f>
        <v>Bone</v>
      </c>
      <c r="D109" s="397">
        <v>10</v>
      </c>
      <c r="E109" s="267" t="str">
        <f t="array" ref="E109">INDEX('ESPN Data'!$C$3:$C$226,MATCH(1,('ESPN Data'!$A$3:$A$226='Point Data'!$D109)*('ESPN Data'!$B$3:$B$226='Point Data'!$B109),0))</f>
        <v>Team 11</v>
      </c>
      <c r="F109" s="250" t="str">
        <f>IF(C109&lt;&gt;VLOOKUP($E109,'ESPN Data'!$L$4:$M$19,2,FALSE),"Non Conf", "Conf")</f>
        <v>Non Conf</v>
      </c>
      <c r="G109" s="246">
        <f t="array" aca="1" ref="G109" ca="1">IF('Point Data'!$D109&gt;Standings!$Q$27,"",(COUNTIFS($D$2:$D$225,$D109,$AM$2:$AM$225,"&gt;"&amp;$AM109)+1))</f>
        <v>7</v>
      </c>
      <c r="H109" s="172">
        <f ca="1">IF('Point Data'!$D109&gt;Standings!$Q$27,"",$G108)</f>
        <v>7</v>
      </c>
      <c r="I109" s="249">
        <f ca="1">IF('Point Data'!D109&gt;Standings!$Q$27,"",H109-G109)</f>
        <v>0</v>
      </c>
      <c r="J109" s="172">
        <f ca="1">IF('Point Data'!D109&gt;Standings!$Q$27,"",OFFSET('ESPN Data'!D$3,$A109,0,1,1))</f>
        <v>89.63</v>
      </c>
      <c r="K109" s="248">
        <f ca="1">IF('Point Data'!D109&gt;Standings!$Q$27,"",OFFSET('ESPN Data'!E$3,$A109,0,1,1))</f>
        <v>75.64</v>
      </c>
      <c r="L109" s="337">
        <f ca="1">IF('Point Data'!D109&gt;Standings!$Q$27,"",OFFSET('ESPN Data'!I$3,$A109,0,1,1))</f>
        <v>52</v>
      </c>
      <c r="M109" s="337">
        <f ca="1">IF('Point Data'!D109&gt;Standings!$Q$27,"",OFFSET('ESPN Data'!I$3,$A109,-2,1,1))</f>
        <v>0</v>
      </c>
      <c r="N109" s="337">
        <f ca="1">IF('Point Data'!D109&gt;Standings!$Q$27,"",SUMIFS($M$2:$M$225,$D$2:$D$225,D109,$C$2:$C$225,C109))</f>
        <v>19</v>
      </c>
      <c r="O109" s="337">
        <f ca="1">IF('Point Data'!D109&gt;Standings!$Q$27,"",SUMIFS($L$2:$L$225,$D$2:$D$225,$D109,$C$2:$C$225,$C109))</f>
        <v>286</v>
      </c>
      <c r="P109" s="337">
        <f ca="1">IF('Point Data'!D109&gt;Standings!$Q$27,"",SUMIFS($M$2:$M$225,$D$2:$D$225,D109))</f>
        <v>32</v>
      </c>
      <c r="Q109" s="337">
        <f ca="1">IF('Point Data'!D109&gt;Standings!$Q$27,"",SUMIFS($L$2:$L$225,$D$2:$D$225,D109))</f>
        <v>513</v>
      </c>
      <c r="R109" s="249">
        <f ca="1">IF($D109&gt;Standings!$Q$27,"",IF(U109="T",(Z109+0.5)/(D109)*100,(Z109/D109)*100))</f>
        <v>60</v>
      </c>
      <c r="S109" s="253">
        <f ca="1">IF($D109&gt;Standings!$Q$27,"",$J109-$K109)</f>
        <v>13.989999999999995</v>
      </c>
      <c r="T109" s="253">
        <f ca="1">IF($D109&gt;Standings!$Q$27,"",AVERAGE(OFFSET(S109,(-$D109+1),0,1,1):S109))</f>
        <v>2.0609999999999991</v>
      </c>
      <c r="U109" s="172">
        <f ca="1">IF($D109&gt;Standings!$Q$27,"",IF(J109&gt;K109,1,IF(J109=K109,"T",0)))</f>
        <v>1</v>
      </c>
      <c r="V109" s="267">
        <f ca="1">IF($D109&gt;Standings!$Q$27,"",IF(F109="Conf",V108,SUMIFS($U$2:$U$225,$D$2:$D$225,"&lt;="&amp;$D109,$B$2:$B$225,$B109,$F$2:$F$225,"Non Conf")))</f>
        <v>3</v>
      </c>
      <c r="W109" s="267" t="str">
        <f ca="1">IF($D109&gt;Standings!$Q$27,"",$V109&amp;"-"&amp;COUNTIF(OFFSET($F109,(-$D109+1),0,1,1):$F109,"Non Conf")-$V109)</f>
        <v>3-2</v>
      </c>
      <c r="X109" s="267">
        <f ca="1">IF($D109&gt;Standings!$Q$27,"",SUMIFS($U$2:$U$225,$D$2:$D$225,"&lt;="&amp;$D109,$B$2:$B$225,$B109,$F$2:$F$225,"Conf"))</f>
        <v>3</v>
      </c>
      <c r="Y109" s="267" t="str">
        <f ca="1">IF($D109&gt;Standings!$Q$27,"",$X109&amp;"-"&amp;COUNTIF(OFFSET($F109,(-$D109+1),0,1,1):$F109,"Conf")-$X109)</f>
        <v>3-2</v>
      </c>
      <c r="Z109" s="267">
        <f ca="1">IF($D109&gt;Standings!$Q$27,"",SUM(OFFSET(U109,(-$D109+1),0,1,1):U109))</f>
        <v>6</v>
      </c>
      <c r="AA109" s="172">
        <f ca="1">IF($D109&gt;Standings!$Q$27,"",IF(U109=1,1+AA108,0))</f>
        <v>2</v>
      </c>
      <c r="AB109" s="250">
        <f ca="1">IF($D109&gt;Standings!$Q$27,"",IF(AA109=0,1+AB108,0))</f>
        <v>0</v>
      </c>
      <c r="AC109" s="251">
        <f ca="1">IF($D109&gt;Standings!$Q$27,"",SUM(OFFSET(J109,(-$D109+1),0,1,1):J109))</f>
        <v>1072.6500000000001</v>
      </c>
      <c r="AD109" s="248">
        <f ca="1">IF($D109&gt;Standings!$Q$27,"",SUM(OFFSET(K109,(-$D109+1),0,1,1):K109))</f>
        <v>1052.0400000000002</v>
      </c>
      <c r="AE109" s="248">
        <f ca="1">IF($D109&gt;Standings!$Q$27,"",$J109-$K109)</f>
        <v>13.989999999999995</v>
      </c>
      <c r="AF109" s="248">
        <f ca="1">IF($D109&gt;Standings!$Q$27,"",AC109-AD109)</f>
        <v>20.6099999999999</v>
      </c>
      <c r="AG109" s="172">
        <f ca="1">IF($D109&gt;Standings!$Q$27,"",(COUNTIFS($D$2:$D$225,$D109,$C$2:$C$225,$C109,$AC$2:$AC$225,"&lt;"&amp;$AC109)+1)*0.01)</f>
        <v>0.06</v>
      </c>
      <c r="AH109" s="172">
        <f ca="1">IF($D109&gt;Standings!$Q$27,"",Z109+AG109)</f>
        <v>6.06</v>
      </c>
      <c r="AI109" s="267"/>
      <c r="AJ109" s="267">
        <f t="array" aca="1" ref="AJ109" ca="1">IF($D109&gt;Standings!$Q$27,"",(COUNTIFS($D$2:$D$225,$D109,$C$2:$C$225,$C109,$AM$2:$AM$225,"&gt;"&amp;$AM109)+1))</f>
        <v>4</v>
      </c>
      <c r="AK109" s="267">
        <f t="array" aca="1" ref="AK109" ca="1">IF($D109&gt;Standings!$Q$27,"",IF((COUNTIFS($D$2:$D$225,$D109,$C$2:$C$225,$C109,$AH$2:$AH$225,"&gt;"&amp;$AH109)+1)=2,1,0))</f>
        <v>0</v>
      </c>
      <c r="AL109" s="267">
        <f t="array" aca="1" ref="AL109" ca="1">IF($D109&gt;Standings!$Q$27,"",IF((COUNTIFS($D$2:$D$225,$D109,$C$2:$C$225,$C109,$AH$2:$AH$225,"&gt;"&amp;$AH109)+1)&lt;2,1,0))</f>
        <v>0</v>
      </c>
      <c r="AM109" s="267">
        <f ca="1">IF($D109&gt;Standings!$Q$27,"",IF(AL109=1,200+Z109+(16-AQ109)*0.01+AI109,IF(AK109=1,100+Z109+(16-AQ109)*0.01+AI109,IF(AN109=1,50+Z109+(16-AQ109)*0.01,IF(AO109=1,15+Z109+(16-AQ109)*0.01,Z109+(16-AQ109)*0.01+AI109)))))</f>
        <v>6.11</v>
      </c>
      <c r="AN109" s="267">
        <f ca="1">IF($D109&gt;Standings!$Q$27,"",IF(OR($AK109=1,$AL109=1),"Conf Playoff Spot",COUNTIFS($AL$2:$AL$225,0,$AK$2:$AK$225,0,$C$2:$C$225,$C109,$D$2:$D$225,$D109,$AC$2:$AC$225,"&gt;"&amp;$AC109)+1))</f>
        <v>2</v>
      </c>
      <c r="AO109" s="267">
        <f t="array" aca="1" ref="AO109" ca="1">IF($D109&gt;Standings!$Q$27,"",IF(OR($AK109=1,$AL109=1),"Conf Playoff Spot",COUNTIFS($AK$2:$AK$225,0,$AL$2:$AL$225,0,$D$2:$D$225,$D109,$AH$2:$AH$225,"&gt;"&amp;$AH109)+1))</f>
        <v>2</v>
      </c>
      <c r="AP109" s="267">
        <f t="array" aca="1" ref="AP109" ca="1">IF($D109&gt;Standings!$Q$27,"",(COUNTIFS($D$2:$D$225,$D109,$J$2:$J$225,"&gt;"&amp;$J109)+1))</f>
        <v>8</v>
      </c>
      <c r="AQ109" s="249">
        <f ca="1">IF($D109&gt;Standings!$Q$27,"",(COUNTIFS($D$2:$D$225,$D109,$AC$2:$AC$225,"&gt;"&amp;$AC109)+1))</f>
        <v>5</v>
      </c>
      <c r="AR109" s="249">
        <f ca="1">IF($D109&gt;Standings!$Q$27,"",(COUNTIFS($D$2:$D$225,$D109,$K$2:$K$225,"&gt;"&amp;$K109)+1))</f>
        <v>12</v>
      </c>
      <c r="AS109" s="249">
        <f ca="1">IF($D109&gt;Standings!$Q$27,"",(COUNTIFS($D$2:$D$225,$D109,$AD$2:$AD$225,"&gt;"&amp;$AD109)+1))</f>
        <v>6</v>
      </c>
      <c r="AT109" s="354">
        <f ca="1">IF($D109&gt;Standings!$Q$27,"",SUMIFS($J$2:$J$225,$D$2:$D$225,$D109,$C$2:$C$225,$C109))</f>
        <v>753.38</v>
      </c>
      <c r="AU109" s="253">
        <f ca="1">IF($D109&gt;Standings!$Q$27,"",SUMIFS($AC$2:$AC$225,$D$2:$D$225,$D109,$C$2:$C$225,$C109))</f>
        <v>8201.74</v>
      </c>
    </row>
    <row r="110" spans="1:47">
      <c r="A110" s="190">
        <f t="shared" si="1"/>
        <v>167</v>
      </c>
      <c r="B110" s="198" t="str">
        <f>'ESPN Data'!$L$11</f>
        <v>Team 8</v>
      </c>
      <c r="C110" s="346" t="str">
        <f>VLOOKUP(B110,'ESPN Data'!$L$4:$M$19,2,FALSE)</f>
        <v>Bone</v>
      </c>
      <c r="D110" s="397">
        <v>11</v>
      </c>
      <c r="E110" s="267" t="str">
        <f t="array" ref="E110">INDEX('ESPN Data'!$C$3:$C$226,MATCH(1,('ESPN Data'!$A$3:$A$226='Point Data'!$D110)*('ESPN Data'!$B$3:$B$226='Point Data'!$B110),0))</f>
        <v>Team 15</v>
      </c>
      <c r="F110" s="250" t="str">
        <f>IF(C110&lt;&gt;VLOOKUP($E110,'ESPN Data'!$L$4:$M$19,2,FALSE),"Non Conf", "Conf")</f>
        <v>Non Conf</v>
      </c>
      <c r="G110" s="246">
        <f t="array" aca="1" ref="G110" ca="1">IF('Point Data'!$D110&gt;Standings!$Q$27,"",(COUNTIFS($D$2:$D$225,$D110,$AM$2:$AM$225,"&gt;"&amp;$AM110)+1))</f>
        <v>5</v>
      </c>
      <c r="H110" s="172">
        <f ca="1">IF('Point Data'!$D110&gt;Standings!$Q$27,"",$G109)</f>
        <v>7</v>
      </c>
      <c r="I110" s="249">
        <f ca="1">IF('Point Data'!D110&gt;Standings!$Q$27,"",H110-G110)</f>
        <v>2</v>
      </c>
      <c r="J110" s="172">
        <f ca="1">IF('Point Data'!D110&gt;Standings!$Q$27,"",OFFSET('ESPN Data'!D$3,$A110,0,1,1))</f>
        <v>104.72</v>
      </c>
      <c r="K110" s="248">
        <f ca="1">IF('Point Data'!D110&gt;Standings!$Q$27,"",OFFSET('ESPN Data'!E$3,$A110,0,1,1))</f>
        <v>114.22</v>
      </c>
      <c r="L110" s="337">
        <f ca="1">IF('Point Data'!D110&gt;Standings!$Q$27,"",OFFSET('ESPN Data'!I$3,$A110,0,1,1))</f>
        <v>52</v>
      </c>
      <c r="M110" s="337">
        <f ca="1">IF('Point Data'!D110&gt;Standings!$Q$27,"",OFFSET('ESPN Data'!I$3,$A110,-2,1,1))</f>
        <v>0</v>
      </c>
      <c r="N110" s="337">
        <f ca="1">IF('Point Data'!D110&gt;Standings!$Q$27,"",SUMIFS($M$2:$M$225,$D$2:$D$225,D110,$C$2:$C$225,C110))</f>
        <v>51</v>
      </c>
      <c r="O110" s="337">
        <f ca="1">IF('Point Data'!D110&gt;Standings!$Q$27,"",SUMIFS($L$2:$L$225,$D$2:$D$225,$D110,$C$2:$C$225,$C110))</f>
        <v>235</v>
      </c>
      <c r="P110" s="337">
        <f ca="1">IF('Point Data'!D110&gt;Standings!$Q$27,"",SUMIFS($M$2:$M$225,$D$2:$D$225,D110))</f>
        <v>61</v>
      </c>
      <c r="Q110" s="337">
        <f ca="1">IF('Point Data'!D110&gt;Standings!$Q$27,"",SUMIFS($L$2:$L$225,$D$2:$D$225,D110))</f>
        <v>452</v>
      </c>
      <c r="R110" s="249">
        <f ca="1">IF($D110&gt;Standings!$Q$27,"",IF(U110="T",(Z110+0.5)/(D110)*100,(Z110/D110)*100))</f>
        <v>54.54545454545454</v>
      </c>
      <c r="S110" s="253">
        <f ca="1">IF($D110&gt;Standings!$Q$27,"",$J110-$K110)</f>
        <v>-9.5</v>
      </c>
      <c r="T110" s="253">
        <f ca="1">IF($D110&gt;Standings!$Q$27,"",AVERAGE(OFFSET(S110,(-$D110+1),0,1,1):S110))</f>
        <v>1.0099999999999993</v>
      </c>
      <c r="U110" s="172">
        <f ca="1">IF($D110&gt;Standings!$Q$27,"",IF(J110&gt;K110,1,IF(J110=K110,"T",0)))</f>
        <v>0</v>
      </c>
      <c r="V110" s="267">
        <f ca="1">IF($D110&gt;Standings!$Q$27,"",IF(F110="Conf",V109,SUMIFS($U$2:$U$225,$D$2:$D$225,"&lt;="&amp;$D110,$B$2:$B$225,$B110,$F$2:$F$225,"Non Conf")))</f>
        <v>3</v>
      </c>
      <c r="W110" s="267" t="str">
        <f ca="1">IF($D110&gt;Standings!$Q$27,"",$V110&amp;"-"&amp;COUNTIF(OFFSET($F110,(-$D110+1),0,1,1):$F110,"Non Conf")-$V110)</f>
        <v>3-3</v>
      </c>
      <c r="X110" s="267">
        <f ca="1">IF($D110&gt;Standings!$Q$27,"",SUMIFS($U$2:$U$225,$D$2:$D$225,"&lt;="&amp;$D110,$B$2:$B$225,$B110,$F$2:$F$225,"Conf"))</f>
        <v>3</v>
      </c>
      <c r="Y110" s="267" t="str">
        <f ca="1">IF($D110&gt;Standings!$Q$27,"",$X110&amp;"-"&amp;COUNTIF(OFFSET($F110,(-$D110+1),0,1,1):$F110,"Conf")-$X110)</f>
        <v>3-2</v>
      </c>
      <c r="Z110" s="267">
        <f ca="1">IF($D110&gt;Standings!$Q$27,"",SUM(OFFSET(U110,(-$D110+1),0,1,1):U110))</f>
        <v>6</v>
      </c>
      <c r="AA110" s="172">
        <f ca="1">IF($D110&gt;Standings!$Q$27,"",IF(U110=1,1+AA109,0))</f>
        <v>0</v>
      </c>
      <c r="AB110" s="250">
        <f ca="1">IF($D110&gt;Standings!$Q$27,"",IF(AA110=0,1+AB109,0))</f>
        <v>1</v>
      </c>
      <c r="AC110" s="251">
        <f ca="1">IF($D110&gt;Standings!$Q$27,"",SUM(OFFSET(J110,(-$D110+1),0,1,1):J110))</f>
        <v>1177.3700000000001</v>
      </c>
      <c r="AD110" s="248">
        <f ca="1">IF($D110&gt;Standings!$Q$27,"",SUM(OFFSET(K110,(-$D110+1),0,1,1):K110))</f>
        <v>1166.2600000000002</v>
      </c>
      <c r="AE110" s="248">
        <f ca="1">IF($D110&gt;Standings!$Q$27,"",$J110-$K110)</f>
        <v>-9.5</v>
      </c>
      <c r="AF110" s="248">
        <f ca="1">IF($D110&gt;Standings!$Q$27,"",AC110-AD110)</f>
        <v>11.1099999999999</v>
      </c>
      <c r="AG110" s="172">
        <f ca="1">IF($D110&gt;Standings!$Q$27,"",(COUNTIFS($D$2:$D$225,$D110,$C$2:$C$225,$C110,$AC$2:$AC$225,"&lt;"&amp;$AC110)+1)*0.01)</f>
        <v>0.06</v>
      </c>
      <c r="AH110" s="172">
        <f ca="1">IF($D110&gt;Standings!$Q$27,"",Z110+AG110)</f>
        <v>6.06</v>
      </c>
      <c r="AI110" s="267"/>
      <c r="AJ110" s="267">
        <f t="array" aca="1" ref="AJ110" ca="1">IF($D110&gt;Standings!$Q$27,"",(COUNTIFS($D$2:$D$225,$D110,$C$2:$C$225,$C110,$AM$2:$AM$225,"&gt;"&amp;$AM110)+1))</f>
        <v>3</v>
      </c>
      <c r="AK110" s="267">
        <f t="array" aca="1" ref="AK110" ca="1">IF($D110&gt;Standings!$Q$27,"",IF((COUNTIFS($D$2:$D$225,$D110,$C$2:$C$225,$C110,$AH$2:$AH$225,"&gt;"&amp;$AH110)+1)=2,1,0))</f>
        <v>0</v>
      </c>
      <c r="AL110" s="267">
        <f t="array" aca="1" ref="AL110" ca="1">IF($D110&gt;Standings!$Q$27,"",IF((COUNTIFS($D$2:$D$225,$D110,$C$2:$C$225,$C110,$AH$2:$AH$225,"&gt;"&amp;$AH110)+1)&lt;2,1,0))</f>
        <v>0</v>
      </c>
      <c r="AM110" s="267">
        <f ca="1">IF($D110&gt;Standings!$Q$27,"",IF(AL110=1,200+Z110+(16-AQ110)*0.01+AI110,IF(AK110=1,100+Z110+(16-AQ110)*0.01+AI110,IF(AN110=1,50+Z110+(16-AQ110)*0.01,IF(AO110=1,15+Z110+(16-AQ110)*0.01,Z110+(16-AQ110)*0.01+AI110)))))</f>
        <v>56.11</v>
      </c>
      <c r="AN110" s="267">
        <f ca="1">IF($D110&gt;Standings!$Q$27,"",IF(OR($AK110=1,$AL110=1),"Conf Playoff Spot",COUNTIFS($AL$2:$AL$225,0,$AK$2:$AK$225,0,$C$2:$C$225,$C110,$D$2:$D$225,$D110,$AC$2:$AC$225,"&gt;"&amp;$AC110)+1))</f>
        <v>1</v>
      </c>
      <c r="AO110" s="267">
        <f t="array" aca="1" ref="AO110" ca="1">IF($D110&gt;Standings!$Q$27,"",IF(OR($AK110=1,$AL110=1),"Conf Playoff Spot",COUNTIFS($AK$2:$AK$225,0,$AL$2:$AL$225,0,$D$2:$D$225,$D110,$AH$2:$AH$225,"&gt;"&amp;$AH110)+1))</f>
        <v>3</v>
      </c>
      <c r="AP110" s="267">
        <f t="array" aca="1" ref="AP110" ca="1">IF($D110&gt;Standings!$Q$27,"",(COUNTIFS($D$2:$D$225,$D110,$J$2:$J$225,"&gt;"&amp;$J110)+1))</f>
        <v>7</v>
      </c>
      <c r="AQ110" s="249">
        <f ca="1">IF($D110&gt;Standings!$Q$27,"",(COUNTIFS($D$2:$D$225,$D110,$AC$2:$AC$225,"&gt;"&amp;$AC110)+1))</f>
        <v>5</v>
      </c>
      <c r="AR110" s="249">
        <f ca="1">IF($D110&gt;Standings!$Q$27,"",(COUNTIFS($D$2:$D$225,$D110,$K$2:$K$225,"&gt;"&amp;$K110)+1))</f>
        <v>5</v>
      </c>
      <c r="AS110" s="249">
        <f ca="1">IF($D110&gt;Standings!$Q$27,"",(COUNTIFS($D$2:$D$225,$D110,$AD$2:$AD$225,"&gt;"&amp;$AD110)+1))</f>
        <v>6</v>
      </c>
      <c r="AT110" s="354">
        <f ca="1">IF($D110&gt;Standings!$Q$27,"",SUMIFS($J$2:$J$225,$D$2:$D$225,$D110,$C$2:$C$225,$C110))</f>
        <v>833.56000000000006</v>
      </c>
      <c r="AU110" s="253">
        <f ca="1">IF($D110&gt;Standings!$Q$27,"",SUMIFS($AC$2:$AC$225,$D$2:$D$225,$D110,$C$2:$C$225,$C110))</f>
        <v>9035.3000000000011</v>
      </c>
    </row>
    <row r="111" spans="1:47">
      <c r="A111" s="190">
        <f t="shared" si="1"/>
        <v>183</v>
      </c>
      <c r="B111" s="198" t="str">
        <f>'ESPN Data'!$L$11</f>
        <v>Team 8</v>
      </c>
      <c r="C111" s="346" t="str">
        <f>VLOOKUP(B111,'ESPN Data'!$L$4:$M$19,2,FALSE)</f>
        <v>Bone</v>
      </c>
      <c r="D111" s="397">
        <v>12</v>
      </c>
      <c r="E111" s="267" t="str">
        <f t="array" ref="E111">INDEX('ESPN Data'!$C$3:$C$226,MATCH(1,('ESPN Data'!$A$3:$A$226='Point Data'!$D111)*('ESPN Data'!$B$3:$B$226='Point Data'!$B111),0))</f>
        <v>Team 10</v>
      </c>
      <c r="F111" s="250" t="str">
        <f>IF(C111&lt;&gt;VLOOKUP($E111,'ESPN Data'!$L$4:$M$19,2,FALSE),"Non Conf", "Conf")</f>
        <v>Non Conf</v>
      </c>
      <c r="G111" s="246">
        <f t="array" aca="1" ref="G111" ca="1">IF('Point Data'!$D111&gt;Standings!$Q$27,"",(COUNTIFS($D$2:$D$225,$D111,$AM$2:$AM$225,"&gt;"&amp;$AM111)+1))</f>
        <v>8</v>
      </c>
      <c r="H111" s="172">
        <f ca="1">IF('Point Data'!$D111&gt;Standings!$Q$27,"",$G110)</f>
        <v>5</v>
      </c>
      <c r="I111" s="249">
        <f ca="1">IF('Point Data'!D111&gt;Standings!$Q$27,"",H111-G111)</f>
        <v>-3</v>
      </c>
      <c r="J111" s="172">
        <f ca="1">IF('Point Data'!D111&gt;Standings!$Q$27,"",OFFSET('ESPN Data'!D$3,$A111,0,1,1))</f>
        <v>140.47999999999999</v>
      </c>
      <c r="K111" s="248">
        <f ca="1">IF('Point Data'!D111&gt;Standings!$Q$27,"",OFFSET('ESPN Data'!E$3,$A111,0,1,1))</f>
        <v>51.3</v>
      </c>
      <c r="L111" s="337">
        <f ca="1">IF('Point Data'!D111&gt;Standings!$Q$27,"",OFFSET('ESPN Data'!I$3,$A111,0,1,1))</f>
        <v>52</v>
      </c>
      <c r="M111" s="337">
        <f ca="1">IF('Point Data'!D111&gt;Standings!$Q$27,"",OFFSET('ESPN Data'!I$3,$A111,-2,1,1))</f>
        <v>0</v>
      </c>
      <c r="N111" s="337">
        <f ca="1">IF('Point Data'!D111&gt;Standings!$Q$27,"",SUMIFS($M$2:$M$225,$D$2:$D$225,D111,$C$2:$C$225,C111))</f>
        <v>6</v>
      </c>
      <c r="O111" s="337">
        <f ca="1">IF('Point Data'!D111&gt;Standings!$Q$27,"",SUMIFS($L$2:$L$225,$D$2:$D$225,$D111,$C$2:$C$225,$C111))</f>
        <v>229</v>
      </c>
      <c r="P111" s="337">
        <f ca="1">IF('Point Data'!D111&gt;Standings!$Q$27,"",SUMIFS($M$2:$M$225,$D$2:$D$225,D111))</f>
        <v>41</v>
      </c>
      <c r="Q111" s="337">
        <f ca="1">IF('Point Data'!D111&gt;Standings!$Q$27,"",SUMIFS($L$2:$L$225,$D$2:$D$225,D111))</f>
        <v>411</v>
      </c>
      <c r="R111" s="249">
        <f ca="1">IF($D111&gt;Standings!$Q$27,"",IF(U111="T",(Z111+0.5)/(D111)*100,(Z111/D111)*100))</f>
        <v>58.333333333333336</v>
      </c>
      <c r="S111" s="253">
        <f ca="1">IF($D111&gt;Standings!$Q$27,"",$J111-$K111)</f>
        <v>89.179999999999993</v>
      </c>
      <c r="T111" s="253">
        <f ca="1">IF($D111&gt;Standings!$Q$27,"",AVERAGE(OFFSET(S111,(-$D111+1),0,1,1):S111))</f>
        <v>8.3574999999999999</v>
      </c>
      <c r="U111" s="172">
        <f ca="1">IF($D111&gt;Standings!$Q$27,"",IF(J111&gt;K111,1,IF(J111=K111,"T",0)))</f>
        <v>1</v>
      </c>
      <c r="V111" s="267">
        <f ca="1">IF($D111&gt;Standings!$Q$27,"",IF(F111="Conf",V110,SUMIFS($U$2:$U$225,$D$2:$D$225,"&lt;="&amp;$D111,$B$2:$B$225,$B111,$F$2:$F$225,"Non Conf")))</f>
        <v>4</v>
      </c>
      <c r="W111" s="267" t="str">
        <f ca="1">IF($D111&gt;Standings!$Q$27,"",$V111&amp;"-"&amp;COUNTIF(OFFSET($F111,(-$D111+1),0,1,1):$F111,"Non Conf")-$V111)</f>
        <v>4-3</v>
      </c>
      <c r="X111" s="267">
        <f ca="1">IF($D111&gt;Standings!$Q$27,"",SUMIFS($U$2:$U$225,$D$2:$D$225,"&lt;="&amp;$D111,$B$2:$B$225,$B111,$F$2:$F$225,"Conf"))</f>
        <v>3</v>
      </c>
      <c r="Y111" s="267" t="str">
        <f ca="1">IF($D111&gt;Standings!$Q$27,"",$X111&amp;"-"&amp;COUNTIF(OFFSET($F111,(-$D111+1),0,1,1):$F111,"Conf")-$X111)</f>
        <v>3-2</v>
      </c>
      <c r="Z111" s="267">
        <f ca="1">IF($D111&gt;Standings!$Q$27,"",SUM(OFFSET(U111,(-$D111+1),0,1,1):U111))</f>
        <v>7</v>
      </c>
      <c r="AA111" s="172">
        <f ca="1">IF($D111&gt;Standings!$Q$27,"",IF(U111=1,1+AA110,0))</f>
        <v>1</v>
      </c>
      <c r="AB111" s="250">
        <f ca="1">IF($D111&gt;Standings!$Q$27,"",IF(AA111=0,1+AB110,0))</f>
        <v>0</v>
      </c>
      <c r="AC111" s="251">
        <f ca="1">IF($D111&gt;Standings!$Q$27,"",SUM(OFFSET(J111,(-$D111+1),0,1,1):J111))</f>
        <v>1317.8500000000001</v>
      </c>
      <c r="AD111" s="248">
        <f ca="1">IF($D111&gt;Standings!$Q$27,"",SUM(OFFSET(K111,(-$D111+1),0,1,1):K111))</f>
        <v>1217.5600000000002</v>
      </c>
      <c r="AE111" s="248">
        <f ca="1">IF($D111&gt;Standings!$Q$27,"",$J111-$K111)</f>
        <v>89.179999999999993</v>
      </c>
      <c r="AF111" s="248">
        <f ca="1">IF($D111&gt;Standings!$Q$27,"",AC111-AD111)</f>
        <v>100.28999999999996</v>
      </c>
      <c r="AG111" s="172">
        <f ca="1">IF($D111&gt;Standings!$Q$27,"",(COUNTIFS($D$2:$D$225,$D111,$C$2:$C$225,$C111,$AC$2:$AC$225,"&lt;"&amp;$AC111)+1)*0.01)</f>
        <v>0.06</v>
      </c>
      <c r="AH111" s="172">
        <f ca="1">IF($D111&gt;Standings!$Q$27,"",Z111+AG111)</f>
        <v>7.06</v>
      </c>
      <c r="AI111" s="267"/>
      <c r="AJ111" s="267">
        <f t="array" aca="1" ref="AJ111" ca="1">IF($D111&gt;Standings!$Q$27,"",(COUNTIFS($D$2:$D$225,$D111,$C$2:$C$225,$C111,$AM$2:$AM$225,"&gt;"&amp;$AM111)+1))</f>
        <v>5</v>
      </c>
      <c r="AK111" s="267">
        <f t="array" aca="1" ref="AK111" ca="1">IF($D111&gt;Standings!$Q$27,"",IF((COUNTIFS($D$2:$D$225,$D111,$C$2:$C$225,$C111,$AH$2:$AH$225,"&gt;"&amp;$AH111)+1)=2,1,0))</f>
        <v>0</v>
      </c>
      <c r="AL111" s="267">
        <f t="array" aca="1" ref="AL111" ca="1">IF($D111&gt;Standings!$Q$27,"",IF((COUNTIFS($D$2:$D$225,$D111,$C$2:$C$225,$C111,$AH$2:$AH$225,"&gt;"&amp;$AH111)+1)&lt;2,1,0))</f>
        <v>0</v>
      </c>
      <c r="AM111" s="267">
        <f ca="1">IF($D111&gt;Standings!$Q$27,"",IF(AL111=1,200+Z111+(16-AQ111)*0.01+AI111,IF(AK111=1,100+Z111+(16-AQ111)*0.01+AI111,IF(AN111=1,50+Z111+(16-AQ111)*0.01,IF(AO111=1,15+Z111+(16-AQ111)*0.01,Z111+(16-AQ111)*0.01+AI111)))))</f>
        <v>7.11</v>
      </c>
      <c r="AN111" s="267">
        <f ca="1">IF($D111&gt;Standings!$Q$27,"",IF(OR($AK111=1,$AL111=1),"Conf Playoff Spot",COUNTIFS($AL$2:$AL$225,0,$AK$2:$AK$225,0,$C$2:$C$225,$C111,$D$2:$D$225,$D111,$AC$2:$AC$225,"&gt;"&amp;$AC111)+1))</f>
        <v>2</v>
      </c>
      <c r="AO111" s="267">
        <f t="array" aca="1" ref="AO111" ca="1">IF($D111&gt;Standings!$Q$27,"",IF(OR($AK111=1,$AL111=1),"Conf Playoff Spot",COUNTIFS($AK$2:$AK$225,0,$AL$2:$AL$225,0,$D$2:$D$225,$D111,$AH$2:$AH$225,"&gt;"&amp;$AH111)+1))</f>
        <v>3</v>
      </c>
      <c r="AP111" s="267">
        <f t="array" aca="1" ref="AP111" ca="1">IF($D111&gt;Standings!$Q$27,"",(COUNTIFS($D$2:$D$225,$D111,$J$2:$J$225,"&gt;"&amp;$J111)+1))</f>
        <v>1</v>
      </c>
      <c r="AQ111" s="249">
        <f ca="1">IF($D111&gt;Standings!$Q$27,"",(COUNTIFS($D$2:$D$225,$D111,$AC$2:$AC$225,"&gt;"&amp;$AC111)+1))</f>
        <v>5</v>
      </c>
      <c r="AR111" s="249">
        <f ca="1">IF($D111&gt;Standings!$Q$27,"",(COUNTIFS($D$2:$D$225,$D111,$K$2:$K$225,"&gt;"&amp;$K111)+1))</f>
        <v>16</v>
      </c>
      <c r="AS111" s="249">
        <f ca="1">IF($D111&gt;Standings!$Q$27,"",(COUNTIFS($D$2:$D$225,$D111,$AD$2:$AD$225,"&gt;"&amp;$AD111)+1))</f>
        <v>9</v>
      </c>
      <c r="AT111" s="354">
        <f ca="1">IF($D111&gt;Standings!$Q$27,"",SUMIFS($J$2:$J$225,$D$2:$D$225,$D111,$C$2:$C$225,$C111))</f>
        <v>841.41000000000008</v>
      </c>
      <c r="AU111" s="253">
        <f ca="1">IF($D111&gt;Standings!$Q$27,"",SUMIFS($AC$2:$AC$225,$D$2:$D$225,$D111,$C$2:$C$225,$C111))</f>
        <v>9876.7100000000009</v>
      </c>
    </row>
    <row r="112" spans="1:47" s="190" customFormat="1">
      <c r="A112" s="190">
        <f t="shared" si="1"/>
        <v>199</v>
      </c>
      <c r="B112" s="227" t="str">
        <f>'ESPN Data'!$L$11</f>
        <v>Team 8</v>
      </c>
      <c r="C112" s="347" t="str">
        <f>VLOOKUP(B112,'ESPN Data'!$L$4:$M$19,2,FALSE)</f>
        <v>Bone</v>
      </c>
      <c r="D112" s="550">
        <v>13</v>
      </c>
      <c r="E112" s="275" t="str">
        <f t="array" ref="E112">INDEX('ESPN Data'!$C$3:$C$226,MATCH(1,('ESPN Data'!$A$3:$A$226='Point Data'!$D112)*('ESPN Data'!$B$3:$B$226='Point Data'!$B112),0))</f>
        <v>Team 4</v>
      </c>
      <c r="F112" s="274" t="str">
        <f>IF(C112&lt;&gt;VLOOKUP($E112,'ESPN Data'!$L$4:$M$19,2,FALSE),"Non Conf", "Conf")</f>
        <v>Conf</v>
      </c>
      <c r="G112" s="271">
        <f t="array" aca="1" ref="G112" ca="1">IF('Point Data'!$D112&gt;Standings!$Q$27,"",(COUNTIFS($D$2:$D$225,$D112,$AM$2:$AM$225,"&gt;"&amp;$AM112)+1))</f>
        <v>6</v>
      </c>
      <c r="H112" s="264">
        <f ca="1">IF('Point Data'!$D112&gt;Standings!$Q$27,"",$G111)</f>
        <v>8</v>
      </c>
      <c r="I112" s="265">
        <f ca="1">IF('Point Data'!D112&gt;Standings!$Q$27,"",H112-G112)</f>
        <v>2</v>
      </c>
      <c r="J112" s="264">
        <f ca="1">IF('Point Data'!D112&gt;Standings!$Q$27,"",OFFSET('ESPN Data'!D$3,$A112,0,1,1))</f>
        <v>102.1</v>
      </c>
      <c r="K112" s="272">
        <f ca="1">IF('Point Data'!D112&gt;Standings!$Q$27,"",OFFSET('ESPN Data'!E$3,$A112,0,1,1))</f>
        <v>104.84</v>
      </c>
      <c r="L112" s="339">
        <f ca="1">IF('Point Data'!D112&gt;Standings!$Q$27,"",OFFSET('ESPN Data'!I$3,$A112,0,1,1))</f>
        <v>52</v>
      </c>
      <c r="M112" s="339">
        <f ca="1">IF('Point Data'!D112&gt;Standings!$Q$27,"",OFFSET('ESPN Data'!I$3,$A112,-2,1,1))</f>
        <v>0</v>
      </c>
      <c r="N112" s="339">
        <f ca="1">IF('Point Data'!D112&gt;Standings!$Q$27,"",SUMIFS($M$2:$M$225,$D$2:$D$225,D112,$C$2:$C$225,C112))</f>
        <v>5</v>
      </c>
      <c r="O112" s="339">
        <f ca="1">IF('Point Data'!D112&gt;Standings!$Q$27,"",SUMIFS($L$2:$L$225,$D$2:$D$225,$D112,$C$2:$C$225,$C112))</f>
        <v>224</v>
      </c>
      <c r="P112" s="339">
        <f ca="1">IF('Point Data'!D112&gt;Standings!$Q$27,"",SUMIFS($M$2:$M$225,$D$2:$D$225,D112))</f>
        <v>41</v>
      </c>
      <c r="Q112" s="339">
        <f ca="1">IF('Point Data'!D112&gt;Standings!$Q$27,"",SUMIFS($L$2:$L$225,$D$2:$D$225,D112))</f>
        <v>370</v>
      </c>
      <c r="R112" s="265">
        <f ca="1">IF($D112&gt;Standings!$Q$27,"",IF(U112="T",(Z112+0.5)/(D112)*100,(Z112/D112)*100))</f>
        <v>53.846153846153847</v>
      </c>
      <c r="S112" s="340">
        <f ca="1">IF($D112&gt;Standings!$Q$27,"",$J112-$K112)</f>
        <v>-2.7400000000000091</v>
      </c>
      <c r="T112" s="340">
        <f ca="1">IF($D112&gt;Standings!$Q$27,"",AVERAGE(OFFSET(S112,(-$D112+1),0,1,1):S112))</f>
        <v>7.5038461538461529</v>
      </c>
      <c r="U112" s="264">
        <f ca="1">IF($D112&gt;Standings!$Q$27,"",IF(J112&gt;K112,1,IF(J112=K112,"T",0)))</f>
        <v>0</v>
      </c>
      <c r="V112" s="275">
        <f ca="1">IF($D112&gt;Standings!$Q$27,"",IF(F112="Conf",V111,SUMIFS($U$2:$U$225,$D$2:$D$225,"&lt;="&amp;$D112,$B$2:$B$225,$B112,$F$2:$F$225,"Non Conf")))</f>
        <v>4</v>
      </c>
      <c r="W112" s="275" t="str">
        <f ca="1">IF($D112&gt;Standings!$Q$27,"",$V112&amp;"-"&amp;COUNTIF(OFFSET($F112,(-$D112+1),0,1,1):$F112,"Non Conf")-$V112)</f>
        <v>4-3</v>
      </c>
      <c r="X112" s="275">
        <f ca="1">IF($D112&gt;Standings!$Q$27,"",SUMIFS($U$2:$U$225,$D$2:$D$225,"&lt;="&amp;$D112,$B$2:$B$225,$B112,$F$2:$F$225,"Conf"))</f>
        <v>3</v>
      </c>
      <c r="Y112" s="275" t="str">
        <f ca="1">IF($D112&gt;Standings!$Q$27,"",$X112&amp;"-"&amp;COUNTIF(OFFSET($F112,(-$D112+1),0,1,1):$F112,"Conf")-$X112)</f>
        <v>3-3</v>
      </c>
      <c r="Z112" s="275">
        <f ca="1">IF($D112&gt;Standings!$Q$27,"",SUM(OFFSET(U112,(-$D112+1),0,1,1):U112))</f>
        <v>7</v>
      </c>
      <c r="AA112" s="264">
        <f ca="1">IF($D112&gt;Standings!$Q$27,"",IF(U112=1,1+AA111,0))</f>
        <v>0</v>
      </c>
      <c r="AB112" s="274">
        <f ca="1">IF($D112&gt;Standings!$Q$27,"",IF(AA112=0,1+AB111,0))</f>
        <v>1</v>
      </c>
      <c r="AC112" s="273">
        <f ca="1">IF($D112&gt;Standings!$Q$27,"",SUM(OFFSET(J112,(-$D112+1),0,1,1):J112))</f>
        <v>1419.95</v>
      </c>
      <c r="AD112" s="272">
        <f ca="1">IF($D112&gt;Standings!$Q$27,"",SUM(OFFSET(K112,(-$D112+1),0,1,1):K112))</f>
        <v>1322.4</v>
      </c>
      <c r="AE112" s="272">
        <f ca="1">IF($D112&gt;Standings!$Q$27,"",$J112-$K112)</f>
        <v>-2.7400000000000091</v>
      </c>
      <c r="AF112" s="272">
        <f ca="1">IF($D112&gt;Standings!$Q$27,"",AC112-AD112)</f>
        <v>97.549999999999955</v>
      </c>
      <c r="AG112" s="172">
        <f ca="1">IF($D112&gt;Standings!$Q$27,"",(COUNTIFS($D$2:$D$225,$D112,$C$2:$C$225,$C112,$AC$2:$AC$225,"&lt;"&amp;$AC112)+1)*0.01)</f>
        <v>7.0000000000000007E-2</v>
      </c>
      <c r="AH112" s="172">
        <f ca="1">IF($D112&gt;Standings!$Q$27,"",Z112+AG112)</f>
        <v>7.07</v>
      </c>
      <c r="AI112" s="275"/>
      <c r="AJ112" s="275">
        <f t="array" aca="1" ref="AJ112" ca="1">IF($D112&gt;Standings!$Q$27,"",(COUNTIFS($D$2:$D$225,$D112,$C$2:$C$225,$C112,$AM$2:$AM$225,"&gt;"&amp;$AM112)+1))</f>
        <v>3</v>
      </c>
      <c r="AK112" s="275">
        <f t="array" aca="1" ref="AK112" ca="1">IF($D112&gt;Standings!$Q$27,"",IF((COUNTIFS($D$2:$D$225,$D112,$C$2:$C$225,$C112,$AH$2:$AH$225,"&gt;"&amp;$AH112)+1)=2,1,0))</f>
        <v>0</v>
      </c>
      <c r="AL112" s="275">
        <f t="array" aca="1" ref="AL112" ca="1">IF($D112&gt;Standings!$Q$27,"",IF((COUNTIFS($D$2:$D$225,$D112,$C$2:$C$225,$C112,$AH$2:$AH$225,"&gt;"&amp;$AH112)+1)&lt;2,1,0))</f>
        <v>0</v>
      </c>
      <c r="AM112" s="275">
        <f ca="1">IF($D112&gt;Standings!$Q$27,"",IF(AL112=1,200+Z112+(16-AQ112)*0.01+AI112,IF(AK112=1,100+Z112+(16-AQ112)*0.01+AI112,IF(AN112=1,50+Z112+(16-AQ112)*0.01,IF(AO112=1,15+Z112+(16-AQ112)*0.01,Z112+(16-AQ112)*0.01+AI112)))))</f>
        <v>57.11</v>
      </c>
      <c r="AN112" s="275">
        <f ca="1">IF($D112&gt;Standings!$Q$27,"",IF(OR($AK112=1,$AL112=1),"Conf Playoff Spot",COUNTIFS($AL$2:$AL$225,0,$AK$2:$AK$225,0,$C$2:$C$225,$C112,$D$2:$D$225,$D112,$AC$2:$AC$225,"&gt;"&amp;$AC112)+1))</f>
        <v>1</v>
      </c>
      <c r="AO112" s="275">
        <f t="array" aca="1" ref="AO112" ca="1">IF($D112&gt;Standings!$Q$27,"",IF(OR($AK112=1,$AL112=1),"Conf Playoff Spot",COUNTIFS($AK$2:$AK$225,0,$AL$2:$AL$225,0,$D$2:$D$225,$D112,$AH$2:$AH$225,"&gt;"&amp;$AH112)+1))</f>
        <v>3</v>
      </c>
      <c r="AP112" s="275">
        <f t="array" aca="1" ref="AP112" ca="1">IF($D112&gt;Standings!$Q$27,"",(COUNTIFS($D$2:$D$225,$D112,$J$2:$J$225,"&gt;"&amp;$J112)+1))</f>
        <v>7</v>
      </c>
      <c r="AQ112" s="265">
        <f ca="1">IF($D112&gt;Standings!$Q$27,"",(COUNTIFS($D$2:$D$225,$D112,$AC$2:$AC$225,"&gt;"&amp;$AC112)+1))</f>
        <v>5</v>
      </c>
      <c r="AR112" s="265">
        <f ca="1">IF($D112&gt;Standings!$Q$27,"",(COUNTIFS($D$2:$D$225,$D112,$K$2:$K$225,"&gt;"&amp;$K112)+1))</f>
        <v>6</v>
      </c>
      <c r="AS112" s="265">
        <f ca="1">IF($D112&gt;Standings!$Q$27,"",(COUNTIFS($D$2:$D$225,$D112,$AD$2:$AD$225,"&gt;"&amp;$AD112)+1))</f>
        <v>9</v>
      </c>
      <c r="AT112" s="356">
        <f ca="1">IF($D112&gt;Standings!$Q$27,"",SUMIFS($J$2:$J$225,$D$2:$D$225,$D112,$C$2:$C$225,$C112))</f>
        <v>774.50000000000011</v>
      </c>
      <c r="AU112" s="340">
        <f ca="1">IF($D112&gt;Standings!$Q$27,"",SUMIFS($AC$2:$AC$225,$D$2:$D$225,$D112,$C$2:$C$225,$C112))</f>
        <v>10651.210000000001</v>
      </c>
    </row>
    <row r="113" spans="1:47" ht="16" thickBot="1">
      <c r="A113" s="190">
        <f t="shared" si="1"/>
        <v>215</v>
      </c>
      <c r="B113" s="199" t="str">
        <f>'ESPN Data'!$L$11</f>
        <v>Team 8</v>
      </c>
      <c r="C113" s="347" t="str">
        <f>VLOOKUP(B113,'ESPN Data'!$L$4:$M$19,2,FALSE)</f>
        <v>Bone</v>
      </c>
      <c r="D113" s="398">
        <v>14</v>
      </c>
      <c r="E113" s="268" t="str">
        <f t="array" ref="E113">INDEX('ESPN Data'!$C$3:$C$226,MATCH(1,('ESPN Data'!$A$3:$A$226='Point Data'!$D113)*('ESPN Data'!$B$3:$B$226='Point Data'!$B113),0))</f>
        <v>Team 4</v>
      </c>
      <c r="F113" s="274" t="str">
        <f>IF(C113&lt;&gt;VLOOKUP($E113,'ESPN Data'!$L$4:$M$19,2,FALSE),"Non Conf", "Conf")</f>
        <v>Conf</v>
      </c>
      <c r="G113" s="271" t="str">
        <f t="array" ref="G113">IF('Point Data'!$D113&gt;Standings!$Q$27,"",(COUNTIFS($D$2:$D$225,$D113,$AM$2:$AM$225,"&gt;"&amp;$AM113)+1))</f>
        <v/>
      </c>
      <c r="H113" s="264" t="str">
        <f>IF('Point Data'!$D113&gt;Standings!$Q$27,"",$G111)</f>
        <v/>
      </c>
      <c r="I113" s="265" t="str">
        <f>IF('Point Data'!D113&gt;Standings!$Q$27,"",H113-G113)</f>
        <v/>
      </c>
      <c r="J113" s="264" t="str">
        <f ca="1">IF('Point Data'!D113&gt;Standings!$Q$27,"",OFFSET('ESPN Data'!D$3,$A113,0,1,1))</f>
        <v/>
      </c>
      <c r="K113" s="272" t="str">
        <f ca="1">IF('Point Data'!D113&gt;Standings!$Q$27,"",OFFSET('ESPN Data'!E$3,$A113,0,1,1))</f>
        <v/>
      </c>
      <c r="L113" s="339" t="str">
        <f ca="1">IF('Point Data'!D113&gt;Standings!$Q$27,"",OFFSET('ESPN Data'!I$3,$A113,0,1,1))</f>
        <v/>
      </c>
      <c r="M113" s="339" t="str">
        <f ca="1">IF('Point Data'!D113&gt;Standings!$Q$27,"",OFFSET('ESPN Data'!I$3,$A113,-2,1,1))</f>
        <v/>
      </c>
      <c r="N113" s="339" t="str">
        <f>IF('Point Data'!D113&gt;Standings!$Q$27,"",SUMIFS($M$2:$M$225,$D$2:$D$225,D113,$C$2:$C$225,C113))</f>
        <v/>
      </c>
      <c r="O113" s="339" t="str">
        <f>IF('Point Data'!D113&gt;Standings!$Q$27,"",SUMIFS($L$2:$L$225,$D$2:$D$225,$D113,$C$2:$C$225,$C113))</f>
        <v/>
      </c>
      <c r="P113" s="339" t="str">
        <f>IF('Point Data'!D113&gt;Standings!$Q$27,"",SUMIFS($M$2:$M$225,$D$2:$D$225,D113))</f>
        <v/>
      </c>
      <c r="Q113" s="339" t="str">
        <f>IF('Point Data'!D113&gt;Standings!$Q$27,"",SUMIFS($L$2:$L$225,$D$2:$D$225,D113))</f>
        <v/>
      </c>
      <c r="R113" s="265" t="str">
        <f>IF($D113&gt;Standings!$Q$27,"",IF(U113="T",(Z113+0.5)/(D113)*100,(Z113/D113)*100))</f>
        <v/>
      </c>
      <c r="S113" s="340" t="str">
        <f>IF($D113&gt;Standings!$Q$27,"",$J113-$K113)</f>
        <v/>
      </c>
      <c r="T113" s="340" t="str">
        <f ca="1">IF($D113&gt;Standings!$Q$27,"",AVERAGE(OFFSET(S113,(-$D113+1),0,1,1):S113))</f>
        <v/>
      </c>
      <c r="U113" s="257" t="str">
        <f>IF($D113&gt;Standings!$Q$27,"",IF(J113&gt;K113,1,IF(J113=K113,"T",0)))</f>
        <v/>
      </c>
      <c r="V113" s="268" t="str">
        <f>IF($D113&gt;Standings!$Q$27,"",SUMIFS($U$2:$U$225,$D$2:$D$225,"&lt;="&amp;$D113,$B$2:$B$225,$B113,$F$2:$F$225,"Non Conf"))</f>
        <v/>
      </c>
      <c r="W113" s="268" t="str">
        <f ca="1">IF($D113&gt;Standings!$Q$27,"",$V113&amp;"-"&amp;COUNTIF(OFFSET($F113,(-$D113+1),0,1,1):$F113,"Non Conf")-$V113)</f>
        <v/>
      </c>
      <c r="X113" s="268" t="str">
        <f>IF($D113&gt;Standings!$Q$27,"",SUMIFS($U$2:$U$225,$D$2:$D$225,"&lt;="&amp;$D113,$B$2:$B$225,$B113,$F$2:$F$225,"Conf"))</f>
        <v/>
      </c>
      <c r="Y113" s="268" t="str">
        <f ca="1">IF($D113&gt;Standings!$Q$27,"",$X113&amp;"-"&amp;COUNTIF(OFFSET($F113,(-$D113+1),0,1,1):$F113,"Conf")-$X113)</f>
        <v/>
      </c>
      <c r="Z113" s="268" t="str">
        <f ca="1">IF($D113&gt;Standings!$Q$27,"",SUM(OFFSET(U113,(-$D113+1),0,1,1):U113))</f>
        <v/>
      </c>
      <c r="AA113" s="264" t="str">
        <f>IF($D113&gt;Standings!$Q$27,"",IF(U113=1,1+AA111,0))</f>
        <v/>
      </c>
      <c r="AB113" s="274" t="str">
        <f>IF($D113&gt;Standings!$Q$27,"",IF(AA113=0,1+AB111,0))</f>
        <v/>
      </c>
      <c r="AC113" s="259" t="str">
        <f ca="1">IF($D113&gt;Standings!$Q$27,"",SUM(OFFSET(J113,(-$D113+1),0,1,1):J113))</f>
        <v/>
      </c>
      <c r="AD113" s="255" t="str">
        <f ca="1">IF($D113&gt;Standings!$Q$27,"",SUM(OFFSET(K113,(-$D113+1),0,1,1):K113))</f>
        <v/>
      </c>
      <c r="AE113" s="255" t="str">
        <f>IF($D113&gt;Standings!$Q$27,"",$J113-$K113)</f>
        <v/>
      </c>
      <c r="AF113" s="255" t="str">
        <f>IF($D113&gt;Standings!$Q$27,"",AC113-AD113)</f>
        <v/>
      </c>
      <c r="AG113" s="172" t="str">
        <f>IF($D113&gt;Standings!$Q$27,"",(COUNTIFS($D$2:$D$225,$D113,$C$2:$C$225,$C113,$AC$2:$AC$225,"&lt;"&amp;$AC113)+1)*0.01)</f>
        <v/>
      </c>
      <c r="AH113" s="172" t="str">
        <f>IF($D113&gt;Standings!$Q$27,"",Z113+AG113)</f>
        <v/>
      </c>
      <c r="AI113" s="275"/>
      <c r="AJ113" s="275" t="str">
        <f t="array" ref="AJ113">IF($D113&gt;Standings!$Q$27,"",(COUNTIFS($D$2:$D$225,$D113,$C$2:$C$225,$C113,$AM$2:$AM$225,"&gt;"&amp;$AM113)+1))</f>
        <v/>
      </c>
      <c r="AK113" s="275" t="str">
        <f t="array" ref="AK113">IF($D113&gt;Standings!$Q$27,"",IF((COUNTIFS($D$2:$D$225,$D113,$C$2:$C$225,$C113,$AH$2:$AH$225,"&gt;"&amp;$AH113)+1)=2,1,0))</f>
        <v/>
      </c>
      <c r="AL113" s="275" t="str">
        <f t="array" ref="AL113">IF($D113&gt;Standings!$Q$27,"",IF((COUNTIFS($D$2:$D$225,$D113,$C$2:$C$225,$C113,$AH$2:$AH$225,"&gt;"&amp;$AH113)+1)&lt;2,1,0))</f>
        <v/>
      </c>
      <c r="AM113" s="275" t="str">
        <f>IF($D113&gt;Standings!$Q$27,"",IF(AL113=1,200+Z113+(16-AQ113)*0.01+AI113,IF(AK113=1,100+Z113+(16-AQ113)*0.01+AI113,IF(AN113=1,50+Z113+(16-AQ113)*0.01,IF(AO113=1,15+Z113+(16-AQ113)*0.01,Z113+(16-AQ113)*0.01+AI113)))))</f>
        <v/>
      </c>
      <c r="AN113" s="275" t="str">
        <f>IF($D113&gt;Standings!$Q$27,"",IF(OR($AK113=1,$AL113=1),"Conf Playoff Spot",COUNTIFS($AL$2:$AL$225,0,$AK$2:$AK$225,0,$C$2:$C$225,$C113,$D$2:$D$225,$D113,$AC$2:$AC$225,"&gt;"&amp;$AC113)+1))</f>
        <v/>
      </c>
      <c r="AO113" s="275" t="str">
        <f t="array" ref="AO113">IF($D113&gt;Standings!$Q$27,"",IF(OR($AK113=1,$AL113=1),"Conf Playoff Spot",COUNTIFS($AK$2:$AK$225,0,$AL$2:$AL$225,0,$D$2:$D$225,$D113,$AH$2:$AH$225,"&gt;"&amp;$AH113)+1))</f>
        <v/>
      </c>
      <c r="AP113" s="275" t="str">
        <f t="array" ref="AP113">IF($D113&gt;Standings!$Q$27,"",(COUNTIFS($D$2:$D$225,$D113,$J$2:$J$225,"&gt;"&amp;$J113)+1))</f>
        <v/>
      </c>
      <c r="AQ113" s="265" t="str">
        <f>IF($D113&gt;Standings!$Q$27,"",(COUNTIFS($D$2:$D$225,$D113,$AC$2:$AC$225,"&gt;"&amp;$AC113)+1))</f>
        <v/>
      </c>
      <c r="AR113" s="265" t="str">
        <f>IF($D113&gt;Standings!$Q$27,"",(COUNTIFS($D$2:$D$225,$D113,$K$2:$K$225,"&gt;"&amp;$K113)+1))</f>
        <v/>
      </c>
      <c r="AS113" s="265" t="str">
        <f>IF($D113&gt;Standings!$Q$27,"",(COUNTIFS($D$2:$D$225,$D113,$AD$2:$AD$225,"&gt;"&amp;$AD113)+1))</f>
        <v/>
      </c>
      <c r="AT113" s="355" t="str">
        <f>IF($D113&gt;Standings!$Q$27,"",SUMIFS($J$2:$J$225,$D$2:$D$225,$D113,$C$2:$C$225,$C113))</f>
        <v/>
      </c>
      <c r="AU113" s="261" t="str">
        <f>IF($D113&gt;Standings!$Q$27,"",SUMIFS($AC$2:$AC$225,$D$2:$D$225,$D113,$C$2:$C$225,$C113))</f>
        <v/>
      </c>
    </row>
    <row r="114" spans="1:47">
      <c r="A114" s="190">
        <f t="shared" si="1"/>
        <v>8</v>
      </c>
      <c r="B114" s="3" t="str">
        <f>'ESPN Data'!$L$12</f>
        <v>Team 9</v>
      </c>
      <c r="C114" s="349" t="str">
        <f>VLOOKUP(B114,'ESPN Data'!$L$4:$M$19,2,FALSE)</f>
        <v>Wardo</v>
      </c>
      <c r="D114" s="399">
        <v>1</v>
      </c>
      <c r="E114" s="266" t="str">
        <f t="array" ref="E114">INDEX('ESPN Data'!$C$3:$C$226,MATCH(1,('ESPN Data'!$A$3:$A$226='Point Data'!$D114)*('ESPN Data'!$B$3:$B$226='Point Data'!$B114),0))</f>
        <v>Team 15</v>
      </c>
      <c r="F114" s="242" t="str">
        <f>IF(C114&lt;&gt;VLOOKUP($E114,'ESPN Data'!$L$4:$M$19,2,FALSE),"Non Conf", "Conf")</f>
        <v>Conf</v>
      </c>
      <c r="G114" s="237">
        <f t="array" aca="1" ref="G114" ca="1">IF('Point Data'!$D114&gt;Standings!$Q$27,"",(COUNTIFS($D$2:$D$225,$D114,$AM$2:$AM$225,"&gt;"&amp;$AM114)+1))</f>
        <v>1</v>
      </c>
      <c r="H114" s="241">
        <f>IF('Point Data'!$D114&gt;Standings!$Q$27,"",VLOOKUP($B114,'ESPN Data'!$L$4:$N$19,3,FALSE))</f>
        <v>1</v>
      </c>
      <c r="I114" s="240">
        <f ca="1">IF('Point Data'!$D114&gt;Standings!$Q$27,"",H114-G114)</f>
        <v>0</v>
      </c>
      <c r="J114" s="241">
        <f ca="1">IF('Point Data'!D114&gt;Standings!$Q$27,"",OFFSET('ESPN Data'!D$3,$A114,0,1,1))</f>
        <v>150.91999999999999</v>
      </c>
      <c r="K114" s="239">
        <f ca="1">IF('Point Data'!D114&gt;Standings!$Q$27,"",OFFSET('ESPN Data'!E$3,$A114,0,1,1))</f>
        <v>114.82</v>
      </c>
      <c r="L114" s="240">
        <f ca="1">IF('Point Data'!D114&gt;Standings!$Q$27,"",OFFSET('ESPN Data'!I$3,$A114,0,1,1))</f>
        <v>100</v>
      </c>
      <c r="M114" s="240">
        <f ca="1">IF('Point Data'!D114&gt;Standings!$Q$27,"",OFFSET('ESPN Data'!I$3,$A114,-2,1,1))</f>
        <v>0</v>
      </c>
      <c r="N114" s="240">
        <f ca="1">IF('Point Data'!D114&gt;Standings!$Q$27,"",SUMIFS($M$2:$M$225,$D$2:$D$225,D114,$C$2:$C$225,C114))</f>
        <v>0</v>
      </c>
      <c r="O114" s="240">
        <f ca="1">IF('Point Data'!D114&gt;Standings!$Q$27,"",SUMIFS($L$2:$L$225,$D$2:$D$225,$D114,$C$2:$C$225,$C114))</f>
        <v>800</v>
      </c>
      <c r="P114" s="240">
        <f ca="1">IF('Point Data'!D114&gt;Standings!$Q$27,"",SUMIFS($M$2:$M$225,$D$2:$D$225,D114))</f>
        <v>3</v>
      </c>
      <c r="Q114" s="240">
        <f ca="1">IF('Point Data'!D114&gt;Standings!$Q$27,"",SUMIFS($L$2:$L$225,$D$2:$D$225,$D114))</f>
        <v>1597</v>
      </c>
      <c r="R114" s="240">
        <f ca="1">IF($D114&gt;Standings!$Q$27,"",IF(U114="T",(Z114+0.5)/(D114)*100,(Z114/D114)*100))</f>
        <v>100</v>
      </c>
      <c r="S114" s="239">
        <f ca="1">IF($D114&gt;Standings!$Q$27,"",$J114-$K114)</f>
        <v>36.099999999999994</v>
      </c>
      <c r="T114" s="239">
        <f ca="1">IF($D114&gt;Standings!$Q$27,"",AVERAGE(OFFSET(S114,(-$D114+1),0,1,1):S114))</f>
        <v>36.099999999999994</v>
      </c>
      <c r="U114" s="241">
        <f ca="1">IF($D114&gt;Standings!$Q$27,"",IF(J114&gt;K114,1,IF(J114=K114,"T",0)))</f>
        <v>1</v>
      </c>
      <c r="V114" s="241">
        <f>IF($D114&gt;Standings!$Q$27,"",IF(F114="Conf",0,SUMIFS($U$2:$U$225,$D$2:$D$225,"&lt;="&amp;$D114,$B$2:$B$225,$B114,$F$2:$F$225,"Non Conf")))</f>
        <v>0</v>
      </c>
      <c r="W114" s="241" t="str">
        <f ca="1">IF($D114&gt;Standings!$Q$27,"",$V114&amp;"-"&amp;COUNTIF(OFFSET($F114,(-$D114+1),0,1,1):$F114,"Non Conf")-$V114)</f>
        <v>0-0</v>
      </c>
      <c r="X114" s="241">
        <f ca="1">IF($D114&gt;Standings!$Q$27,"",SUMIFS($U$2:$U$225,$D$2:$D$225,"&lt;="&amp;$D114,$B$2:$B$225,$B114,$F$2:$F$225,"Conf"))</f>
        <v>1</v>
      </c>
      <c r="Y114" s="241" t="str">
        <f ca="1">IF($D114&gt;Standings!$Q$27,"",$X114&amp;"-"&amp;COUNTIF(OFFSET($F114,(-$D114+1),0,1,1):$F114,"Conf")-$X114)</f>
        <v>1-0</v>
      </c>
      <c r="Z114" s="241">
        <f ca="1">IF($D114&gt;Standings!$Q$27,"",SUM(OFFSET(U114,(-$D114+1),0,1,1):U114))</f>
        <v>1</v>
      </c>
      <c r="AA114" s="241">
        <f ca="1">IF($D114&gt;Standings!$Q$27,"",IF(U114=1,1,0))</f>
        <v>1</v>
      </c>
      <c r="AB114" s="266">
        <f ca="1">IF($D114&gt;Standings!$Q$27,"",IF(AA114=0,1,0))</f>
        <v>0</v>
      </c>
      <c r="AC114" s="243">
        <f ca="1">IF($D114&gt;Standings!$Q$27,"",SUM(OFFSET(J114,(-$D114+1),0,1,1):J114))</f>
        <v>150.91999999999999</v>
      </c>
      <c r="AD114" s="239">
        <f ca="1">IF($D114&gt;Standings!$Q$27,"",SUM(OFFSET(K114,(-$D114+1),0,1,1):K114))</f>
        <v>114.82</v>
      </c>
      <c r="AE114" s="239">
        <f ca="1">IF($D114&gt;Standings!$Q$27,"",$J114-$K114)</f>
        <v>36.099999999999994</v>
      </c>
      <c r="AF114" s="239">
        <f ca="1">IF($D114&gt;Standings!$Q$27,"",AC114-AD114)</f>
        <v>36.099999999999994</v>
      </c>
      <c r="AG114" s="269">
        <f ca="1">IF($D114&gt;Standings!$Q$27,"",(COUNTIFS($D$2:$D$225,$D114,$C$2:$C$225,$C114,$AC$2:$AC$225,"&lt;"&amp;$AC114)+1)*0.01)</f>
        <v>0.08</v>
      </c>
      <c r="AH114" s="269">
        <f ca="1">IF($D114&gt;Standings!$Q$27,"",Z114+AG114)</f>
        <v>1.08</v>
      </c>
      <c r="AI114" s="270"/>
      <c r="AJ114" s="241">
        <f t="array" aca="1" ref="AJ114" ca="1">IF($D114&gt;Standings!$Q$27,"",(COUNTIFS($D$2:$D$225,$D114,$C$2:$C$225,$C114,$AM$2:$AM$225,"&gt;"&amp;$AM114)+1))</f>
        <v>1</v>
      </c>
      <c r="AK114" s="241">
        <f t="array" aca="1" ref="AK114" ca="1">IF($D114&gt;Standings!$Q$27,"",IF((COUNTIFS($D$2:$D$225,$D114,$C$2:$C$225,$C114,$AH$2:$AH$225,"&gt;"&amp;$AH114)+1)=2,1,0))</f>
        <v>0</v>
      </c>
      <c r="AL114" s="241">
        <f t="array" aca="1" ref="AL114" ca="1">IF($D114&gt;Standings!$Q$27,"",IF((COUNTIFS($D$2:$D$225,$D114,$C$2:$C$225,$C114,$AH$2:$AH$225,"&gt;"&amp;$AH114)+1)&lt;2,1,0))</f>
        <v>1</v>
      </c>
      <c r="AM114" s="241">
        <f ca="1">IF($D114&gt;Standings!$Q$27,"",IF(AL114=1,200+Z114+(16-AQ114)*0.01+AI114,IF(AK114=1,100+Z114+(16-AQ114)*0.01+AI114,IF(AN114=1,50+Z114+(16-AQ114)*0.01,IF(AO114=1,15+Z114+(16-AQ114)*0.01,Z114+(16-AQ114)*0.01+AI114)))))</f>
        <v>201.15</v>
      </c>
      <c r="AN114" s="241" t="str">
        <f ca="1">IF($D114&gt;Standings!$Q$27,"",IF(OR($AK114=1,$AL114=1),"Conf Playoff Spot",COUNTIFS($AL$2:$AL$225,0,$AK$2:$AK$225,0,$C$2:$C$225,$C114,$D$2:$D$225,$D114,$AC$2:$AC$225,"&gt;"&amp;$AC114)+1))</f>
        <v>Conf Playoff Spot</v>
      </c>
      <c r="AO114" s="241" t="str">
        <f t="array" aca="1" ref="AO114" ca="1">IF($D114&gt;Standings!$Q$27,"",IF(OR($AK114=1,$AL114=1),"Conf Playoff Spot",COUNTIFS($AK$2:$AK$225,0,$AL$2:$AL$225,0,$D$2:$D$225,$D114,$AH$2:$AH$225,"&gt;"&amp;$AH114)+1))</f>
        <v>Conf Playoff Spot</v>
      </c>
      <c r="AP114" s="241">
        <f t="array" aca="1" ref="AP114" ca="1">IF($D114&gt;Standings!$Q$27,"",(COUNTIFS($D$2:$D$225,$D114,$J$2:$J$225,"&gt;"&amp;$J114)+1))</f>
        <v>1</v>
      </c>
      <c r="AQ114" s="241">
        <f ca="1">IF($D114&gt;Standings!$Q$27,"",(COUNTIFS($D$2:$D$225,$D114,$AC$2:$AC$225,"&gt;"&amp;$AC114)+1))</f>
        <v>1</v>
      </c>
      <c r="AR114" s="241">
        <f ca="1">IF($D114&gt;Standings!$Q$27,"",(COUNTIFS($D$2:$D$225,$D114,$K$2:$K$225,"&gt;"&amp;$K114)+1))</f>
        <v>4</v>
      </c>
      <c r="AS114" s="241">
        <f ca="1">IF($D114&gt;Standings!$Q$27,"",(COUNTIFS($D$2:$D$225,$D114,$AD$2:$AD$225,"&gt;"&amp;$AD114)+1))</f>
        <v>4</v>
      </c>
      <c r="AT114" s="357">
        <f ca="1">IF($D114&gt;Standings!$Q$27,"",SUMIFS($J$2:$J$225,$D$2:$D$225,$D114,$C$2:$C$225,$C114))</f>
        <v>872.36000000000013</v>
      </c>
      <c r="AU114" s="245">
        <f ca="1">IF($D114&gt;Standings!$Q$27,"",SUMIFS($AC$2:$AC$225,$D$2:$D$225,$D114,$C$2:$C$225,$C114))</f>
        <v>872.36000000000013</v>
      </c>
    </row>
    <row r="115" spans="1:47">
      <c r="A115" s="190">
        <f t="shared" si="1"/>
        <v>24</v>
      </c>
      <c r="B115" s="5" t="str">
        <f>'ESPN Data'!$L$12</f>
        <v>Team 9</v>
      </c>
      <c r="C115" s="350" t="str">
        <f>VLOOKUP(B115,'ESPN Data'!$L$4:$M$19,2,FALSE)</f>
        <v>Wardo</v>
      </c>
      <c r="D115" s="400">
        <v>2</v>
      </c>
      <c r="E115" s="267" t="str">
        <f t="array" ref="E115">INDEX('ESPN Data'!$C$3:$C$226,MATCH(1,('ESPN Data'!$A$3:$A$226='Point Data'!$D115)*('ESPN Data'!$B$3:$B$226='Point Data'!$B115),0))</f>
        <v>Team 8</v>
      </c>
      <c r="F115" s="250" t="str">
        <f>IF(C115&lt;&gt;VLOOKUP($E115,'ESPN Data'!$L$4:$M$19,2,FALSE),"Non Conf", "Conf")</f>
        <v>Non Conf</v>
      </c>
      <c r="G115" s="246">
        <f t="array" aca="1" ref="G115" ca="1">IF('Point Data'!$D115&gt;Standings!$Q$27,"",(COUNTIFS($D$2:$D$225,$D115,$AM$2:$AM$225,"&gt;"&amp;$AM115)+1))</f>
        <v>1</v>
      </c>
      <c r="H115" s="172">
        <f ca="1">IF('Point Data'!$D115&gt;Standings!$Q$27,"",$G114)</f>
        <v>1</v>
      </c>
      <c r="I115" s="249">
        <f ca="1">IF('Point Data'!D115&gt;Standings!$Q$27,"",H115-G115)</f>
        <v>0</v>
      </c>
      <c r="J115" s="172">
        <f ca="1">IF('Point Data'!D115&gt;Standings!$Q$27,"",OFFSET('ESPN Data'!D$3,$A115,0,1,1))</f>
        <v>144.41999999999999</v>
      </c>
      <c r="K115" s="248">
        <f ca="1">IF('Point Data'!D115&gt;Standings!$Q$27,"",OFFSET('ESPN Data'!E$3,$A115,0,1,1))</f>
        <v>111.67</v>
      </c>
      <c r="L115" s="249">
        <f ca="1">IF('Point Data'!D115&gt;Standings!$Q$27,"",OFFSET('ESPN Data'!I$3,$A115,0,1,1))</f>
        <v>100</v>
      </c>
      <c r="M115" s="249">
        <f ca="1">IF('Point Data'!D115&gt;Standings!$Q$27,"",OFFSET('ESPN Data'!I$3,$A115,-2,1,1))</f>
        <v>0</v>
      </c>
      <c r="N115" s="249">
        <f ca="1">IF('Point Data'!D115&gt;Standings!$Q$27,"",SUMIFS($M$2:$M$225,$D$2:$D$225,D115,$C$2:$C$225,C115))</f>
        <v>29</v>
      </c>
      <c r="O115" s="249">
        <f ca="1">IF('Point Data'!D115&gt;Standings!$Q$27,"",SUMIFS($L$2:$L$225,$D$2:$D$225,$D115,$C$2:$C$225,$C115))</f>
        <v>771</v>
      </c>
      <c r="P115" s="249">
        <f ca="1">IF('Point Data'!D115&gt;Standings!$Q$27,"",SUMIFS($M$2:$M$225,$D$2:$D$225,D115))</f>
        <v>73</v>
      </c>
      <c r="Q115" s="249">
        <f ca="1">IF('Point Data'!D115&gt;Standings!$Q$27,"",SUMIFS($L$2:$L$225,$D$2:$D$225,D115))</f>
        <v>1524</v>
      </c>
      <c r="R115" s="249">
        <f ca="1">IF($D115&gt;Standings!$Q$27,"",IF(U115="T",(Z115+0.5)/(D115)*100,(Z115/D115)*100))</f>
        <v>100</v>
      </c>
      <c r="S115" s="248">
        <f ca="1">IF($D115&gt;Standings!$Q$27,"",$J115-$K115)</f>
        <v>32.749999999999986</v>
      </c>
      <c r="T115" s="248">
        <f ca="1">IF($D115&gt;Standings!$Q$27,"",AVERAGE(OFFSET(S115,(-$D115+1),0,1,1):S115))</f>
        <v>34.42499999999999</v>
      </c>
      <c r="U115" s="172">
        <f ca="1">IF($D115&gt;Standings!$Q$27,"",IF(J115&gt;K115,1,IF(J115=K115,"T",0)))</f>
        <v>1</v>
      </c>
      <c r="V115" s="172">
        <f ca="1">IF($D115&gt;Standings!$Q$27,"",IF(F115="Conf",V114,SUMIFS($U$2:$U$225,$D$2:$D$225,"&lt;="&amp;$D115,$B$2:$B$225,$B115,$F$2:$F$225,"Non Conf")))</f>
        <v>1</v>
      </c>
      <c r="W115" s="172" t="str">
        <f ca="1">IF($D115&gt;Standings!$Q$27,"",$V115&amp;"-"&amp;COUNTIF(OFFSET($F115,(-$D115+1),0,1,1):$F115,"Non Conf")-$V115)</f>
        <v>1-0</v>
      </c>
      <c r="X115" s="172">
        <f ca="1">IF($D115&gt;Standings!$Q$27,"",SUMIFS($U$2:$U$225,$D$2:$D$225,"&lt;="&amp;$D115,$B$2:$B$225,$B115,$F$2:$F$225,"Conf"))</f>
        <v>1</v>
      </c>
      <c r="Y115" s="172" t="str">
        <f ca="1">IF($D115&gt;Standings!$Q$27,"",$X115&amp;"-"&amp;COUNTIF(OFFSET($F115,(-$D115+1),0,1,1):$F115,"Conf")-$X115)</f>
        <v>1-0</v>
      </c>
      <c r="Z115" s="172">
        <f ca="1">IF($D115&gt;Standings!$Q$27,"",SUM(OFFSET(U115,(-$D115+1),0,1,1):U115))</f>
        <v>2</v>
      </c>
      <c r="AA115" s="172">
        <f ca="1">IF($D115&gt;Standings!$Q$27,"",IF(U115=1,1+AA114,0))</f>
        <v>2</v>
      </c>
      <c r="AB115" s="267">
        <f ca="1">IF($D115&gt;Standings!$Q$27,"",IF(AA115=0,1+AB114,0))</f>
        <v>0</v>
      </c>
      <c r="AC115" s="251">
        <f ca="1">IF($D115&gt;Standings!$Q$27,"",SUM(OFFSET(J115,(-$D115+1),0,1,1):J115))</f>
        <v>295.33999999999997</v>
      </c>
      <c r="AD115" s="248">
        <f ca="1">IF($D115&gt;Standings!$Q$27,"",SUM(OFFSET(K115,(-$D115+1),0,1,1):K115))</f>
        <v>226.49</v>
      </c>
      <c r="AE115" s="248">
        <f ca="1">IF($D115&gt;Standings!$Q$27,"",$J115-$K115)</f>
        <v>32.749999999999986</v>
      </c>
      <c r="AF115" s="248">
        <f ca="1">IF($D115&gt;Standings!$Q$27,"",AC115-AD115)</f>
        <v>68.849999999999966</v>
      </c>
      <c r="AG115" s="252">
        <f ca="1">IF($D115&gt;Standings!$Q$27,"",(COUNTIFS($D$2:$D$225,$D115,$C$2:$C$225,$C115,$AC$2:$AC$225,"&lt;"&amp;$AC115)+1)*0.01)</f>
        <v>0.08</v>
      </c>
      <c r="AH115" s="252">
        <f ca="1">IF($D115&gt;Standings!$Q$27,"",Z115+AG115)</f>
        <v>2.08</v>
      </c>
      <c r="AI115" s="252"/>
      <c r="AJ115" s="172">
        <f t="array" aca="1" ref="AJ115" ca="1">IF($D115&gt;Standings!$Q$27,"",(COUNTIFS($D$2:$D$225,$D115,$C$2:$C$225,$C115,$AM$2:$AM$225,"&gt;"&amp;$AM115)+1))</f>
        <v>1</v>
      </c>
      <c r="AK115" s="172">
        <f t="array" aca="1" ref="AK115" ca="1">IF($D115&gt;Standings!$Q$27,"",IF((COUNTIFS($D$2:$D$225,$D115,$C$2:$C$225,$C115,$AH$2:$AH$225,"&gt;"&amp;$AH115)+1)=2,1,0))</f>
        <v>0</v>
      </c>
      <c r="AL115" s="172">
        <f t="array" aca="1" ref="AL115" ca="1">IF($D115&gt;Standings!$Q$27,"",IF((COUNTIFS($D$2:$D$225,$D115,$C$2:$C$225,$C115,$AH$2:$AH$225,"&gt;"&amp;$AH115)+1)&lt;2,1,0))</f>
        <v>1</v>
      </c>
      <c r="AM115" s="172">
        <f ca="1">IF($D115&gt;Standings!$Q$27,"",IF(AL115=1,200+Z115+(16-AQ115)*0.01+AI115,IF(AK115=1,100+Z115+(16-AQ115)*0.01+AI115,IF(AN115=1,50+Z115+(16-AQ115)*0.01,IF(AO115=1,15+Z115+(16-AQ115)*0.01,Z115+(16-AQ115)*0.01+AI115)))))</f>
        <v>202.15</v>
      </c>
      <c r="AN115" s="172" t="str">
        <f ca="1">IF($D115&gt;Standings!$Q$27,"",IF(OR($AK115=1,$AL115=1),"Conf Playoff Spot",COUNTIFS($AL$2:$AL$225,0,$AK$2:$AK$225,0,$C$2:$C$225,$C115,$D$2:$D$225,$D115,$AC$2:$AC$225,"&gt;"&amp;$AC115)+1))</f>
        <v>Conf Playoff Spot</v>
      </c>
      <c r="AO115" s="172" t="str">
        <f t="array" aca="1" ref="AO115" ca="1">IF($D115&gt;Standings!$Q$27,"",IF(OR($AK115=1,$AL115=1),"Conf Playoff Spot",COUNTIFS($AK$2:$AK$225,0,$AL$2:$AL$225,0,$D$2:$D$225,$D115,$AH$2:$AH$225,"&gt;"&amp;$AH115)+1))</f>
        <v>Conf Playoff Spot</v>
      </c>
      <c r="AP115" s="172">
        <f t="array" aca="1" ref="AP115" ca="1">IF($D115&gt;Standings!$Q$27,"",(COUNTIFS($D$2:$D$225,$D115,$J$2:$J$225,"&gt;"&amp;$J115)+1))</f>
        <v>2</v>
      </c>
      <c r="AQ115" s="172">
        <f ca="1">IF($D115&gt;Standings!$Q$27,"",(COUNTIFS($D$2:$D$225,$D115,$AC$2:$AC$225,"&gt;"&amp;$AC115)+1))</f>
        <v>1</v>
      </c>
      <c r="AR115" s="172">
        <f ca="1">IF($D115&gt;Standings!$Q$27,"",(COUNTIFS($D$2:$D$225,$D115,$K$2:$K$225,"&gt;"&amp;$K115)+1))</f>
        <v>7</v>
      </c>
      <c r="AS115" s="172">
        <f ca="1">IF($D115&gt;Standings!$Q$27,"",(COUNTIFS($D$2:$D$225,$D115,$AD$2:$AD$225,"&gt;"&amp;$AD115)+1))</f>
        <v>5</v>
      </c>
      <c r="AT115" s="354">
        <f ca="1">IF($D115&gt;Standings!$Q$27,"",SUMIFS($J$2:$J$225,$D$2:$D$225,$D115,$C$2:$C$225,$C115))</f>
        <v>937.28000000000009</v>
      </c>
      <c r="AU115" s="253">
        <f ca="1">IF($D115&gt;Standings!$Q$27,"",SUMIFS($AC$2:$AC$225,$D$2:$D$225,$D115,$C$2:$C$225,$C115))</f>
        <v>1809.64</v>
      </c>
    </row>
    <row r="116" spans="1:47">
      <c r="A116" s="190">
        <f t="shared" si="1"/>
        <v>40</v>
      </c>
      <c r="B116" s="5" t="str">
        <f>'ESPN Data'!$L$12</f>
        <v>Team 9</v>
      </c>
      <c r="C116" s="350" t="str">
        <f>VLOOKUP(B116,'ESPN Data'!$L$4:$M$19,2,FALSE)</f>
        <v>Wardo</v>
      </c>
      <c r="D116" s="400">
        <v>3</v>
      </c>
      <c r="E116" s="267" t="str">
        <f t="array" ref="E116">INDEX('ESPN Data'!$C$3:$C$226,MATCH(1,('ESPN Data'!$A$3:$A$226='Point Data'!$D116)*('ESPN Data'!$B$3:$B$226='Point Data'!$B116),0))</f>
        <v>Team 6</v>
      </c>
      <c r="F116" s="250" t="str">
        <f>IF(C116&lt;&gt;VLOOKUP($E116,'ESPN Data'!$L$4:$M$19,2,FALSE),"Non Conf", "Conf")</f>
        <v>Non Conf</v>
      </c>
      <c r="G116" s="246">
        <f t="array" aca="1" ref="G116" ca="1">IF('Point Data'!$D116&gt;Standings!$Q$27,"",(COUNTIFS($D$2:$D$225,$D116,$AM$2:$AM$225,"&gt;"&amp;$AM116)+1))</f>
        <v>5</v>
      </c>
      <c r="H116" s="172">
        <f ca="1">IF('Point Data'!$D116&gt;Standings!$Q$27,"",$G115)</f>
        <v>1</v>
      </c>
      <c r="I116" s="249">
        <f ca="1">IF('Point Data'!D116&gt;Standings!$Q$27,"",H116-G116)</f>
        <v>-4</v>
      </c>
      <c r="J116" s="172">
        <f ca="1">IF('Point Data'!D116&gt;Standings!$Q$27,"",OFFSET('ESPN Data'!D$3,$A116,0,1,1))</f>
        <v>96.08</v>
      </c>
      <c r="K116" s="248">
        <f ca="1">IF('Point Data'!D116&gt;Standings!$Q$27,"",OFFSET('ESPN Data'!E$3,$A116,0,1,1))</f>
        <v>101.93</v>
      </c>
      <c r="L116" s="249">
        <f ca="1">IF('Point Data'!D116&gt;Standings!$Q$27,"",OFFSET('ESPN Data'!I$3,$A116,0,1,1))</f>
        <v>100</v>
      </c>
      <c r="M116" s="249">
        <f ca="1">IF('Point Data'!D116&gt;Standings!$Q$27,"",OFFSET('ESPN Data'!I$3,$A116,-2,1,1))</f>
        <v>0</v>
      </c>
      <c r="N116" s="249">
        <f ca="1">IF('Point Data'!D116&gt;Standings!$Q$27,"",SUMIFS($M$2:$M$225,$D$2:$D$225,D116,$C$2:$C$225,C116))</f>
        <v>185</v>
      </c>
      <c r="O116" s="249">
        <f ca="1">IF('Point Data'!D116&gt;Standings!$Q$27,"",SUMIFS($L$2:$L$225,$D$2:$D$225,$D116,$C$2:$C$225,$C116))</f>
        <v>586</v>
      </c>
      <c r="P116" s="249">
        <f ca="1">IF('Point Data'!D116&gt;Standings!$Q$27,"",SUMIFS($M$2:$M$225,$D$2:$D$225,D116))</f>
        <v>210</v>
      </c>
      <c r="Q116" s="249">
        <f ca="1">IF('Point Data'!D116&gt;Standings!$Q$27,"",SUMIFS($L$2:$L$225,$D$2:$D$225,D116))</f>
        <v>1314</v>
      </c>
      <c r="R116" s="249">
        <f ca="1">IF($D116&gt;Standings!$Q$27,"",IF(U116="T",(Z116+0.5)/(D116)*100,(Z116/D116)*100))</f>
        <v>66.666666666666657</v>
      </c>
      <c r="S116" s="248">
        <f ca="1">IF($D116&gt;Standings!$Q$27,"",$J116-$K116)</f>
        <v>-5.8500000000000085</v>
      </c>
      <c r="T116" s="248">
        <f ca="1">IF($D116&gt;Standings!$Q$27,"",AVERAGE(OFFSET(S116,(-$D116+1),0,1,1):S116))</f>
        <v>20.999999999999989</v>
      </c>
      <c r="U116" s="172">
        <f ca="1">IF($D116&gt;Standings!$Q$27,"",IF(J116&gt;K116,1,IF(J116=K116,"T",0)))</f>
        <v>0</v>
      </c>
      <c r="V116" s="172">
        <f ca="1">IF($D116&gt;Standings!$Q$27,"",IF(F116="Conf",V115,SUMIFS($U$2:$U$225,$D$2:$D$225,"&lt;="&amp;$D116,$B$2:$B$225,$B116,$F$2:$F$225,"Non Conf")))</f>
        <v>1</v>
      </c>
      <c r="W116" s="172" t="str">
        <f ca="1">IF($D116&gt;Standings!$Q$27,"",$V116&amp;"-"&amp;COUNTIF(OFFSET($F116,(-$D116+1),0,1,1):$F116,"Non Conf")-$V116)</f>
        <v>1-1</v>
      </c>
      <c r="X116" s="172">
        <f ca="1">IF($D116&gt;Standings!$Q$27,"",SUMIFS($U$2:$U$225,$D$2:$D$225,"&lt;="&amp;$D116,$B$2:$B$225,$B116,$F$2:$F$225,"Conf"))</f>
        <v>1</v>
      </c>
      <c r="Y116" s="172" t="str">
        <f ca="1">IF($D116&gt;Standings!$Q$27,"",$X116&amp;"-"&amp;COUNTIF(OFFSET($F116,(-$D116+1),0,1,1):$F116,"Conf")-$X116)</f>
        <v>1-0</v>
      </c>
      <c r="Z116" s="172">
        <f ca="1">IF($D116&gt;Standings!$Q$27,"",SUM(OFFSET(U116,(-$D116+1),0,1,1):U116))</f>
        <v>2</v>
      </c>
      <c r="AA116" s="172">
        <f ca="1">IF($D116&gt;Standings!$Q$27,"",IF(U116=1,1+AA115,0))</f>
        <v>0</v>
      </c>
      <c r="AB116" s="267">
        <f ca="1">IF($D116&gt;Standings!$Q$27,"",IF(AA116=0,1+AB115,0))</f>
        <v>1</v>
      </c>
      <c r="AC116" s="251">
        <f ca="1">IF($D116&gt;Standings!$Q$27,"",SUM(OFFSET(J116,(-$D116+1),0,1,1):J116))</f>
        <v>391.41999999999996</v>
      </c>
      <c r="AD116" s="248">
        <f ca="1">IF($D116&gt;Standings!$Q$27,"",SUM(OFFSET(K116,(-$D116+1),0,1,1):K116))</f>
        <v>328.42</v>
      </c>
      <c r="AE116" s="248">
        <f ca="1">IF($D116&gt;Standings!$Q$27,"",$J116-$K116)</f>
        <v>-5.8500000000000085</v>
      </c>
      <c r="AF116" s="248">
        <f ca="1">IF($D116&gt;Standings!$Q$27,"",AC116-AD116)</f>
        <v>62.999999999999943</v>
      </c>
      <c r="AG116" s="252">
        <f ca="1">IF($D116&gt;Standings!$Q$27,"",(COUNTIFS($D$2:$D$225,$D116,$C$2:$C$225,$C116,$AC$2:$AC$225,"&lt;"&amp;$AC116)+1)*0.01)</f>
        <v>0.08</v>
      </c>
      <c r="AH116" s="252">
        <f ca="1">IF($D116&gt;Standings!$Q$27,"",Z116+AG116)</f>
        <v>2.08</v>
      </c>
      <c r="AI116" s="252"/>
      <c r="AJ116" s="172">
        <f t="array" aca="1" ref="AJ116" ca="1">IF($D116&gt;Standings!$Q$27,"",(COUNTIFS($D$2:$D$225,$D116,$C$2:$C$225,$C116,$AM$2:$AM$225,"&gt;"&amp;$AM116)+1))</f>
        <v>3</v>
      </c>
      <c r="AK116" s="172">
        <f t="array" aca="1" ref="AK116" ca="1">IF($D116&gt;Standings!$Q$27,"",IF((COUNTIFS($D$2:$D$225,$D116,$C$2:$C$225,$C116,$AH$2:$AH$225,"&gt;"&amp;$AH116)+1)=2,1,0))</f>
        <v>0</v>
      </c>
      <c r="AL116" s="172">
        <f t="array" aca="1" ref="AL116" ca="1">IF($D116&gt;Standings!$Q$27,"",IF((COUNTIFS($D$2:$D$225,$D116,$C$2:$C$225,$C116,$AH$2:$AH$225,"&gt;"&amp;$AH116)+1)&lt;2,1,0))</f>
        <v>0</v>
      </c>
      <c r="AM116" s="172">
        <f ca="1">IF($D116&gt;Standings!$Q$27,"",IF(AL116=1,200+Z116+(16-AQ116)*0.01+AI116,IF(AK116=1,100+Z116+(16-AQ116)*0.01+AI116,IF(AN116=1,50+Z116+(16-AQ116)*0.01,IF(AO116=1,15+Z116+(16-AQ116)*0.01,Z116+(16-AQ116)*0.01+AI116)))))</f>
        <v>52.15</v>
      </c>
      <c r="AN116" s="172">
        <f ca="1">IF($D116&gt;Standings!$Q$27,"",IF(OR($AK116=1,$AL116=1),"Conf Playoff Spot",COUNTIFS($AL$2:$AL$225,0,$AK$2:$AK$225,0,$C$2:$C$225,$C116,$D$2:$D$225,$D116,$AC$2:$AC$225,"&gt;"&amp;$AC116)+1))</f>
        <v>1</v>
      </c>
      <c r="AO116" s="172">
        <f t="array" aca="1" ref="AO116" ca="1">IF($D116&gt;Standings!$Q$27,"",IF(OR($AK116=1,$AL116=1),"Conf Playoff Spot",COUNTIFS($AK$2:$AK$225,0,$AL$2:$AL$225,0,$D$2:$D$225,$D116,$AH$2:$AH$225,"&gt;"&amp;$AH116)+1))</f>
        <v>1</v>
      </c>
      <c r="AP116" s="172">
        <f t="array" aca="1" ref="AP116" ca="1">IF($D116&gt;Standings!$Q$27,"",(COUNTIFS($D$2:$D$225,$D116,$J$2:$J$225,"&gt;"&amp;$J116)+1))</f>
        <v>12</v>
      </c>
      <c r="AQ116" s="172">
        <f ca="1">IF($D116&gt;Standings!$Q$27,"",(COUNTIFS($D$2:$D$225,$D116,$AC$2:$AC$225,"&gt;"&amp;$AC116)+1))</f>
        <v>1</v>
      </c>
      <c r="AR116" s="172">
        <f ca="1">IF($D116&gt;Standings!$Q$27,"",(COUNTIFS($D$2:$D$225,$D116,$K$2:$K$225,"&gt;"&amp;$K116)+1))</f>
        <v>11</v>
      </c>
      <c r="AS116" s="172">
        <f ca="1">IF($D116&gt;Standings!$Q$27,"",(COUNTIFS($D$2:$D$225,$D116,$AD$2:$AD$225,"&gt;"&amp;$AD116)+1))</f>
        <v>7</v>
      </c>
      <c r="AT116" s="354">
        <f ca="1">IF($D116&gt;Standings!$Q$27,"",SUMIFS($J$2:$J$225,$D$2:$D$225,$D116,$C$2:$C$225,$C116))</f>
        <v>832.04000000000008</v>
      </c>
      <c r="AU116" s="253">
        <f ca="1">IF($D116&gt;Standings!$Q$27,"",SUMIFS($AC$2:$AC$225,$D$2:$D$225,$D116,$C$2:$C$225,$C116))</f>
        <v>2641.68</v>
      </c>
    </row>
    <row r="117" spans="1:47">
      <c r="A117" s="190">
        <f t="shared" si="1"/>
        <v>56</v>
      </c>
      <c r="B117" s="5" t="str">
        <f>'ESPN Data'!$L$12</f>
        <v>Team 9</v>
      </c>
      <c r="C117" s="350" t="str">
        <f>VLOOKUP(B117,'ESPN Data'!$L$4:$M$19,2,FALSE)</f>
        <v>Wardo</v>
      </c>
      <c r="D117" s="400">
        <v>4</v>
      </c>
      <c r="E117" s="267" t="str">
        <f t="array" ref="E117">INDEX('ESPN Data'!$C$3:$C$226,MATCH(1,('ESPN Data'!$A$3:$A$226='Point Data'!$D117)*('ESPN Data'!$B$3:$B$226='Point Data'!$B117),0))</f>
        <v>Team 14</v>
      </c>
      <c r="F117" s="250" t="str">
        <f>IF(C117&lt;&gt;VLOOKUP($E117,'ESPN Data'!$L$4:$M$19,2,FALSE),"Non Conf", "Conf")</f>
        <v>Conf</v>
      </c>
      <c r="G117" s="246">
        <f t="array" aca="1" ref="G117" ca="1">IF('Point Data'!$D117&gt;Standings!$Q$27,"",(COUNTIFS($D$2:$D$225,$D117,$AM$2:$AM$225,"&gt;"&amp;$AM117)+1))</f>
        <v>1</v>
      </c>
      <c r="H117" s="172">
        <f ca="1">IF('Point Data'!$D117&gt;Standings!$Q$27,"",$G116)</f>
        <v>5</v>
      </c>
      <c r="I117" s="249">
        <f ca="1">IF('Point Data'!D117&gt;Standings!$Q$27,"",H117-G117)</f>
        <v>4</v>
      </c>
      <c r="J117" s="172">
        <f ca="1">IF('Point Data'!D117&gt;Standings!$Q$27,"",OFFSET('ESPN Data'!D$3,$A117,0,1,1))</f>
        <v>108.47</v>
      </c>
      <c r="K117" s="248">
        <f ca="1">IF('Point Data'!D117&gt;Standings!$Q$27,"",OFFSET('ESPN Data'!E$3,$A117,0,1,1))</f>
        <v>106.32</v>
      </c>
      <c r="L117" s="249">
        <f ca="1">IF('Point Data'!D117&gt;Standings!$Q$27,"",OFFSET('ESPN Data'!I$3,$A117,0,1,1))</f>
        <v>100</v>
      </c>
      <c r="M117" s="249">
        <f ca="1">IF('Point Data'!D117&gt;Standings!$Q$27,"",OFFSET('ESPN Data'!I$3,$A117,-2,1,1))</f>
        <v>0</v>
      </c>
      <c r="N117" s="249">
        <f ca="1">IF('Point Data'!D117&gt;Standings!$Q$27,"",SUMIFS($M$2:$M$225,$D$2:$D$225,D117,$C$2:$C$225,C117))</f>
        <v>10</v>
      </c>
      <c r="O117" s="249">
        <f ca="1">IF('Point Data'!D117&gt;Standings!$Q$27,"",SUMIFS($L$2:$L$225,$D$2:$D$225,$D117,$C$2:$C$225,$C117))</f>
        <v>576</v>
      </c>
      <c r="P117" s="249">
        <f ca="1">IF('Point Data'!D117&gt;Standings!$Q$27,"",SUMIFS($M$2:$M$225,$D$2:$D$225,D117))</f>
        <v>171</v>
      </c>
      <c r="Q117" s="249">
        <f ca="1">IF('Point Data'!D117&gt;Standings!$Q$27,"",SUMIFS($L$2:$L$225,$D$2:$D$225,D117))</f>
        <v>1143</v>
      </c>
      <c r="R117" s="249">
        <f ca="1">IF($D117&gt;Standings!$Q$27,"",IF(U117="T",(Z117+0.5)/(D117)*100,(Z117/D117)*100))</f>
        <v>75</v>
      </c>
      <c r="S117" s="248">
        <f ca="1">IF($D117&gt;Standings!$Q$27,"",$J117-$K117)</f>
        <v>2.1500000000000057</v>
      </c>
      <c r="T117" s="248">
        <f ca="1">IF($D117&gt;Standings!$Q$27,"",AVERAGE(OFFSET(S117,(-$D117+1),0,1,1):S117))</f>
        <v>16.287499999999994</v>
      </c>
      <c r="U117" s="172">
        <f ca="1">IF($D117&gt;Standings!$Q$27,"",IF(J117&gt;K117,1,IF(J117=K117,"T",0)))</f>
        <v>1</v>
      </c>
      <c r="V117" s="172">
        <f ca="1">IF($D117&gt;Standings!$Q$27,"",IF(F117="Conf",V116,SUMIFS($U$2:$U$225,$D$2:$D$225,"&lt;="&amp;$D117,$B$2:$B$225,$B117,$F$2:$F$225,"Non Conf")))</f>
        <v>1</v>
      </c>
      <c r="W117" s="172" t="str">
        <f ca="1">IF($D117&gt;Standings!$Q$27,"",$V117&amp;"-"&amp;COUNTIF(OFFSET($F117,(-$D117+1),0,1,1):$F117,"Non Conf")-$V117)</f>
        <v>1-1</v>
      </c>
      <c r="X117" s="172">
        <f ca="1">IF($D117&gt;Standings!$Q$27,"",SUMIFS($U$2:$U$225,$D$2:$D$225,"&lt;="&amp;$D117,$B$2:$B$225,$B117,$F$2:$F$225,"Conf"))</f>
        <v>2</v>
      </c>
      <c r="Y117" s="172" t="str">
        <f ca="1">IF($D117&gt;Standings!$Q$27,"",$X117&amp;"-"&amp;COUNTIF(OFFSET($F117,(-$D117+1),0,1,1):$F117,"Conf")-$X117)</f>
        <v>2-0</v>
      </c>
      <c r="Z117" s="172">
        <f ca="1">IF($D117&gt;Standings!$Q$27,"",SUM(OFFSET(U117,(-$D117+1),0,1,1):U117))</f>
        <v>3</v>
      </c>
      <c r="AA117" s="172">
        <f ca="1">IF($D117&gt;Standings!$Q$27,"",IF(U117=1,1+AA116,0))</f>
        <v>1</v>
      </c>
      <c r="AB117" s="267">
        <f ca="1">IF($D117&gt;Standings!$Q$27,"",IF(AA117=0,1+AB116,0))</f>
        <v>0</v>
      </c>
      <c r="AC117" s="251">
        <f ca="1">IF($D117&gt;Standings!$Q$27,"",SUM(OFFSET(J117,(-$D117+1),0,1,1):J117))</f>
        <v>499.89</v>
      </c>
      <c r="AD117" s="248">
        <f ca="1">IF($D117&gt;Standings!$Q$27,"",SUM(OFFSET(K117,(-$D117+1),0,1,1):K117))</f>
        <v>434.74</v>
      </c>
      <c r="AE117" s="248">
        <f ca="1">IF($D117&gt;Standings!$Q$27,"",$J117-$K117)</f>
        <v>2.1500000000000057</v>
      </c>
      <c r="AF117" s="248">
        <f ca="1">IF($D117&gt;Standings!$Q$27,"",AC117-AD117)</f>
        <v>65.149999999999977</v>
      </c>
      <c r="AG117" s="252">
        <f ca="1">IF($D117&gt;Standings!$Q$27,"",(COUNTIFS($D$2:$D$225,$D117,$C$2:$C$225,$C117,$AC$2:$AC$225,"&lt;"&amp;$AC117)+1)*0.01)</f>
        <v>0.08</v>
      </c>
      <c r="AH117" s="252">
        <f ca="1">IF($D117&gt;Standings!$Q$27,"",Z117+AG117)</f>
        <v>3.08</v>
      </c>
      <c r="AI117" s="252"/>
      <c r="AJ117" s="172">
        <f t="array" aca="1" ref="AJ117" ca="1">IF($D117&gt;Standings!$Q$27,"",(COUNTIFS($D$2:$D$225,$D117,$C$2:$C$225,$C117,$AM$2:$AM$225,"&gt;"&amp;$AM117)+1))</f>
        <v>1</v>
      </c>
      <c r="AK117" s="172">
        <f t="array" aca="1" ref="AK117" ca="1">IF($D117&gt;Standings!$Q$27,"",IF((COUNTIFS($D$2:$D$225,$D117,$C$2:$C$225,$C117,$AH$2:$AH$225,"&gt;"&amp;$AH117)+1)=2,1,0))</f>
        <v>0</v>
      </c>
      <c r="AL117" s="172">
        <f t="array" aca="1" ref="AL117" ca="1">IF($D117&gt;Standings!$Q$27,"",IF((COUNTIFS($D$2:$D$225,$D117,$C$2:$C$225,$C117,$AH$2:$AH$225,"&gt;"&amp;$AH117)+1)&lt;2,1,0))</f>
        <v>1</v>
      </c>
      <c r="AM117" s="172">
        <f ca="1">IF($D117&gt;Standings!$Q$27,"",IF(AL117=1,200+Z117+(16-AQ117)*0.01+AI117,IF(AK117=1,100+Z117+(16-AQ117)*0.01+AI117,IF(AN117=1,50+Z117+(16-AQ117)*0.01,IF(AO117=1,15+Z117+(16-AQ117)*0.01,Z117+(16-AQ117)*0.01+AI117)))))</f>
        <v>203.15</v>
      </c>
      <c r="AN117" s="172" t="str">
        <f ca="1">IF($D117&gt;Standings!$Q$27,"",IF(OR($AK117=1,$AL117=1),"Conf Playoff Spot",COUNTIFS($AL$2:$AL$225,0,$AK$2:$AK$225,0,$C$2:$C$225,$C117,$D$2:$D$225,$D117,$AC$2:$AC$225,"&gt;"&amp;$AC117)+1))</f>
        <v>Conf Playoff Spot</v>
      </c>
      <c r="AO117" s="172" t="str">
        <f t="array" aca="1" ref="AO117" ca="1">IF($D117&gt;Standings!$Q$27,"",IF(OR($AK117=1,$AL117=1),"Conf Playoff Spot",COUNTIFS($AK$2:$AK$225,0,$AL$2:$AL$225,0,$D$2:$D$225,$D117,$AH$2:$AH$225,"&gt;"&amp;$AH117)+1))</f>
        <v>Conf Playoff Spot</v>
      </c>
      <c r="AP117" s="172">
        <f t="array" aca="1" ref="AP117" ca="1">IF($D117&gt;Standings!$Q$27,"",(COUNTIFS($D$2:$D$225,$D117,$J$2:$J$225,"&gt;"&amp;$J117)+1))</f>
        <v>7</v>
      </c>
      <c r="AQ117" s="172">
        <f ca="1">IF($D117&gt;Standings!$Q$27,"",(COUNTIFS($D$2:$D$225,$D117,$AC$2:$AC$225,"&gt;"&amp;$AC117)+1))</f>
        <v>1</v>
      </c>
      <c r="AR117" s="172">
        <f ca="1">IF($D117&gt;Standings!$Q$27,"",(COUNTIFS($D$2:$D$225,$D117,$K$2:$K$225,"&gt;"&amp;$K117)+1))</f>
        <v>9</v>
      </c>
      <c r="AS117" s="172">
        <f ca="1">IF($D117&gt;Standings!$Q$27,"",(COUNTIFS($D$2:$D$225,$D117,$AD$2:$AD$225,"&gt;"&amp;$AD117)+1))</f>
        <v>8</v>
      </c>
      <c r="AT117" s="354">
        <f ca="1">IF($D117&gt;Standings!$Q$27,"",SUMIFS($J$2:$J$225,$D$2:$D$225,$D117,$C$2:$C$225,$C117))</f>
        <v>827.84</v>
      </c>
      <c r="AU117" s="253">
        <f ca="1">IF($D117&gt;Standings!$Q$27,"",SUMIFS($AC$2:$AC$225,$D$2:$D$225,$D117,$C$2:$C$225,$C117))</f>
        <v>3469.52</v>
      </c>
    </row>
    <row r="118" spans="1:47">
      <c r="A118" s="190">
        <f t="shared" si="1"/>
        <v>72</v>
      </c>
      <c r="B118" s="5" t="str">
        <f>'ESPN Data'!$L$12</f>
        <v>Team 9</v>
      </c>
      <c r="C118" s="350" t="str">
        <f>VLOOKUP(B118,'ESPN Data'!$L$4:$M$19,2,FALSE)</f>
        <v>Wardo</v>
      </c>
      <c r="D118" s="400">
        <v>5</v>
      </c>
      <c r="E118" s="267" t="str">
        <f t="array" ref="E118">INDEX('ESPN Data'!$C$3:$C$226,MATCH(1,('ESPN Data'!$A$3:$A$226='Point Data'!$D118)*('ESPN Data'!$B$3:$B$226='Point Data'!$B118),0))</f>
        <v>Team 7</v>
      </c>
      <c r="F118" s="250" t="str">
        <f>IF(C118&lt;&gt;VLOOKUP($E118,'ESPN Data'!$L$4:$M$19,2,FALSE),"Non Conf", "Conf")</f>
        <v>Non Conf</v>
      </c>
      <c r="G118" s="246">
        <f t="array" aca="1" ref="G118" ca="1">IF('Point Data'!$D118&gt;Standings!$Q$27,"",(COUNTIFS($D$2:$D$225,$D118,$AM$2:$AM$225,"&gt;"&amp;$AM118)+1))</f>
        <v>1</v>
      </c>
      <c r="H118" s="172">
        <f ca="1">IF('Point Data'!$D118&gt;Standings!$Q$27,"",$G117)</f>
        <v>1</v>
      </c>
      <c r="I118" s="249">
        <f ca="1">IF('Point Data'!D118&gt;Standings!$Q$27,"",H118-G118)</f>
        <v>0</v>
      </c>
      <c r="J118" s="172">
        <f ca="1">IF('Point Data'!D118&gt;Standings!$Q$27,"",OFFSET('ESPN Data'!D$3,$A118,0,1,1))</f>
        <v>137.87</v>
      </c>
      <c r="K118" s="248">
        <f ca="1">IF('Point Data'!D118&gt;Standings!$Q$27,"",OFFSET('ESPN Data'!E$3,$A118,0,1,1))</f>
        <v>113.92</v>
      </c>
      <c r="L118" s="249">
        <f ca="1">IF('Point Data'!D118&gt;Standings!$Q$27,"",OFFSET('ESPN Data'!I$3,$A118,0,1,1))</f>
        <v>100</v>
      </c>
      <c r="M118" s="249">
        <f ca="1">IF('Point Data'!D118&gt;Standings!$Q$27,"",OFFSET('ESPN Data'!I$3,$A118,-2,1,1))</f>
        <v>0</v>
      </c>
      <c r="N118" s="249">
        <f ca="1">IF('Point Data'!D118&gt;Standings!$Q$27,"",SUMIFS($M$2:$M$225,$D$2:$D$225,D118,$C$2:$C$225,C118))</f>
        <v>39</v>
      </c>
      <c r="O118" s="249">
        <f ca="1">IF('Point Data'!D118&gt;Standings!$Q$27,"",SUMIFS($L$2:$L$225,$D$2:$D$225,$D118,$C$2:$C$225,$C118))</f>
        <v>537</v>
      </c>
      <c r="P118" s="249">
        <f ca="1">IF('Point Data'!D118&gt;Standings!$Q$27,"",SUMIFS($M$2:$M$225,$D$2:$D$225,D118))</f>
        <v>104</v>
      </c>
      <c r="Q118" s="249">
        <f ca="1">IF('Point Data'!D118&gt;Standings!$Q$27,"",SUMIFS($L$2:$L$225,$D$2:$D$225,D118))</f>
        <v>1039</v>
      </c>
      <c r="R118" s="249">
        <f ca="1">IF($D118&gt;Standings!$Q$27,"",IF(U118="T",(Z118+0.5)/(D118)*100,(Z118/D118)*100))</f>
        <v>80</v>
      </c>
      <c r="S118" s="248">
        <f ca="1">IF($D118&gt;Standings!$Q$27,"",$J118-$K118)</f>
        <v>23.950000000000003</v>
      </c>
      <c r="T118" s="248">
        <f ca="1">IF($D118&gt;Standings!$Q$27,"",AVERAGE(OFFSET(S118,(-$D118+1),0,1,1):S118))</f>
        <v>17.819999999999997</v>
      </c>
      <c r="U118" s="172">
        <f ca="1">IF($D118&gt;Standings!$Q$27,"",IF(J118&gt;K118,1,IF(J118=K118,"T",0)))</f>
        <v>1</v>
      </c>
      <c r="V118" s="172">
        <f ca="1">IF($D118&gt;Standings!$Q$27,"",IF(F118="Conf",V117,SUMIFS($U$2:$U$225,$D$2:$D$225,"&lt;="&amp;$D118,$B$2:$B$225,$B118,$F$2:$F$225,"Non Conf")))</f>
        <v>2</v>
      </c>
      <c r="W118" s="172" t="str">
        <f ca="1">IF($D118&gt;Standings!$Q$27,"",$V118&amp;"-"&amp;COUNTIF(OFFSET($F118,(-$D118+1),0,1,1):$F118,"Non Conf")-$V118)</f>
        <v>2-1</v>
      </c>
      <c r="X118" s="172">
        <f ca="1">IF($D118&gt;Standings!$Q$27,"",SUMIFS($U$2:$U$225,$D$2:$D$225,"&lt;="&amp;$D118,$B$2:$B$225,$B118,$F$2:$F$225,"Conf"))</f>
        <v>2</v>
      </c>
      <c r="Y118" s="172" t="str">
        <f ca="1">IF($D118&gt;Standings!$Q$27,"",$X118&amp;"-"&amp;COUNTIF(OFFSET($F118,(-$D118+1),0,1,1):$F118,"Conf")-$X118)</f>
        <v>2-0</v>
      </c>
      <c r="Z118" s="172">
        <f ca="1">IF($D118&gt;Standings!$Q$27,"",SUM(OFFSET(U118,(-$D118+1),0,1,1):U118))</f>
        <v>4</v>
      </c>
      <c r="AA118" s="172">
        <f ca="1">IF($D118&gt;Standings!$Q$27,"",IF(U118=1,1+AA117,0))</f>
        <v>2</v>
      </c>
      <c r="AB118" s="267">
        <f ca="1">IF($D118&gt;Standings!$Q$27,"",IF(AA118=0,1+AB117,0))</f>
        <v>0</v>
      </c>
      <c r="AC118" s="251">
        <f ca="1">IF($D118&gt;Standings!$Q$27,"",SUM(OFFSET(J118,(-$D118+1),0,1,1):J118))</f>
        <v>637.76</v>
      </c>
      <c r="AD118" s="248">
        <f ca="1">IF($D118&gt;Standings!$Q$27,"",SUM(OFFSET(K118,(-$D118+1),0,1,1):K118))</f>
        <v>548.66</v>
      </c>
      <c r="AE118" s="248">
        <f ca="1">IF($D118&gt;Standings!$Q$27,"",$J118-$K118)</f>
        <v>23.950000000000003</v>
      </c>
      <c r="AF118" s="248">
        <f ca="1">IF($D118&gt;Standings!$Q$27,"",AC118-AD118)</f>
        <v>89.100000000000023</v>
      </c>
      <c r="AG118" s="252">
        <f ca="1">IF($D118&gt;Standings!$Q$27,"",(COUNTIFS($D$2:$D$225,$D118,$C$2:$C$225,$C118,$AC$2:$AC$225,"&lt;"&amp;$AC118)+1)*0.01)</f>
        <v>0.08</v>
      </c>
      <c r="AH118" s="252">
        <f ca="1">IF($D118&gt;Standings!$Q$27,"",Z118+AG118)</f>
        <v>4.08</v>
      </c>
      <c r="AI118" s="252"/>
      <c r="AJ118" s="172">
        <f t="array" aca="1" ref="AJ118" ca="1">IF($D118&gt;Standings!$Q$27,"",(COUNTIFS($D$2:$D$225,$D118,$C$2:$C$225,$C118,$AM$2:$AM$225,"&gt;"&amp;$AM118)+1))</f>
        <v>1</v>
      </c>
      <c r="AK118" s="172">
        <f t="array" aca="1" ref="AK118" ca="1">IF($D118&gt;Standings!$Q$27,"",IF((COUNTIFS($D$2:$D$225,$D118,$C$2:$C$225,$C118,$AH$2:$AH$225,"&gt;"&amp;$AH118)+1)=2,1,0))</f>
        <v>0</v>
      </c>
      <c r="AL118" s="172">
        <f t="array" aca="1" ref="AL118" ca="1">IF($D118&gt;Standings!$Q$27,"",IF((COUNTIFS($D$2:$D$225,$D118,$C$2:$C$225,$C118,$AH$2:$AH$225,"&gt;"&amp;$AH118)+1)&lt;2,1,0))</f>
        <v>1</v>
      </c>
      <c r="AM118" s="172">
        <f ca="1">IF($D118&gt;Standings!$Q$27,"",IF(AL118=1,200+Z118+(16-AQ118)*0.01+AI118,IF(AK118=1,100+Z118+(16-AQ118)*0.01+AI118,IF(AN118=1,50+Z118+(16-AQ118)*0.01,IF(AO118=1,15+Z118+(16-AQ118)*0.01,Z118+(16-AQ118)*0.01+AI118)))))</f>
        <v>204.15</v>
      </c>
      <c r="AN118" s="172" t="str">
        <f ca="1">IF($D118&gt;Standings!$Q$27,"",IF(OR($AK118=1,$AL118=1),"Conf Playoff Spot",COUNTIFS($AL$2:$AL$225,0,$AK$2:$AK$225,0,$C$2:$C$225,$C118,$D$2:$D$225,$D118,$AC$2:$AC$225,"&gt;"&amp;$AC118)+1))</f>
        <v>Conf Playoff Spot</v>
      </c>
      <c r="AO118" s="172" t="str">
        <f t="array" aca="1" ref="AO118" ca="1">IF($D118&gt;Standings!$Q$27,"",IF(OR($AK118=1,$AL118=1),"Conf Playoff Spot",COUNTIFS($AK$2:$AK$225,0,$AL$2:$AL$225,0,$D$2:$D$225,$D118,$AH$2:$AH$225,"&gt;"&amp;$AH118)+1))</f>
        <v>Conf Playoff Spot</v>
      </c>
      <c r="AP118" s="172">
        <f t="array" aca="1" ref="AP118" ca="1">IF($D118&gt;Standings!$Q$27,"",(COUNTIFS($D$2:$D$225,$D118,$J$2:$J$225,"&gt;"&amp;$J118)+1))</f>
        <v>2</v>
      </c>
      <c r="AQ118" s="172">
        <f ca="1">IF($D118&gt;Standings!$Q$27,"",(COUNTIFS($D$2:$D$225,$D118,$AC$2:$AC$225,"&gt;"&amp;$AC118)+1))</f>
        <v>1</v>
      </c>
      <c r="AR118" s="172">
        <f ca="1">IF($D118&gt;Standings!$Q$27,"",(COUNTIFS($D$2:$D$225,$D118,$K$2:$K$225,"&gt;"&amp;$K118)+1))</f>
        <v>6</v>
      </c>
      <c r="AS118" s="172">
        <f ca="1">IF($D118&gt;Standings!$Q$27,"",(COUNTIFS($D$2:$D$225,$D118,$AD$2:$AD$225,"&gt;"&amp;$AD118)+1))</f>
        <v>7</v>
      </c>
      <c r="AT118" s="354">
        <f ca="1">IF($D118&gt;Standings!$Q$27,"",SUMIFS($J$2:$J$225,$D$2:$D$225,$D118,$C$2:$C$225,$C118))</f>
        <v>855.19</v>
      </c>
      <c r="AU118" s="253">
        <f ca="1">IF($D118&gt;Standings!$Q$27,"",SUMIFS($AC$2:$AC$225,$D$2:$D$225,$D118,$C$2:$C$225,$C118))</f>
        <v>4324.71</v>
      </c>
    </row>
    <row r="119" spans="1:47">
      <c r="A119" s="190">
        <f t="shared" si="1"/>
        <v>88</v>
      </c>
      <c r="B119" s="5" t="str">
        <f>'ESPN Data'!$L$12</f>
        <v>Team 9</v>
      </c>
      <c r="C119" s="350" t="str">
        <f>VLOOKUP(B119,'ESPN Data'!$L$4:$M$19,2,FALSE)</f>
        <v>Wardo</v>
      </c>
      <c r="D119" s="400">
        <v>6</v>
      </c>
      <c r="E119" s="267" t="str">
        <f t="array" ref="E119">INDEX('ESPN Data'!$C$3:$C$226,MATCH(1,('ESPN Data'!$A$3:$A$226='Point Data'!$D119)*('ESPN Data'!$B$3:$B$226='Point Data'!$B119),0))</f>
        <v>Team 11</v>
      </c>
      <c r="F119" s="250" t="str">
        <f>IF(C119&lt;&gt;VLOOKUP($E119,'ESPN Data'!$L$4:$M$19,2,FALSE),"Non Conf", "Conf")</f>
        <v>Conf</v>
      </c>
      <c r="G119" s="246">
        <f t="array" aca="1" ref="G119" ca="1">IF('Point Data'!$D119&gt;Standings!$Q$27,"",(COUNTIFS($D$2:$D$225,$D119,$AM$2:$AM$225,"&gt;"&amp;$AM119)+1))</f>
        <v>2</v>
      </c>
      <c r="H119" s="172">
        <f ca="1">IF('Point Data'!$D119&gt;Standings!$Q$27,"",$G118)</f>
        <v>1</v>
      </c>
      <c r="I119" s="249">
        <f ca="1">IF('Point Data'!D119&gt;Standings!$Q$27,"",H119-G119)</f>
        <v>-1</v>
      </c>
      <c r="J119" s="172">
        <f ca="1">IF('Point Data'!D119&gt;Standings!$Q$27,"",OFFSET('ESPN Data'!D$3,$A119,0,1,1))</f>
        <v>98.25</v>
      </c>
      <c r="K119" s="248">
        <f ca="1">IF('Point Data'!D119&gt;Standings!$Q$27,"",OFFSET('ESPN Data'!E$3,$A119,0,1,1))</f>
        <v>113.54</v>
      </c>
      <c r="L119" s="249">
        <f ca="1">IF('Point Data'!D119&gt;Standings!$Q$27,"",OFFSET('ESPN Data'!I$3,$A119,0,1,1))</f>
        <v>100</v>
      </c>
      <c r="M119" s="249">
        <f ca="1">IF('Point Data'!D119&gt;Standings!$Q$27,"",OFFSET('ESPN Data'!I$3,$A119,-2,1,1))</f>
        <v>0</v>
      </c>
      <c r="N119" s="249">
        <f ca="1">IF('Point Data'!D119&gt;Standings!$Q$27,"",SUMIFS($M$2:$M$225,$D$2:$D$225,D119,$C$2:$C$225,C119))</f>
        <v>67</v>
      </c>
      <c r="O119" s="249">
        <f ca="1">IF('Point Data'!D119&gt;Standings!$Q$27,"",SUMIFS($L$2:$L$225,$D$2:$D$225,$D119,$C$2:$C$225,$C119))</f>
        <v>470</v>
      </c>
      <c r="P119" s="249">
        <f ca="1">IF('Point Data'!D119&gt;Standings!$Q$27,"",SUMIFS($M$2:$M$225,$D$2:$D$225,D119))</f>
        <v>183</v>
      </c>
      <c r="Q119" s="249">
        <f ca="1">IF('Point Data'!D119&gt;Standings!$Q$27,"",SUMIFS($L$2:$L$225,$D$2:$D$225,D119))</f>
        <v>856</v>
      </c>
      <c r="R119" s="249">
        <f ca="1">IF($D119&gt;Standings!$Q$27,"",IF(U119="T",(Z119+0.5)/(D119)*100,(Z119/D119)*100))</f>
        <v>66.666666666666657</v>
      </c>
      <c r="S119" s="248">
        <f ca="1">IF($D119&gt;Standings!$Q$27,"",$J119-$K119)</f>
        <v>-15.290000000000006</v>
      </c>
      <c r="T119" s="248">
        <f ca="1">IF($D119&gt;Standings!$Q$27,"",AVERAGE(OFFSET(S119,(-$D119+1),0,1,1):S119))</f>
        <v>12.301666666666662</v>
      </c>
      <c r="U119" s="172">
        <f ca="1">IF($D119&gt;Standings!$Q$27,"",IF(J119&gt;K119,1,IF(J119=K119,"T",0)))</f>
        <v>0</v>
      </c>
      <c r="V119" s="172">
        <f ca="1">IF($D119&gt;Standings!$Q$27,"",IF(F119="Conf",V118,SUMIFS($U$2:$U$225,$D$2:$D$225,"&lt;="&amp;$D119,$B$2:$B$225,$B119,$F$2:$F$225,"Non Conf")))</f>
        <v>2</v>
      </c>
      <c r="W119" s="172" t="str">
        <f ca="1">IF($D119&gt;Standings!$Q$27,"",$V119&amp;"-"&amp;COUNTIF(OFFSET($F119,(-$D119+1),0,1,1):$F119,"Non Conf")-$V119)</f>
        <v>2-1</v>
      </c>
      <c r="X119" s="172">
        <f ca="1">IF($D119&gt;Standings!$Q$27,"",SUMIFS($U$2:$U$225,$D$2:$D$225,"&lt;="&amp;$D119,$B$2:$B$225,$B119,$F$2:$F$225,"Conf"))</f>
        <v>2</v>
      </c>
      <c r="Y119" s="172" t="str">
        <f ca="1">IF($D119&gt;Standings!$Q$27,"",$X119&amp;"-"&amp;COUNTIF(OFFSET($F119,(-$D119+1),0,1,1):$F119,"Conf")-$X119)</f>
        <v>2-1</v>
      </c>
      <c r="Z119" s="172">
        <f ca="1">IF($D119&gt;Standings!$Q$27,"",SUM(OFFSET(U119,(-$D119+1),0,1,1):U119))</f>
        <v>4</v>
      </c>
      <c r="AA119" s="172">
        <f ca="1">IF($D119&gt;Standings!$Q$27,"",IF(U119=1,1+AA118,0))</f>
        <v>0</v>
      </c>
      <c r="AB119" s="267">
        <f ca="1">IF($D119&gt;Standings!$Q$27,"",IF(AA119=0,1+AB118,0))</f>
        <v>1</v>
      </c>
      <c r="AC119" s="251">
        <f ca="1">IF($D119&gt;Standings!$Q$27,"",SUM(OFFSET(J119,(-$D119+1),0,1,1):J119))</f>
        <v>736.01</v>
      </c>
      <c r="AD119" s="248">
        <f ca="1">IF($D119&gt;Standings!$Q$27,"",SUM(OFFSET(K119,(-$D119+1),0,1,1):K119))</f>
        <v>662.19999999999993</v>
      </c>
      <c r="AE119" s="248">
        <f ca="1">IF($D119&gt;Standings!$Q$27,"",$J119-$K119)</f>
        <v>-15.290000000000006</v>
      </c>
      <c r="AF119" s="248">
        <f ca="1">IF($D119&gt;Standings!$Q$27,"",AC119-AD119)</f>
        <v>73.810000000000059</v>
      </c>
      <c r="AG119" s="252">
        <f ca="1">IF($D119&gt;Standings!$Q$27,"",(COUNTIFS($D$2:$D$225,$D119,$C$2:$C$225,$C119,$AC$2:$AC$225,"&lt;"&amp;$AC119)+1)*0.01)</f>
        <v>0.08</v>
      </c>
      <c r="AH119" s="252">
        <f ca="1">IF($D119&gt;Standings!$Q$27,"",Z119+AG119)</f>
        <v>4.08</v>
      </c>
      <c r="AI119" s="252"/>
      <c r="AJ119" s="172">
        <f t="array" aca="1" ref="AJ119" ca="1">IF($D119&gt;Standings!$Q$27,"",(COUNTIFS($D$2:$D$225,$D119,$C$2:$C$225,$C119,$AM$2:$AM$225,"&gt;"&amp;$AM119)+1))</f>
        <v>1</v>
      </c>
      <c r="AK119" s="172">
        <f t="array" aca="1" ref="AK119" ca="1">IF($D119&gt;Standings!$Q$27,"",IF((COUNTIFS($D$2:$D$225,$D119,$C$2:$C$225,$C119,$AH$2:$AH$225,"&gt;"&amp;$AH119)+1)=2,1,0))</f>
        <v>0</v>
      </c>
      <c r="AL119" s="172">
        <f t="array" aca="1" ref="AL119" ca="1">IF($D119&gt;Standings!$Q$27,"",IF((COUNTIFS($D$2:$D$225,$D119,$C$2:$C$225,$C119,$AH$2:$AH$225,"&gt;"&amp;$AH119)+1)&lt;2,1,0))</f>
        <v>1</v>
      </c>
      <c r="AM119" s="172">
        <f ca="1">IF($D119&gt;Standings!$Q$27,"",IF(AL119=1,200+Z119+(16-AQ119)*0.01+AI119,IF(AK119=1,100+Z119+(16-AQ119)*0.01+AI119,IF(AN119=1,50+Z119+(16-AQ119)*0.01,IF(AO119=1,15+Z119+(16-AQ119)*0.01,Z119+(16-AQ119)*0.01+AI119)))))</f>
        <v>204.15</v>
      </c>
      <c r="AN119" s="172" t="str">
        <f ca="1">IF($D119&gt;Standings!$Q$27,"",IF(OR($AK119=1,$AL119=1),"Conf Playoff Spot",COUNTIFS($AL$2:$AL$225,0,$AK$2:$AK$225,0,$C$2:$C$225,$C119,$D$2:$D$225,$D119,$AC$2:$AC$225,"&gt;"&amp;$AC119)+1))</f>
        <v>Conf Playoff Spot</v>
      </c>
      <c r="AO119" s="172" t="str">
        <f t="array" aca="1" ref="AO119" ca="1">IF($D119&gt;Standings!$Q$27,"",IF(OR($AK119=1,$AL119=1),"Conf Playoff Spot",COUNTIFS($AK$2:$AK$225,0,$AL$2:$AL$225,0,$D$2:$D$225,$D119,$AH$2:$AH$225,"&gt;"&amp;$AH119)+1))</f>
        <v>Conf Playoff Spot</v>
      </c>
      <c r="AP119" s="172">
        <f t="array" aca="1" ref="AP119" ca="1">IF($D119&gt;Standings!$Q$27,"",(COUNTIFS($D$2:$D$225,$D119,$J$2:$J$225,"&gt;"&amp;$J119)+1))</f>
        <v>8</v>
      </c>
      <c r="AQ119" s="172">
        <f ca="1">IF($D119&gt;Standings!$Q$27,"",(COUNTIFS($D$2:$D$225,$D119,$AC$2:$AC$225,"&gt;"&amp;$AC119)+1))</f>
        <v>1</v>
      </c>
      <c r="AR119" s="172">
        <f ca="1">IF($D119&gt;Standings!$Q$27,"",(COUNTIFS($D$2:$D$225,$D119,$K$2:$K$225,"&gt;"&amp;$K119)+1))</f>
        <v>3</v>
      </c>
      <c r="AS119" s="172">
        <f ca="1">IF($D119&gt;Standings!$Q$27,"",(COUNTIFS($D$2:$D$225,$D119,$AD$2:$AD$225,"&gt;"&amp;$AD119)+1))</f>
        <v>4</v>
      </c>
      <c r="AT119" s="354">
        <f ca="1">IF($D119&gt;Standings!$Q$27,"",SUMIFS($J$2:$J$225,$D$2:$D$225,$D119,$C$2:$C$225,$C119))</f>
        <v>768.68000000000006</v>
      </c>
      <c r="AU119" s="253">
        <f ca="1">IF($D119&gt;Standings!$Q$27,"",SUMIFS($AC$2:$AC$225,$D$2:$D$225,$D119,$C$2:$C$225,$C119))</f>
        <v>5093.3900000000003</v>
      </c>
    </row>
    <row r="120" spans="1:47">
      <c r="A120" s="190">
        <f t="shared" si="1"/>
        <v>104</v>
      </c>
      <c r="B120" s="5" t="str">
        <f>'ESPN Data'!$L$12</f>
        <v>Team 9</v>
      </c>
      <c r="C120" s="350" t="str">
        <f>VLOOKUP(B120,'ESPN Data'!$L$4:$M$19,2,FALSE)</f>
        <v>Wardo</v>
      </c>
      <c r="D120" s="400">
        <v>7</v>
      </c>
      <c r="E120" s="267" t="str">
        <f t="array" ref="E120">INDEX('ESPN Data'!$C$3:$C$226,MATCH(1,('ESPN Data'!$A$3:$A$226='Point Data'!$D120)*('ESPN Data'!$B$3:$B$226='Point Data'!$B120),0))</f>
        <v>Team 5</v>
      </c>
      <c r="F120" s="250" t="str">
        <f>IF(C120&lt;&gt;VLOOKUP($E120,'ESPN Data'!$L$4:$M$19,2,FALSE),"Non Conf", "Conf")</f>
        <v>Non Conf</v>
      </c>
      <c r="G120" s="246">
        <f t="array" aca="1" ref="G120" ca="1">IF('Point Data'!$D120&gt;Standings!$Q$27,"",(COUNTIFS($D$2:$D$225,$D120,$AM$2:$AM$225,"&gt;"&amp;$AM120)+1))</f>
        <v>4</v>
      </c>
      <c r="H120" s="172">
        <f ca="1">IF('Point Data'!$D120&gt;Standings!$Q$27,"",$G119)</f>
        <v>2</v>
      </c>
      <c r="I120" s="249">
        <f ca="1">IF('Point Data'!D120&gt;Standings!$Q$27,"",H120-G120)</f>
        <v>-2</v>
      </c>
      <c r="J120" s="172">
        <f ca="1">IF('Point Data'!D120&gt;Standings!$Q$27,"",OFFSET('ESPN Data'!D$3,$A120,0,1,1))</f>
        <v>119.96</v>
      </c>
      <c r="K120" s="248">
        <f ca="1">IF('Point Data'!D120&gt;Standings!$Q$27,"",OFFSET('ESPN Data'!E$3,$A120,0,1,1))</f>
        <v>154.35</v>
      </c>
      <c r="L120" s="249">
        <f ca="1">IF('Point Data'!D120&gt;Standings!$Q$27,"",OFFSET('ESPN Data'!I$3,$A120,0,1,1))</f>
        <v>53</v>
      </c>
      <c r="M120" s="249">
        <f ca="1">IF('Point Data'!D120&gt;Standings!$Q$27,"",OFFSET('ESPN Data'!I$3,$A120,-2,1,1))</f>
        <v>47</v>
      </c>
      <c r="N120" s="249">
        <f ca="1">IF('Point Data'!D120&gt;Standings!$Q$27,"",SUMIFS($M$2:$M$225,$D$2:$D$225,D120,$C$2:$C$225,C120))</f>
        <v>140</v>
      </c>
      <c r="O120" s="249">
        <f ca="1">IF('Point Data'!D120&gt;Standings!$Q$27,"",SUMIFS($L$2:$L$225,$D$2:$D$225,$D120,$C$2:$C$225,$C120))</f>
        <v>330</v>
      </c>
      <c r="P120" s="249">
        <f ca="1">IF('Point Data'!D120&gt;Standings!$Q$27,"",SUMIFS($M$2:$M$225,$D$2:$D$225,D120))</f>
        <v>168</v>
      </c>
      <c r="Q120" s="249">
        <f ca="1">IF('Point Data'!D120&gt;Standings!$Q$27,"",SUMIFS($L$2:$L$225,$D$2:$D$225,D120))</f>
        <v>688</v>
      </c>
      <c r="R120" s="249">
        <f ca="1">IF($D120&gt;Standings!$Q$27,"",IF(U120="T",(Z120+0.5)/(D120)*100,(Z120/D120)*100))</f>
        <v>57.142857142857139</v>
      </c>
      <c r="S120" s="248">
        <f ca="1">IF($D120&gt;Standings!$Q$27,"",$J120-$K120)</f>
        <v>-34.39</v>
      </c>
      <c r="T120" s="248">
        <f ca="1">IF($D120&gt;Standings!$Q$27,"",AVERAGE(OFFSET(S120,(-$D120+1),0,1,1):S120))</f>
        <v>5.6314285714285672</v>
      </c>
      <c r="U120" s="172">
        <f ca="1">IF($D120&gt;Standings!$Q$27,"",IF(J120&gt;K120,1,IF(J120=K120,"T",0)))</f>
        <v>0</v>
      </c>
      <c r="V120" s="172">
        <f ca="1">IF($D120&gt;Standings!$Q$27,"",IF(F120="Conf",V119,SUMIFS($U$2:$U$225,$D$2:$D$225,"&lt;="&amp;$D120,$B$2:$B$225,$B120,$F$2:$F$225,"Non Conf")))</f>
        <v>2</v>
      </c>
      <c r="W120" s="172" t="str">
        <f ca="1">IF($D120&gt;Standings!$Q$27,"",$V120&amp;"-"&amp;COUNTIF(OFFSET($F120,(-$D120+1),0,1,1):$F120,"Non Conf")-$V120)</f>
        <v>2-2</v>
      </c>
      <c r="X120" s="172">
        <f ca="1">IF($D120&gt;Standings!$Q$27,"",SUMIFS($U$2:$U$225,$D$2:$D$225,"&lt;="&amp;$D120,$B$2:$B$225,$B120,$F$2:$F$225,"Conf"))</f>
        <v>2</v>
      </c>
      <c r="Y120" s="172" t="str">
        <f ca="1">IF($D120&gt;Standings!$Q$27,"",$X120&amp;"-"&amp;COUNTIF(OFFSET($F120,(-$D120+1),0,1,1):$F120,"Conf")-$X120)</f>
        <v>2-1</v>
      </c>
      <c r="Z120" s="172">
        <f ca="1">IF($D120&gt;Standings!$Q$27,"",SUM(OFFSET(U120,(-$D120+1),0,1,1):U120))</f>
        <v>4</v>
      </c>
      <c r="AA120" s="172">
        <f ca="1">IF($D120&gt;Standings!$Q$27,"",IF(U120=1,1+AA119,0))</f>
        <v>0</v>
      </c>
      <c r="AB120" s="267">
        <f ca="1">IF($D120&gt;Standings!$Q$27,"",IF(AA120=0,1+AB119,0))</f>
        <v>2</v>
      </c>
      <c r="AC120" s="251">
        <f ca="1">IF($D120&gt;Standings!$Q$27,"",SUM(OFFSET(J120,(-$D120+1),0,1,1):J120))</f>
        <v>855.97</v>
      </c>
      <c r="AD120" s="248">
        <f ca="1">IF($D120&gt;Standings!$Q$27,"",SUM(OFFSET(K120,(-$D120+1),0,1,1):K120))</f>
        <v>816.55</v>
      </c>
      <c r="AE120" s="248">
        <f ca="1">IF($D120&gt;Standings!$Q$27,"",$J120-$K120)</f>
        <v>-34.39</v>
      </c>
      <c r="AF120" s="248">
        <f ca="1">IF($D120&gt;Standings!$Q$27,"",AC120-AD120)</f>
        <v>39.420000000000073</v>
      </c>
      <c r="AG120" s="252">
        <f ca="1">IF($D120&gt;Standings!$Q$27,"",(COUNTIFS($D$2:$D$225,$D120,$C$2:$C$225,$C120,$AC$2:$AC$225,"&lt;"&amp;$AC120)+1)*0.01)</f>
        <v>0.08</v>
      </c>
      <c r="AH120" s="252">
        <f ca="1">IF($D120&gt;Standings!$Q$27,"",Z120+AG120)</f>
        <v>4.08</v>
      </c>
      <c r="AI120" s="252"/>
      <c r="AJ120" s="172">
        <f t="array" aca="1" ref="AJ120" ca="1">IF($D120&gt;Standings!$Q$27,"",(COUNTIFS($D$2:$D$225,$D120,$C$2:$C$225,$C120,$AM$2:$AM$225,"&gt;"&amp;$AM120)+1))</f>
        <v>2</v>
      </c>
      <c r="AK120" s="172">
        <f t="array" aca="1" ref="AK120" ca="1">IF($D120&gt;Standings!$Q$27,"",IF((COUNTIFS($D$2:$D$225,$D120,$C$2:$C$225,$C120,$AH$2:$AH$225,"&gt;"&amp;$AH120)+1)=2,1,0))</f>
        <v>1</v>
      </c>
      <c r="AL120" s="172">
        <f t="array" aca="1" ref="AL120" ca="1">IF($D120&gt;Standings!$Q$27,"",IF((COUNTIFS($D$2:$D$225,$D120,$C$2:$C$225,$C120,$AH$2:$AH$225,"&gt;"&amp;$AH120)+1)&lt;2,1,0))</f>
        <v>0</v>
      </c>
      <c r="AM120" s="172">
        <f ca="1">IF($D120&gt;Standings!$Q$27,"",IF(AL120=1,200+Z120+(16-AQ120)*0.01+AI120,IF(AK120=1,100+Z120+(16-AQ120)*0.01+AI120,IF(AN120=1,50+Z120+(16-AQ120)*0.01,IF(AO120=1,15+Z120+(16-AQ120)*0.01,Z120+(16-AQ120)*0.01+AI120)))))</f>
        <v>104.15</v>
      </c>
      <c r="AN120" s="172" t="str">
        <f ca="1">IF($D120&gt;Standings!$Q$27,"",IF(OR($AK120=1,$AL120=1),"Conf Playoff Spot",COUNTIFS($AL$2:$AL$225,0,$AK$2:$AK$225,0,$C$2:$C$225,$C120,$D$2:$D$225,$D120,$AC$2:$AC$225,"&gt;"&amp;$AC120)+1))</f>
        <v>Conf Playoff Spot</v>
      </c>
      <c r="AO120" s="172" t="str">
        <f t="array" aca="1" ref="AO120" ca="1">IF($D120&gt;Standings!$Q$27,"",IF(OR($AK120=1,$AL120=1),"Conf Playoff Spot",COUNTIFS($AK$2:$AK$225,0,$AL$2:$AL$225,0,$D$2:$D$225,$D120,$AH$2:$AH$225,"&gt;"&amp;$AH120)+1))</f>
        <v>Conf Playoff Spot</v>
      </c>
      <c r="AP120" s="172">
        <f t="array" aca="1" ref="AP120" ca="1">IF($D120&gt;Standings!$Q$27,"",(COUNTIFS($D$2:$D$225,$D120,$J$2:$J$225,"&gt;"&amp;$J120)+1))</f>
        <v>5</v>
      </c>
      <c r="AQ120" s="172">
        <f ca="1">IF($D120&gt;Standings!$Q$27,"",(COUNTIFS($D$2:$D$225,$D120,$AC$2:$AC$225,"&gt;"&amp;$AC120)+1))</f>
        <v>1</v>
      </c>
      <c r="AR120" s="172">
        <f ca="1">IF($D120&gt;Standings!$Q$27,"",(COUNTIFS($D$2:$D$225,$D120,$K$2:$K$225,"&gt;"&amp;$K120)+1))</f>
        <v>1</v>
      </c>
      <c r="AS120" s="172">
        <f ca="1">IF($D120&gt;Standings!$Q$27,"",(COUNTIFS($D$2:$D$225,$D120,$AD$2:$AD$225,"&gt;"&amp;$AD120)+1))</f>
        <v>1</v>
      </c>
      <c r="AT120" s="354">
        <f ca="1">IF($D120&gt;Standings!$Q$27,"",SUMIFS($J$2:$J$225,$D$2:$D$225,$D120,$C$2:$C$225,$C120))</f>
        <v>714.95</v>
      </c>
      <c r="AU120" s="253">
        <f ca="1">IF($D120&gt;Standings!$Q$27,"",SUMIFS($AC$2:$AC$225,$D$2:$D$225,$D120,$C$2:$C$225,$C120))</f>
        <v>5808.34</v>
      </c>
    </row>
    <row r="121" spans="1:47">
      <c r="A121" s="190">
        <f t="shared" si="1"/>
        <v>120</v>
      </c>
      <c r="B121" s="5" t="str">
        <f>'ESPN Data'!$L$12</f>
        <v>Team 9</v>
      </c>
      <c r="C121" s="350" t="str">
        <f>VLOOKUP(B121,'ESPN Data'!$L$4:$M$19,2,FALSE)</f>
        <v>Wardo</v>
      </c>
      <c r="D121" s="400">
        <v>8</v>
      </c>
      <c r="E121" s="267" t="str">
        <f t="array" ref="E121">INDEX('ESPN Data'!$C$3:$C$226,MATCH(1,('ESPN Data'!$A$3:$A$226='Point Data'!$D121)*('ESPN Data'!$B$3:$B$226='Point Data'!$B121),0))</f>
        <v>Team 12</v>
      </c>
      <c r="F121" s="250" t="str">
        <f>IF(C121&lt;&gt;VLOOKUP($E121,'ESPN Data'!$L$4:$M$19,2,FALSE),"Non Conf", "Conf")</f>
        <v>Conf</v>
      </c>
      <c r="G121" s="246">
        <f t="array" aca="1" ref="G121" ca="1">IF('Point Data'!$D121&gt;Standings!$Q$27,"",(COUNTIFS($D$2:$D$225,$D121,$AM$2:$AM$225,"&gt;"&amp;$AM121)+1))</f>
        <v>4</v>
      </c>
      <c r="H121" s="172">
        <f ca="1">IF('Point Data'!$D121&gt;Standings!$Q$27,"",$G120)</f>
        <v>4</v>
      </c>
      <c r="I121" s="249">
        <f ca="1">IF('Point Data'!D121&gt;Standings!$Q$27,"",H121-G121)</f>
        <v>0</v>
      </c>
      <c r="J121" s="172">
        <f ca="1">IF('Point Data'!D121&gt;Standings!$Q$27,"",OFFSET('ESPN Data'!D$3,$A121,0,1,1))</f>
        <v>82.72</v>
      </c>
      <c r="K121" s="248">
        <f ca="1">IF('Point Data'!D121&gt;Standings!$Q$27,"",OFFSET('ESPN Data'!E$3,$A121,0,1,1))</f>
        <v>129.93</v>
      </c>
      <c r="L121" s="249">
        <f ca="1">IF('Point Data'!D121&gt;Standings!$Q$27,"",OFFSET('ESPN Data'!I$3,$A121,0,1,1))</f>
        <v>53</v>
      </c>
      <c r="M121" s="249">
        <f ca="1">IF('Point Data'!D121&gt;Standings!$Q$27,"",OFFSET('ESPN Data'!I$3,$A121,-2,1,1))</f>
        <v>0</v>
      </c>
      <c r="N121" s="249">
        <f ca="1">IF('Point Data'!D121&gt;Standings!$Q$27,"",SUMIFS($M$2:$M$225,$D$2:$D$225,D121,$C$2:$C$225,C121))</f>
        <v>62</v>
      </c>
      <c r="O121" s="249">
        <f ca="1">IF('Point Data'!D121&gt;Standings!$Q$27,"",SUMIFS($L$2:$L$225,$D$2:$D$225,$D121,$C$2:$C$225,$C121))</f>
        <v>268</v>
      </c>
      <c r="P121" s="249">
        <f ca="1">IF('Point Data'!D121&gt;Standings!$Q$27,"",SUMIFS($M$2:$M$225,$D$2:$D$225,D121))</f>
        <v>80</v>
      </c>
      <c r="Q121" s="249">
        <f ca="1">IF('Point Data'!D121&gt;Standings!$Q$27,"",SUMIFS($L$2:$L$225,$D$2:$D$225,D121))</f>
        <v>608</v>
      </c>
      <c r="R121" s="249">
        <f ca="1">IF($D121&gt;Standings!$Q$27,"",IF(U121="T",(Z121+0.5)/(D121)*100,(Z121/D121)*100))</f>
        <v>50</v>
      </c>
      <c r="S121" s="248">
        <f ca="1">IF($D121&gt;Standings!$Q$27,"",$J121-$K121)</f>
        <v>-47.210000000000008</v>
      </c>
      <c r="T121" s="248">
        <f ca="1">IF($D121&gt;Standings!$Q$27,"",AVERAGE(OFFSET(S121,(-$D121+1),0,1,1):S121))</f>
        <v>-0.97375000000000433</v>
      </c>
      <c r="U121" s="172">
        <f ca="1">IF($D121&gt;Standings!$Q$27,"",IF(J121&gt;K121,1,IF(J121=K121,"T",0)))</f>
        <v>0</v>
      </c>
      <c r="V121" s="172">
        <f ca="1">IF($D121&gt;Standings!$Q$27,"",IF(F121="Conf",V120,SUMIFS($U$2:$U$225,$D$2:$D$225,"&lt;="&amp;$D121,$B$2:$B$225,$B121,$F$2:$F$225,"Non Conf")))</f>
        <v>2</v>
      </c>
      <c r="W121" s="172" t="str">
        <f ca="1">IF($D121&gt;Standings!$Q$27,"",$V121&amp;"-"&amp;COUNTIF(OFFSET($F121,(-$D121+1),0,1,1):$F121,"Non Conf")-$V121)</f>
        <v>2-2</v>
      </c>
      <c r="X121" s="172">
        <f ca="1">IF($D121&gt;Standings!$Q$27,"",SUMIFS($U$2:$U$225,$D$2:$D$225,"&lt;="&amp;$D121,$B$2:$B$225,$B121,$F$2:$F$225,"Conf"))</f>
        <v>2</v>
      </c>
      <c r="Y121" s="172" t="str">
        <f ca="1">IF($D121&gt;Standings!$Q$27,"",$X121&amp;"-"&amp;COUNTIF(OFFSET($F121,(-$D121+1),0,1,1):$F121,"Conf")-$X121)</f>
        <v>2-2</v>
      </c>
      <c r="Z121" s="172">
        <f ca="1">IF($D121&gt;Standings!$Q$27,"",SUM(OFFSET(U121,(-$D121+1),0,1,1):U121))</f>
        <v>4</v>
      </c>
      <c r="AA121" s="172">
        <f ca="1">IF($D121&gt;Standings!$Q$27,"",IF(U121=1,1+AA120,0))</f>
        <v>0</v>
      </c>
      <c r="AB121" s="267">
        <f ca="1">IF($D121&gt;Standings!$Q$27,"",IF(AA121=0,1+AB120,0))</f>
        <v>3</v>
      </c>
      <c r="AC121" s="251">
        <f ca="1">IF($D121&gt;Standings!$Q$27,"",SUM(OFFSET(J121,(-$D121+1),0,1,1):J121))</f>
        <v>938.69</v>
      </c>
      <c r="AD121" s="248">
        <f ca="1">IF($D121&gt;Standings!$Q$27,"",SUM(OFFSET(K121,(-$D121+1),0,1,1):K121))</f>
        <v>946.48</v>
      </c>
      <c r="AE121" s="248">
        <f ca="1">IF($D121&gt;Standings!$Q$27,"",$J121-$K121)</f>
        <v>-47.210000000000008</v>
      </c>
      <c r="AF121" s="248">
        <f ca="1">IF($D121&gt;Standings!$Q$27,"",AC121-AD121)</f>
        <v>-7.7899999999999636</v>
      </c>
      <c r="AG121" s="252">
        <f ca="1">IF($D121&gt;Standings!$Q$27,"",(COUNTIFS($D$2:$D$225,$D121,$C$2:$C$225,$C121,$AC$2:$AC$225,"&lt;"&amp;$AC121)+1)*0.01)</f>
        <v>0.08</v>
      </c>
      <c r="AH121" s="252">
        <f ca="1">IF($D121&gt;Standings!$Q$27,"",Z121+AG121)</f>
        <v>4.08</v>
      </c>
      <c r="AI121" s="252"/>
      <c r="AJ121" s="172">
        <f t="array" aca="1" ref="AJ121" ca="1">IF($D121&gt;Standings!$Q$27,"",(COUNTIFS($D$2:$D$225,$D121,$C$2:$C$225,$C121,$AM$2:$AM$225,"&gt;"&amp;$AM121)+1))</f>
        <v>2</v>
      </c>
      <c r="AK121" s="172">
        <f t="array" aca="1" ref="AK121" ca="1">IF($D121&gt;Standings!$Q$27,"",IF((COUNTIFS($D$2:$D$225,$D121,$C$2:$C$225,$C121,$AH$2:$AH$225,"&gt;"&amp;$AH121)+1)=2,1,0))</f>
        <v>1</v>
      </c>
      <c r="AL121" s="172">
        <f t="array" aca="1" ref="AL121" ca="1">IF($D121&gt;Standings!$Q$27,"",IF((COUNTIFS($D$2:$D$225,$D121,$C$2:$C$225,$C121,$AH$2:$AH$225,"&gt;"&amp;$AH121)+1)&lt;2,1,0))</f>
        <v>0</v>
      </c>
      <c r="AM121" s="172">
        <f ca="1">IF($D121&gt;Standings!$Q$27,"",IF(AL121=1,200+Z121+(16-AQ121)*0.01+AI121,IF(AK121=1,100+Z121+(16-AQ121)*0.01+AI121,IF(AN121=1,50+Z121+(16-AQ121)*0.01,IF(AO121=1,15+Z121+(16-AQ121)*0.01,Z121+(16-AQ121)*0.01+AI121)))))</f>
        <v>104.14</v>
      </c>
      <c r="AN121" s="172" t="str">
        <f ca="1">IF($D121&gt;Standings!$Q$27,"",IF(OR($AK121=1,$AL121=1),"Conf Playoff Spot",COUNTIFS($AL$2:$AL$225,0,$AK$2:$AK$225,0,$C$2:$C$225,$C121,$D$2:$D$225,$D121,$AC$2:$AC$225,"&gt;"&amp;$AC121)+1))</f>
        <v>Conf Playoff Spot</v>
      </c>
      <c r="AO121" s="172" t="str">
        <f t="array" aca="1" ref="AO121" ca="1">IF($D121&gt;Standings!$Q$27,"",IF(OR($AK121=1,$AL121=1),"Conf Playoff Spot",COUNTIFS($AK$2:$AK$225,0,$AL$2:$AL$225,0,$D$2:$D$225,$D121,$AH$2:$AH$225,"&gt;"&amp;$AH121)+1))</f>
        <v>Conf Playoff Spot</v>
      </c>
      <c r="AP121" s="172">
        <f t="array" aca="1" ref="AP121" ca="1">IF($D121&gt;Standings!$Q$27,"",(COUNTIFS($D$2:$D$225,$D121,$J$2:$J$225,"&gt;"&amp;$J121)+1))</f>
        <v>10</v>
      </c>
      <c r="AQ121" s="172">
        <f ca="1">IF($D121&gt;Standings!$Q$27,"",(COUNTIFS($D$2:$D$225,$D121,$AC$2:$AC$225,"&gt;"&amp;$AC121)+1))</f>
        <v>2</v>
      </c>
      <c r="AR121" s="172">
        <f ca="1">IF($D121&gt;Standings!$Q$27,"",(COUNTIFS($D$2:$D$225,$D121,$K$2:$K$225,"&gt;"&amp;$K121)+1))</f>
        <v>2</v>
      </c>
      <c r="AS121" s="172">
        <f ca="1">IF($D121&gt;Standings!$Q$27,"",(COUNTIFS($D$2:$D$225,$D121,$AD$2:$AD$225,"&gt;"&amp;$AD121)+1))</f>
        <v>1</v>
      </c>
      <c r="AT121" s="354">
        <f ca="1">IF($D121&gt;Standings!$Q$27,"",SUMIFS($J$2:$J$225,$D$2:$D$225,$D121,$C$2:$C$225,$C121))</f>
        <v>755.84</v>
      </c>
      <c r="AU121" s="253">
        <f ca="1">IF($D121&gt;Standings!$Q$27,"",SUMIFS($AC$2:$AC$225,$D$2:$D$225,$D121,$C$2:$C$225,$C121))</f>
        <v>6564.1799999999994</v>
      </c>
    </row>
    <row r="122" spans="1:47">
      <c r="A122" s="190">
        <f t="shared" si="1"/>
        <v>136</v>
      </c>
      <c r="B122" s="5" t="str">
        <f>'ESPN Data'!$L$12</f>
        <v>Team 9</v>
      </c>
      <c r="C122" s="350" t="str">
        <f>VLOOKUP(B122,'ESPN Data'!$L$4:$M$19,2,FALSE)</f>
        <v>Wardo</v>
      </c>
      <c r="D122" s="400">
        <v>9</v>
      </c>
      <c r="E122" s="267" t="str">
        <f t="array" ref="E122">INDEX('ESPN Data'!$C$3:$C$226,MATCH(1,('ESPN Data'!$A$3:$A$226='Point Data'!$D122)*('ESPN Data'!$B$3:$B$226='Point Data'!$B122),0))</f>
        <v>Team 13</v>
      </c>
      <c r="F122" s="250" t="str">
        <f>IF(C122&lt;&gt;VLOOKUP($E122,'ESPN Data'!$L$4:$M$19,2,FALSE),"Non Conf", "Conf")</f>
        <v>Conf</v>
      </c>
      <c r="G122" s="246">
        <f t="array" aca="1" ref="G122" ca="1">IF('Point Data'!$D122&gt;Standings!$Q$27,"",(COUNTIFS($D$2:$D$225,$D122,$AM$2:$AM$225,"&gt;"&amp;$AM122)+1))</f>
        <v>4</v>
      </c>
      <c r="H122" s="172">
        <f ca="1">IF('Point Data'!$D122&gt;Standings!$Q$27,"",$G121)</f>
        <v>4</v>
      </c>
      <c r="I122" s="249">
        <f ca="1">IF('Point Data'!D122&gt;Standings!$Q$27,"",H122-G122)</f>
        <v>0</v>
      </c>
      <c r="J122" s="172">
        <f ca="1">IF('Point Data'!D122&gt;Standings!$Q$27,"",OFFSET('ESPN Data'!D$3,$A122,0,1,1))</f>
        <v>117.03</v>
      </c>
      <c r="K122" s="248">
        <f ca="1">IF('Point Data'!D122&gt;Standings!$Q$27,"",OFFSET('ESPN Data'!E$3,$A122,0,1,1))</f>
        <v>90.79</v>
      </c>
      <c r="L122" s="249">
        <f ca="1">IF('Point Data'!D122&gt;Standings!$Q$27,"",OFFSET('ESPN Data'!I$3,$A122,0,1,1))</f>
        <v>53</v>
      </c>
      <c r="M122" s="249">
        <f ca="1">IF('Point Data'!D122&gt;Standings!$Q$27,"",OFFSET('ESPN Data'!I$3,$A122,-2,1,1))</f>
        <v>0</v>
      </c>
      <c r="N122" s="249">
        <f ca="1">IF('Point Data'!D122&gt;Standings!$Q$27,"",SUMIFS($M$2:$M$225,$D$2:$D$225,D122,$C$2:$C$225,C122))</f>
        <v>28</v>
      </c>
      <c r="O122" s="249">
        <f ca="1">IF('Point Data'!D122&gt;Standings!$Q$27,"",SUMIFS($L$2:$L$225,$D$2:$D$225,$D122,$C$2:$C$225,$C122))</f>
        <v>240</v>
      </c>
      <c r="P122" s="249">
        <f ca="1">IF('Point Data'!D122&gt;Standings!$Q$27,"",SUMIFS($M$2:$M$225,$D$2:$D$225,D122))</f>
        <v>63</v>
      </c>
      <c r="Q122" s="249">
        <f ca="1">IF('Point Data'!D122&gt;Standings!$Q$27,"",SUMIFS($L$2:$L$225,$D$2:$D$225,D122))</f>
        <v>545</v>
      </c>
      <c r="R122" s="249">
        <f ca="1">IF($D122&gt;Standings!$Q$27,"",IF(U122="T",(Z122+0.5)/(D122)*100,(Z122/D122)*100))</f>
        <v>55.555555555555557</v>
      </c>
      <c r="S122" s="248">
        <f ca="1">IF($D122&gt;Standings!$Q$27,"",$J122-$K122)</f>
        <v>26.239999999999995</v>
      </c>
      <c r="T122" s="248">
        <f ca="1">IF($D122&gt;Standings!$Q$27,"",AVERAGE(OFFSET(S122,(-$D122+1),0,1,1):S122))</f>
        <v>2.0499999999999954</v>
      </c>
      <c r="U122" s="172">
        <f ca="1">IF($D122&gt;Standings!$Q$27,"",IF(J122&gt;K122,1,IF(J122=K122,"T",0)))</f>
        <v>1</v>
      </c>
      <c r="V122" s="172">
        <f ca="1">IF($D122&gt;Standings!$Q$27,"",IF(F122="Conf",V121,SUMIFS($U$2:$U$225,$D$2:$D$225,"&lt;="&amp;$D122,$B$2:$B$225,$B122,$F$2:$F$225,"Non Conf")))</f>
        <v>2</v>
      </c>
      <c r="W122" s="172" t="str">
        <f ca="1">IF($D122&gt;Standings!$Q$27,"",$V122&amp;"-"&amp;COUNTIF(OFFSET($F122,(-$D122+1),0,1,1):$F122,"Non Conf")-$V122)</f>
        <v>2-2</v>
      </c>
      <c r="X122" s="172">
        <f ca="1">IF($D122&gt;Standings!$Q$27,"",SUMIFS($U$2:$U$225,$D$2:$D$225,"&lt;="&amp;$D122,$B$2:$B$225,$B122,$F$2:$F$225,"Conf"))</f>
        <v>3</v>
      </c>
      <c r="Y122" s="172" t="str">
        <f ca="1">IF($D122&gt;Standings!$Q$27,"",$X122&amp;"-"&amp;COUNTIF(OFFSET($F122,(-$D122+1),0,1,1):$F122,"Conf")-$X122)</f>
        <v>3-2</v>
      </c>
      <c r="Z122" s="172">
        <f ca="1">IF($D122&gt;Standings!$Q$27,"",SUM(OFFSET(U122,(-$D122+1),0,1,1):U122))</f>
        <v>5</v>
      </c>
      <c r="AA122" s="172">
        <f ca="1">IF($D122&gt;Standings!$Q$27,"",IF(U122=1,1+AA121,0))</f>
        <v>1</v>
      </c>
      <c r="AB122" s="267">
        <f ca="1">IF($D122&gt;Standings!$Q$27,"",IF(AA122=0,1+AB121,0))</f>
        <v>0</v>
      </c>
      <c r="AC122" s="251">
        <f ca="1">IF($D122&gt;Standings!$Q$27,"",SUM(OFFSET(J122,(-$D122+1),0,1,1):J122))</f>
        <v>1055.72</v>
      </c>
      <c r="AD122" s="248">
        <f ca="1">IF($D122&gt;Standings!$Q$27,"",SUM(OFFSET(K122,(-$D122+1),0,1,1):K122))</f>
        <v>1037.27</v>
      </c>
      <c r="AE122" s="248">
        <f ca="1">IF($D122&gt;Standings!$Q$27,"",$J122-$K122)</f>
        <v>26.239999999999995</v>
      </c>
      <c r="AF122" s="248">
        <f ca="1">IF($D122&gt;Standings!$Q$27,"",AC122-AD122)</f>
        <v>18.450000000000045</v>
      </c>
      <c r="AG122" s="252">
        <f ca="1">IF($D122&gt;Standings!$Q$27,"",(COUNTIFS($D$2:$D$225,$D122,$C$2:$C$225,$C122,$AC$2:$AC$225,"&lt;"&amp;$AC122)+1)*0.01)</f>
        <v>0.08</v>
      </c>
      <c r="AH122" s="252">
        <f ca="1">IF($D122&gt;Standings!$Q$27,"",Z122+AG122)</f>
        <v>5.08</v>
      </c>
      <c r="AI122" s="252"/>
      <c r="AJ122" s="172">
        <f t="array" aca="1" ref="AJ122" ca="1">IF($D122&gt;Standings!$Q$27,"",(COUNTIFS($D$2:$D$225,$D122,$C$2:$C$225,$C122,$AM$2:$AM$225,"&gt;"&amp;$AM122)+1))</f>
        <v>2</v>
      </c>
      <c r="AK122" s="172">
        <f t="array" aca="1" ref="AK122" ca="1">IF($D122&gt;Standings!$Q$27,"",IF((COUNTIFS($D$2:$D$225,$D122,$C$2:$C$225,$C122,$AH$2:$AH$225,"&gt;"&amp;$AH122)+1)=2,1,0))</f>
        <v>1</v>
      </c>
      <c r="AL122" s="172">
        <f t="array" aca="1" ref="AL122" ca="1">IF($D122&gt;Standings!$Q$27,"",IF((COUNTIFS($D$2:$D$225,$D122,$C$2:$C$225,$C122,$AH$2:$AH$225,"&gt;"&amp;$AH122)+1)&lt;2,1,0))</f>
        <v>0</v>
      </c>
      <c r="AM122" s="172">
        <f ca="1">IF($D122&gt;Standings!$Q$27,"",IF(AL122=1,200+Z122+(16-AQ122)*0.01+AI122,IF(AK122=1,100+Z122+(16-AQ122)*0.01+AI122,IF(AN122=1,50+Z122+(16-AQ122)*0.01,IF(AO122=1,15+Z122+(16-AQ122)*0.01,Z122+(16-AQ122)*0.01+AI122)))))</f>
        <v>105.14</v>
      </c>
      <c r="AN122" s="172" t="str">
        <f ca="1">IF($D122&gt;Standings!$Q$27,"",IF(OR($AK122=1,$AL122=1),"Conf Playoff Spot",COUNTIFS($AL$2:$AL$225,0,$AK$2:$AK$225,0,$C$2:$C$225,$C122,$D$2:$D$225,$D122,$AC$2:$AC$225,"&gt;"&amp;$AC122)+1))</f>
        <v>Conf Playoff Spot</v>
      </c>
      <c r="AO122" s="172" t="str">
        <f t="array" aca="1" ref="AO122" ca="1">IF($D122&gt;Standings!$Q$27,"",IF(OR($AK122=1,$AL122=1),"Conf Playoff Spot",COUNTIFS($AK$2:$AK$225,0,$AL$2:$AL$225,0,$D$2:$D$225,$D122,$AH$2:$AH$225,"&gt;"&amp;$AH122)+1))</f>
        <v>Conf Playoff Spot</v>
      </c>
      <c r="AP122" s="172">
        <f t="array" aca="1" ref="AP122" ca="1">IF($D122&gt;Standings!$Q$27,"",(COUNTIFS($D$2:$D$225,$D122,$J$2:$J$225,"&gt;"&amp;$J122)+1))</f>
        <v>5</v>
      </c>
      <c r="AQ122" s="172">
        <f ca="1">IF($D122&gt;Standings!$Q$27,"",(COUNTIFS($D$2:$D$225,$D122,$AC$2:$AC$225,"&gt;"&amp;$AC122)+1))</f>
        <v>2</v>
      </c>
      <c r="AR122" s="172">
        <f ca="1">IF($D122&gt;Standings!$Q$27,"",(COUNTIFS($D$2:$D$225,$D122,$K$2:$K$225,"&gt;"&amp;$K122)+1))</f>
        <v>8</v>
      </c>
      <c r="AS122" s="172">
        <f ca="1">IF($D122&gt;Standings!$Q$27,"",(COUNTIFS($D$2:$D$225,$D122,$AD$2:$AD$225,"&gt;"&amp;$AD122)+1))</f>
        <v>1</v>
      </c>
      <c r="AT122" s="354">
        <f ca="1">IF($D122&gt;Standings!$Q$27,"",SUMIFS($J$2:$J$225,$D$2:$D$225,$D122,$C$2:$C$225,$C122))</f>
        <v>813.24</v>
      </c>
      <c r="AU122" s="253">
        <f ca="1">IF($D122&gt;Standings!$Q$27,"",SUMIFS($AC$2:$AC$225,$D$2:$D$225,$D122,$C$2:$C$225,$C122))</f>
        <v>7377.42</v>
      </c>
    </row>
    <row r="123" spans="1:47">
      <c r="A123" s="190">
        <f t="shared" si="1"/>
        <v>152</v>
      </c>
      <c r="B123" s="5" t="str">
        <f>'ESPN Data'!$L$12</f>
        <v>Team 9</v>
      </c>
      <c r="C123" s="350" t="str">
        <f>VLOOKUP(B123,'ESPN Data'!$L$4:$M$19,2,FALSE)</f>
        <v>Wardo</v>
      </c>
      <c r="D123" s="400">
        <v>10</v>
      </c>
      <c r="E123" s="267" t="str">
        <f t="array" ref="E123">INDEX('ESPN Data'!$C$3:$C$226,MATCH(1,('ESPN Data'!$A$3:$A$226='Point Data'!$D123)*('ESPN Data'!$B$3:$B$226='Point Data'!$B123),0))</f>
        <v>Team 1</v>
      </c>
      <c r="F123" s="250" t="str">
        <f>IF(C123&lt;&gt;VLOOKUP($E123,'ESPN Data'!$L$4:$M$19,2,FALSE),"Non Conf", "Conf")</f>
        <v>Non Conf</v>
      </c>
      <c r="G123" s="246">
        <f t="array" aca="1" ref="G123" ca="1">IF('Point Data'!$D123&gt;Standings!$Q$27,"",(COUNTIFS($D$2:$D$225,$D123,$AM$2:$AM$225,"&gt;"&amp;$AM123)+1))</f>
        <v>2</v>
      </c>
      <c r="H123" s="172">
        <f ca="1">IF('Point Data'!$D123&gt;Standings!$Q$27,"",$G122)</f>
        <v>4</v>
      </c>
      <c r="I123" s="249">
        <f ca="1">IF('Point Data'!D123&gt;Standings!$Q$27,"",H123-G123)</f>
        <v>2</v>
      </c>
      <c r="J123" s="172">
        <f ca="1">IF('Point Data'!D123&gt;Standings!$Q$27,"",OFFSET('ESPN Data'!D$3,$A123,0,1,1))</f>
        <v>124.62</v>
      </c>
      <c r="K123" s="248">
        <f ca="1">IF('Point Data'!D123&gt;Standings!$Q$27,"",OFFSET('ESPN Data'!E$3,$A123,0,1,1))</f>
        <v>73.91</v>
      </c>
      <c r="L123" s="249">
        <f ca="1">IF('Point Data'!D123&gt;Standings!$Q$27,"",OFFSET('ESPN Data'!I$3,$A123,0,1,1))</f>
        <v>53</v>
      </c>
      <c r="M123" s="249">
        <f ca="1">IF('Point Data'!D123&gt;Standings!$Q$27,"",OFFSET('ESPN Data'!I$3,$A123,-2,1,1))</f>
        <v>0</v>
      </c>
      <c r="N123" s="249">
        <f ca="1">IF('Point Data'!D123&gt;Standings!$Q$27,"",SUMIFS($M$2:$M$225,$D$2:$D$225,D123,$C$2:$C$225,C123))</f>
        <v>13</v>
      </c>
      <c r="O123" s="249">
        <f ca="1">IF('Point Data'!D123&gt;Standings!$Q$27,"",SUMIFS($L$2:$L$225,$D$2:$D$225,$D123,$C$2:$C$225,$C123))</f>
        <v>227</v>
      </c>
      <c r="P123" s="249">
        <f ca="1">IF('Point Data'!D123&gt;Standings!$Q$27,"",SUMIFS($M$2:$M$225,$D$2:$D$225,D123))</f>
        <v>32</v>
      </c>
      <c r="Q123" s="249">
        <f ca="1">IF('Point Data'!D123&gt;Standings!$Q$27,"",SUMIFS($L$2:$L$225,$D$2:$D$225,D123))</f>
        <v>513</v>
      </c>
      <c r="R123" s="249">
        <f ca="1">IF($D123&gt;Standings!$Q$27,"",IF(U123="T",(Z123+0.5)/(D123)*100,(Z123/D123)*100))</f>
        <v>60</v>
      </c>
      <c r="S123" s="248">
        <f ca="1">IF($D123&gt;Standings!$Q$27,"",$J123-$K123)</f>
        <v>50.710000000000008</v>
      </c>
      <c r="T123" s="248">
        <f ca="1">IF($D123&gt;Standings!$Q$27,"",AVERAGE(OFFSET(S123,(-$D123+1),0,1,1):S123))</f>
        <v>6.9159999999999968</v>
      </c>
      <c r="U123" s="172">
        <f ca="1">IF($D123&gt;Standings!$Q$27,"",IF(J123&gt;K123,1,IF(J123=K123,"T",0)))</f>
        <v>1</v>
      </c>
      <c r="V123" s="172">
        <f ca="1">IF($D123&gt;Standings!$Q$27,"",IF(F123="Conf",V122,SUMIFS($U$2:$U$225,$D$2:$D$225,"&lt;="&amp;$D123,$B$2:$B$225,$B123,$F$2:$F$225,"Non Conf")))</f>
        <v>3</v>
      </c>
      <c r="W123" s="172" t="str">
        <f ca="1">IF($D123&gt;Standings!$Q$27,"",$V123&amp;"-"&amp;COUNTIF(OFFSET($F123,(-$D123+1),0,1,1):$F123,"Non Conf")-$V123)</f>
        <v>3-2</v>
      </c>
      <c r="X123" s="172">
        <f ca="1">IF($D123&gt;Standings!$Q$27,"",SUMIFS($U$2:$U$225,$D$2:$D$225,"&lt;="&amp;$D123,$B$2:$B$225,$B123,$F$2:$F$225,"Conf"))</f>
        <v>3</v>
      </c>
      <c r="Y123" s="172" t="str">
        <f ca="1">IF($D123&gt;Standings!$Q$27,"",$X123&amp;"-"&amp;COUNTIF(OFFSET($F123,(-$D123+1),0,1,1):$F123,"Conf")-$X123)</f>
        <v>3-2</v>
      </c>
      <c r="Z123" s="172">
        <f ca="1">IF($D123&gt;Standings!$Q$27,"",SUM(OFFSET(U123,(-$D123+1),0,1,1):U123))</f>
        <v>6</v>
      </c>
      <c r="AA123" s="172">
        <f ca="1">IF($D123&gt;Standings!$Q$27,"",IF(U123=1,1+AA122,0))</f>
        <v>2</v>
      </c>
      <c r="AB123" s="267">
        <f ca="1">IF($D123&gt;Standings!$Q$27,"",IF(AA123=0,1+AB122,0))</f>
        <v>0</v>
      </c>
      <c r="AC123" s="251">
        <f ca="1">IF($D123&gt;Standings!$Q$27,"",SUM(OFFSET(J123,(-$D123+1),0,1,1):J123))</f>
        <v>1180.3400000000001</v>
      </c>
      <c r="AD123" s="248">
        <f ca="1">IF($D123&gt;Standings!$Q$27,"",SUM(OFFSET(K123,(-$D123+1),0,1,1):K123))</f>
        <v>1111.18</v>
      </c>
      <c r="AE123" s="248">
        <f ca="1">IF($D123&gt;Standings!$Q$27,"",$J123-$K123)</f>
        <v>50.710000000000008</v>
      </c>
      <c r="AF123" s="248">
        <f ca="1">IF($D123&gt;Standings!$Q$27,"",AC123-AD123)</f>
        <v>69.160000000000082</v>
      </c>
      <c r="AG123" s="252">
        <f ca="1">IF($D123&gt;Standings!$Q$27,"",(COUNTIFS($D$2:$D$225,$D123,$C$2:$C$225,$C123,$AC$2:$AC$225,"&lt;"&amp;$AC123)+1)*0.01)</f>
        <v>0.08</v>
      </c>
      <c r="AH123" s="252">
        <f ca="1">IF($D123&gt;Standings!$Q$27,"",Z123+AG123)</f>
        <v>6.08</v>
      </c>
      <c r="AI123" s="252"/>
      <c r="AJ123" s="172">
        <f t="array" aca="1" ref="AJ123" ca="1">IF($D123&gt;Standings!$Q$27,"",(COUNTIFS($D$2:$D$225,$D123,$C$2:$C$225,$C123,$AM$2:$AM$225,"&gt;"&amp;$AM123)+1))</f>
        <v>1</v>
      </c>
      <c r="AK123" s="172">
        <f t="array" aca="1" ref="AK123" ca="1">IF($D123&gt;Standings!$Q$27,"",IF((COUNTIFS($D$2:$D$225,$D123,$C$2:$C$225,$C123,$AH$2:$AH$225,"&gt;"&amp;$AH123)+1)=2,1,0))</f>
        <v>0</v>
      </c>
      <c r="AL123" s="172">
        <f t="array" aca="1" ref="AL123" ca="1">IF($D123&gt;Standings!$Q$27,"",IF((COUNTIFS($D$2:$D$225,$D123,$C$2:$C$225,$C123,$AH$2:$AH$225,"&gt;"&amp;$AH123)+1)&lt;2,1,0))</f>
        <v>1</v>
      </c>
      <c r="AM123" s="172">
        <f ca="1">IF($D123&gt;Standings!$Q$27,"",IF(AL123=1,200+Z123+(16-AQ123)*0.01+AI123,IF(AK123=1,100+Z123+(16-AQ123)*0.01+AI123,IF(AN123=1,50+Z123+(16-AQ123)*0.01,IF(AO123=1,15+Z123+(16-AQ123)*0.01,Z123+(16-AQ123)*0.01+AI123)))))</f>
        <v>206.14</v>
      </c>
      <c r="AN123" s="172" t="str">
        <f ca="1">IF($D123&gt;Standings!$Q$27,"",IF(OR($AK123=1,$AL123=1),"Conf Playoff Spot",COUNTIFS($AL$2:$AL$225,0,$AK$2:$AK$225,0,$C$2:$C$225,$C123,$D$2:$D$225,$D123,$AC$2:$AC$225,"&gt;"&amp;$AC123)+1))</f>
        <v>Conf Playoff Spot</v>
      </c>
      <c r="AO123" s="172" t="str">
        <f t="array" aca="1" ref="AO123" ca="1">IF($D123&gt;Standings!$Q$27,"",IF(OR($AK123=1,$AL123=1),"Conf Playoff Spot",COUNTIFS($AK$2:$AK$225,0,$AL$2:$AL$225,0,$D$2:$D$225,$D123,$AH$2:$AH$225,"&gt;"&amp;$AH123)+1))</f>
        <v>Conf Playoff Spot</v>
      </c>
      <c r="AP123" s="172">
        <f t="array" aca="1" ref="AP123" ca="1">IF($D123&gt;Standings!$Q$27,"",(COUNTIFS($D$2:$D$225,$D123,$J$2:$J$225,"&gt;"&amp;$J123)+1))</f>
        <v>3</v>
      </c>
      <c r="AQ123" s="172">
        <f ca="1">IF($D123&gt;Standings!$Q$27,"",(COUNTIFS($D$2:$D$225,$D123,$AC$2:$AC$225,"&gt;"&amp;$AC123)+1))</f>
        <v>2</v>
      </c>
      <c r="AR123" s="172">
        <f ca="1">IF($D123&gt;Standings!$Q$27,"",(COUNTIFS($D$2:$D$225,$D123,$K$2:$K$225,"&gt;"&amp;$K123)+1))</f>
        <v>13</v>
      </c>
      <c r="AS123" s="172">
        <f ca="1">IF($D123&gt;Standings!$Q$27,"",(COUNTIFS($D$2:$D$225,$D123,$AD$2:$AD$225,"&gt;"&amp;$AD123)+1))</f>
        <v>2</v>
      </c>
      <c r="AT123" s="354">
        <f ca="1">IF($D123&gt;Standings!$Q$27,"",SUMIFS($J$2:$J$225,$D$2:$D$225,$D123,$C$2:$C$225,$C123))</f>
        <v>737.32999999999993</v>
      </c>
      <c r="AU123" s="253">
        <f ca="1">IF($D123&gt;Standings!$Q$27,"",SUMIFS($AC$2:$AC$225,$D$2:$D$225,$D123,$C$2:$C$225,$C123))</f>
        <v>8114.7500000000009</v>
      </c>
    </row>
    <row r="124" spans="1:47">
      <c r="A124" s="190">
        <f t="shared" si="1"/>
        <v>168</v>
      </c>
      <c r="B124" s="5" t="str">
        <f>'ESPN Data'!$L$12</f>
        <v>Team 9</v>
      </c>
      <c r="C124" s="350" t="str">
        <f>VLOOKUP(B124,'ESPN Data'!$L$4:$M$19,2,FALSE)</f>
        <v>Wardo</v>
      </c>
      <c r="D124" s="400">
        <v>11</v>
      </c>
      <c r="E124" s="267" t="str">
        <f t="array" ref="E124">INDEX('ESPN Data'!$C$3:$C$226,MATCH(1,('ESPN Data'!$A$3:$A$226='Point Data'!$D124)*('ESPN Data'!$B$3:$B$226='Point Data'!$B124),0))</f>
        <v>Team 3</v>
      </c>
      <c r="F124" s="250" t="str">
        <f>IF(C124&lt;&gt;VLOOKUP($E124,'ESPN Data'!$L$4:$M$19,2,FALSE),"Non Conf", "Conf")</f>
        <v>Non Conf</v>
      </c>
      <c r="G124" s="246">
        <f t="array" aca="1" ref="G124" ca="1">IF('Point Data'!$D124&gt;Standings!$Q$27,"",(COUNTIFS($D$2:$D$225,$D124,$AM$2:$AM$225,"&gt;"&amp;$AM124)+1))</f>
        <v>2</v>
      </c>
      <c r="H124" s="172">
        <f ca="1">IF('Point Data'!$D124&gt;Standings!$Q$27,"",$G123)</f>
        <v>2</v>
      </c>
      <c r="I124" s="249">
        <f ca="1">IF('Point Data'!D124&gt;Standings!$Q$27,"",H124-G124)</f>
        <v>0</v>
      </c>
      <c r="J124" s="172">
        <f ca="1">IF('Point Data'!D124&gt;Standings!$Q$27,"",OFFSET('ESPN Data'!D$3,$A124,0,1,1))</f>
        <v>129.88</v>
      </c>
      <c r="K124" s="248">
        <f ca="1">IF('Point Data'!D124&gt;Standings!$Q$27,"",OFFSET('ESPN Data'!E$3,$A124,0,1,1))</f>
        <v>112.3</v>
      </c>
      <c r="L124" s="249">
        <f ca="1">IF('Point Data'!D124&gt;Standings!$Q$27,"",OFFSET('ESPN Data'!I$3,$A124,0,1,1))</f>
        <v>48</v>
      </c>
      <c r="M124" s="249">
        <f ca="1">IF('Point Data'!D124&gt;Standings!$Q$27,"",OFFSET('ESPN Data'!I$3,$A124,-2,1,1))</f>
        <v>5</v>
      </c>
      <c r="N124" s="249">
        <f ca="1">IF('Point Data'!D124&gt;Standings!$Q$27,"",SUMIFS($M$2:$M$225,$D$2:$D$225,D124,$C$2:$C$225,C124))</f>
        <v>10</v>
      </c>
      <c r="O124" s="249">
        <f ca="1">IF('Point Data'!D124&gt;Standings!$Q$27,"",SUMIFS($L$2:$L$225,$D$2:$D$225,$D124,$C$2:$C$225,$C124))</f>
        <v>217</v>
      </c>
      <c r="P124" s="249">
        <f ca="1">IF('Point Data'!D124&gt;Standings!$Q$27,"",SUMIFS($M$2:$M$225,$D$2:$D$225,D124))</f>
        <v>61</v>
      </c>
      <c r="Q124" s="249">
        <f ca="1">IF('Point Data'!D124&gt;Standings!$Q$27,"",SUMIFS($L$2:$L$225,$D$2:$D$225,D124))</f>
        <v>452</v>
      </c>
      <c r="R124" s="249">
        <f ca="1">IF($D124&gt;Standings!$Q$27,"",IF(U124="T",(Z124+0.5)/(D124)*100,(Z124/D124)*100))</f>
        <v>63.636363636363633</v>
      </c>
      <c r="S124" s="248">
        <f ca="1">IF($D124&gt;Standings!$Q$27,"",$J124-$K124)</f>
        <v>17.579999999999998</v>
      </c>
      <c r="T124" s="248">
        <f ca="1">IF($D124&gt;Standings!$Q$27,"",AVERAGE(OFFSET(S124,(-$D124+1),0,1,1):S124))</f>
        <v>7.8854545454545422</v>
      </c>
      <c r="U124" s="172">
        <f ca="1">IF($D124&gt;Standings!$Q$27,"",IF(J124&gt;K124,1,IF(J124=K124,"T",0)))</f>
        <v>1</v>
      </c>
      <c r="V124" s="172">
        <f ca="1">IF($D124&gt;Standings!$Q$27,"",IF(F124="Conf",V123,SUMIFS($U$2:$U$225,$D$2:$D$225,"&lt;="&amp;$D124,$B$2:$B$225,$B124,$F$2:$F$225,"Non Conf")))</f>
        <v>4</v>
      </c>
      <c r="W124" s="172" t="str">
        <f ca="1">IF($D124&gt;Standings!$Q$27,"",$V124&amp;"-"&amp;COUNTIF(OFFSET($F124,(-$D124+1),0,1,1):$F124,"Non Conf")-$V124)</f>
        <v>4-2</v>
      </c>
      <c r="X124" s="172">
        <f ca="1">IF($D124&gt;Standings!$Q$27,"",SUMIFS($U$2:$U$225,$D$2:$D$225,"&lt;="&amp;$D124,$B$2:$B$225,$B124,$F$2:$F$225,"Conf"))</f>
        <v>3</v>
      </c>
      <c r="Y124" s="172" t="str">
        <f ca="1">IF($D124&gt;Standings!$Q$27,"",$X124&amp;"-"&amp;COUNTIF(OFFSET($F124,(-$D124+1),0,1,1):$F124,"Conf")-$X124)</f>
        <v>3-2</v>
      </c>
      <c r="Z124" s="172">
        <f ca="1">IF($D124&gt;Standings!$Q$27,"",SUM(OFFSET(U124,(-$D124+1),0,1,1):U124))</f>
        <v>7</v>
      </c>
      <c r="AA124" s="172">
        <f ca="1">IF($D124&gt;Standings!$Q$27,"",IF(U124=1,1+AA123,0))</f>
        <v>3</v>
      </c>
      <c r="AB124" s="267">
        <f ca="1">IF($D124&gt;Standings!$Q$27,"",IF(AA124=0,1+AB123,0))</f>
        <v>0</v>
      </c>
      <c r="AC124" s="251">
        <f ca="1">IF($D124&gt;Standings!$Q$27,"",SUM(OFFSET(J124,(-$D124+1),0,1,1):J124))</f>
        <v>1310.2200000000003</v>
      </c>
      <c r="AD124" s="248">
        <f ca="1">IF($D124&gt;Standings!$Q$27,"",SUM(OFFSET(K124,(-$D124+1),0,1,1):K124))</f>
        <v>1223.48</v>
      </c>
      <c r="AE124" s="248">
        <f ca="1">IF($D124&gt;Standings!$Q$27,"",$J124-$K124)</f>
        <v>17.579999999999998</v>
      </c>
      <c r="AF124" s="248">
        <f ca="1">IF($D124&gt;Standings!$Q$27,"",AC124-AD124)</f>
        <v>86.740000000000236</v>
      </c>
      <c r="AG124" s="252">
        <f ca="1">IF($D124&gt;Standings!$Q$27,"",(COUNTIFS($D$2:$D$225,$D124,$C$2:$C$225,$C124,$AC$2:$AC$225,"&lt;"&amp;$AC124)+1)*0.01)</f>
        <v>0.08</v>
      </c>
      <c r="AH124" s="252">
        <f ca="1">IF($D124&gt;Standings!$Q$27,"",Z124+AG124)</f>
        <v>7.08</v>
      </c>
      <c r="AI124" s="252"/>
      <c r="AJ124" s="172">
        <f t="array" aca="1" ref="AJ124" ca="1">IF($D124&gt;Standings!$Q$27,"",(COUNTIFS($D$2:$D$225,$D124,$C$2:$C$225,$C124,$AM$2:$AM$225,"&gt;"&amp;$AM124)+1))</f>
        <v>1</v>
      </c>
      <c r="AK124" s="172">
        <f t="array" aca="1" ref="AK124" ca="1">IF($D124&gt;Standings!$Q$27,"",IF((COUNTIFS($D$2:$D$225,$D124,$C$2:$C$225,$C124,$AH$2:$AH$225,"&gt;"&amp;$AH124)+1)=2,1,0))</f>
        <v>0</v>
      </c>
      <c r="AL124" s="172">
        <f t="array" aca="1" ref="AL124" ca="1">IF($D124&gt;Standings!$Q$27,"",IF((COUNTIFS($D$2:$D$225,$D124,$C$2:$C$225,$C124,$AH$2:$AH$225,"&gt;"&amp;$AH124)+1)&lt;2,1,0))</f>
        <v>1</v>
      </c>
      <c r="AM124" s="172">
        <f ca="1">IF($D124&gt;Standings!$Q$27,"",IF(AL124=1,200+Z124+(16-AQ124)*0.01+AI124,IF(AK124=1,100+Z124+(16-AQ124)*0.01+AI124,IF(AN124=1,50+Z124+(16-AQ124)*0.01,IF(AO124=1,15+Z124+(16-AQ124)*0.01,Z124+(16-AQ124)*0.01+AI124)))))</f>
        <v>207.14</v>
      </c>
      <c r="AN124" s="172" t="str">
        <f ca="1">IF($D124&gt;Standings!$Q$27,"",IF(OR($AK124=1,$AL124=1),"Conf Playoff Spot",COUNTIFS($AL$2:$AL$225,0,$AK$2:$AK$225,0,$C$2:$C$225,$C124,$D$2:$D$225,$D124,$AC$2:$AC$225,"&gt;"&amp;$AC124)+1))</f>
        <v>Conf Playoff Spot</v>
      </c>
      <c r="AO124" s="172" t="str">
        <f t="array" aca="1" ref="AO124" ca="1">IF($D124&gt;Standings!$Q$27,"",IF(OR($AK124=1,$AL124=1),"Conf Playoff Spot",COUNTIFS($AK$2:$AK$225,0,$AL$2:$AL$225,0,$D$2:$D$225,$D124,$AH$2:$AH$225,"&gt;"&amp;$AH124)+1))</f>
        <v>Conf Playoff Spot</v>
      </c>
      <c r="AP124" s="172">
        <f t="array" aca="1" ref="AP124" ca="1">IF($D124&gt;Standings!$Q$27,"",(COUNTIFS($D$2:$D$225,$D124,$J$2:$J$225,"&gt;"&amp;$J124)+1))</f>
        <v>1</v>
      </c>
      <c r="AQ124" s="172">
        <f ca="1">IF($D124&gt;Standings!$Q$27,"",(COUNTIFS($D$2:$D$225,$D124,$AC$2:$AC$225,"&gt;"&amp;$AC124)+1))</f>
        <v>2</v>
      </c>
      <c r="AR124" s="172">
        <f ca="1">IF($D124&gt;Standings!$Q$27,"",(COUNTIFS($D$2:$D$225,$D124,$K$2:$K$225,"&gt;"&amp;$K124)+1))</f>
        <v>6</v>
      </c>
      <c r="AS124" s="172">
        <f ca="1">IF($D124&gt;Standings!$Q$27,"",(COUNTIFS($D$2:$D$225,$D124,$AD$2:$AD$225,"&gt;"&amp;$AD124)+1))</f>
        <v>1</v>
      </c>
      <c r="AT124" s="354">
        <f ca="1">IF($D124&gt;Standings!$Q$27,"",SUMIFS($J$2:$J$225,$D$2:$D$225,$D124,$C$2:$C$225,$C124))</f>
        <v>790.16000000000008</v>
      </c>
      <c r="AU124" s="253">
        <f ca="1">IF($D124&gt;Standings!$Q$27,"",SUMIFS($AC$2:$AC$225,$D$2:$D$225,$D124,$C$2:$C$225,$C124))</f>
        <v>8904.91</v>
      </c>
    </row>
    <row r="125" spans="1:47">
      <c r="A125" s="190">
        <f t="shared" si="1"/>
        <v>184</v>
      </c>
      <c r="B125" s="5" t="str">
        <f>'ESPN Data'!$L$12</f>
        <v>Team 9</v>
      </c>
      <c r="C125" s="350" t="str">
        <f>VLOOKUP(B125,'ESPN Data'!$L$4:$M$19,2,FALSE)</f>
        <v>Wardo</v>
      </c>
      <c r="D125" s="400">
        <v>12</v>
      </c>
      <c r="E125" s="267" t="str">
        <f t="array" ref="E125">INDEX('ESPN Data'!$C$3:$C$226,MATCH(1,('ESPN Data'!$A$3:$A$226='Point Data'!$D125)*('ESPN Data'!$B$3:$B$226='Point Data'!$B125),0))</f>
        <v>Team 16</v>
      </c>
      <c r="F125" s="250" t="str">
        <f>IF(C125&lt;&gt;VLOOKUP($E125,'ESPN Data'!$L$4:$M$19,2,FALSE),"Non Conf", "Conf")</f>
        <v>Conf</v>
      </c>
      <c r="G125" s="246">
        <f t="array" aca="1" ref="G125" ca="1">IF('Point Data'!$D125&gt;Standings!$Q$27,"",(COUNTIFS($D$2:$D$225,$D125,$AM$2:$AM$225,"&gt;"&amp;$AM125)+1))</f>
        <v>2</v>
      </c>
      <c r="H125" s="172">
        <f ca="1">IF('Point Data'!$D125&gt;Standings!$Q$27,"",$G124)</f>
        <v>2</v>
      </c>
      <c r="I125" s="249">
        <f ca="1">IF('Point Data'!D125&gt;Standings!$Q$27,"",H125-G125)</f>
        <v>0</v>
      </c>
      <c r="J125" s="172">
        <f ca="1">IF('Point Data'!D125&gt;Standings!$Q$27,"",OFFSET('ESPN Data'!D$3,$A125,0,1,1))</f>
        <v>137.66</v>
      </c>
      <c r="K125" s="248">
        <f ca="1">IF('Point Data'!D125&gt;Standings!$Q$27,"",OFFSET('ESPN Data'!E$3,$A125,0,1,1))</f>
        <v>113.41</v>
      </c>
      <c r="L125" s="249">
        <f ca="1">IF('Point Data'!D125&gt;Standings!$Q$27,"",OFFSET('ESPN Data'!I$3,$A125,0,1,1))</f>
        <v>48</v>
      </c>
      <c r="M125" s="249">
        <f ca="1">IF('Point Data'!D125&gt;Standings!$Q$27,"",OFFSET('ESPN Data'!I$3,$A125,-2,1,1))</f>
        <v>0</v>
      </c>
      <c r="N125" s="249">
        <f ca="1">IF('Point Data'!D125&gt;Standings!$Q$27,"",SUMIFS($M$2:$M$225,$D$2:$D$225,D125,$C$2:$C$225,C125))</f>
        <v>35</v>
      </c>
      <c r="O125" s="249">
        <f ca="1">IF('Point Data'!D125&gt;Standings!$Q$27,"",SUMIFS($L$2:$L$225,$D$2:$D$225,$D125,$C$2:$C$225,$C125))</f>
        <v>182</v>
      </c>
      <c r="P125" s="249">
        <f ca="1">IF('Point Data'!D125&gt;Standings!$Q$27,"",SUMIFS($M$2:$M$225,$D$2:$D$225,D125))</f>
        <v>41</v>
      </c>
      <c r="Q125" s="249">
        <f ca="1">IF('Point Data'!D125&gt;Standings!$Q$27,"",SUMIFS($L$2:$L$225,$D$2:$D$225,D125))</f>
        <v>411</v>
      </c>
      <c r="R125" s="249">
        <f ca="1">IF($D125&gt;Standings!$Q$27,"",IF(U125="T",(Z125+0.5)/(D125)*100,(Z125/D125)*100))</f>
        <v>66.666666666666657</v>
      </c>
      <c r="S125" s="248">
        <f ca="1">IF($D125&gt;Standings!$Q$27,"",$J125-$K125)</f>
        <v>24.25</v>
      </c>
      <c r="T125" s="248">
        <f ca="1">IF($D125&gt;Standings!$Q$27,"",AVERAGE(OFFSET(S125,(-$D125+1),0,1,1):S125))</f>
        <v>9.2491666666666639</v>
      </c>
      <c r="U125" s="172">
        <f ca="1">IF($D125&gt;Standings!$Q$27,"",IF(J125&gt;K125,1,IF(J125=K125,"T",0)))</f>
        <v>1</v>
      </c>
      <c r="V125" s="172">
        <f ca="1">IF($D125&gt;Standings!$Q$27,"",IF(F125="Conf",V124,SUMIFS($U$2:$U$225,$D$2:$D$225,"&lt;="&amp;$D125,$B$2:$B$225,$B125,$F$2:$F$225,"Non Conf")))</f>
        <v>4</v>
      </c>
      <c r="W125" s="172" t="str">
        <f ca="1">IF($D125&gt;Standings!$Q$27,"",$V125&amp;"-"&amp;COUNTIF(OFFSET($F125,(-$D125+1),0,1,1):$F125,"Non Conf")-$V125)</f>
        <v>4-2</v>
      </c>
      <c r="X125" s="172">
        <f ca="1">IF($D125&gt;Standings!$Q$27,"",SUMIFS($U$2:$U$225,$D$2:$D$225,"&lt;="&amp;$D125,$B$2:$B$225,$B125,$F$2:$F$225,"Conf"))</f>
        <v>4</v>
      </c>
      <c r="Y125" s="172" t="str">
        <f ca="1">IF($D125&gt;Standings!$Q$27,"",$X125&amp;"-"&amp;COUNTIF(OFFSET($F125,(-$D125+1),0,1,1):$F125,"Conf")-$X125)</f>
        <v>4-2</v>
      </c>
      <c r="Z125" s="172">
        <f ca="1">IF($D125&gt;Standings!$Q$27,"",SUM(OFFSET(U125,(-$D125+1),0,1,1):U125))</f>
        <v>8</v>
      </c>
      <c r="AA125" s="172">
        <f ca="1">IF($D125&gt;Standings!$Q$27,"",IF(U125=1,1+AA124,0))</f>
        <v>4</v>
      </c>
      <c r="AB125" s="267">
        <f ca="1">IF($D125&gt;Standings!$Q$27,"",IF(AA125=0,1+AB124,0))</f>
        <v>0</v>
      </c>
      <c r="AC125" s="251">
        <f ca="1">IF($D125&gt;Standings!$Q$27,"",SUM(OFFSET(J125,(-$D125+1),0,1,1):J125))</f>
        <v>1447.8800000000003</v>
      </c>
      <c r="AD125" s="248">
        <f ca="1">IF($D125&gt;Standings!$Q$27,"",SUM(OFFSET(K125,(-$D125+1),0,1,1):K125))</f>
        <v>1336.89</v>
      </c>
      <c r="AE125" s="248">
        <f ca="1">IF($D125&gt;Standings!$Q$27,"",$J125-$K125)</f>
        <v>24.25</v>
      </c>
      <c r="AF125" s="248">
        <f ca="1">IF($D125&gt;Standings!$Q$27,"",AC125-AD125)</f>
        <v>110.99000000000024</v>
      </c>
      <c r="AG125" s="252">
        <f ca="1">IF($D125&gt;Standings!$Q$27,"",(COUNTIFS($D$2:$D$225,$D125,$C$2:$C$225,$C125,$AC$2:$AC$225,"&lt;"&amp;$AC125)+1)*0.01)</f>
        <v>0.08</v>
      </c>
      <c r="AH125" s="252">
        <f ca="1">IF($D125&gt;Standings!$Q$27,"",Z125+AG125)</f>
        <v>8.08</v>
      </c>
      <c r="AI125" s="252"/>
      <c r="AJ125" s="172">
        <f t="array" aca="1" ref="AJ125" ca="1">IF($D125&gt;Standings!$Q$27,"",(COUNTIFS($D$2:$D$225,$D125,$C$2:$C$225,$C125,$AM$2:$AM$225,"&gt;"&amp;$AM125)+1))</f>
        <v>1</v>
      </c>
      <c r="AK125" s="172">
        <f t="array" aca="1" ref="AK125" ca="1">IF($D125&gt;Standings!$Q$27,"",IF((COUNTIFS($D$2:$D$225,$D125,$C$2:$C$225,$C125,$AH$2:$AH$225,"&gt;"&amp;$AH125)+1)=2,1,0))</f>
        <v>0</v>
      </c>
      <c r="AL125" s="172">
        <f t="array" aca="1" ref="AL125" ca="1">IF($D125&gt;Standings!$Q$27,"",IF((COUNTIFS($D$2:$D$225,$D125,$C$2:$C$225,$C125,$AH$2:$AH$225,"&gt;"&amp;$AH125)+1)&lt;2,1,0))</f>
        <v>1</v>
      </c>
      <c r="AM125" s="172">
        <f ca="1">IF($D125&gt;Standings!$Q$27,"",IF(AL125=1,200+Z125+(16-AQ125)*0.01+AI125,IF(AK125=1,100+Z125+(16-AQ125)*0.01+AI125,IF(AN125=1,50+Z125+(16-AQ125)*0.01,IF(AO125=1,15+Z125+(16-AQ125)*0.01,Z125+(16-AQ125)*0.01+AI125)))))</f>
        <v>208.15</v>
      </c>
      <c r="AN125" s="172" t="str">
        <f ca="1">IF($D125&gt;Standings!$Q$27,"",IF(OR($AK125=1,$AL125=1),"Conf Playoff Spot",COUNTIFS($AL$2:$AL$225,0,$AK$2:$AK$225,0,$C$2:$C$225,$C125,$D$2:$D$225,$D125,$AC$2:$AC$225,"&gt;"&amp;$AC125)+1))</f>
        <v>Conf Playoff Spot</v>
      </c>
      <c r="AO125" s="172" t="str">
        <f t="array" aca="1" ref="AO125" ca="1">IF($D125&gt;Standings!$Q$27,"",IF(OR($AK125=1,$AL125=1),"Conf Playoff Spot",COUNTIFS($AK$2:$AK$225,0,$AL$2:$AL$225,0,$D$2:$D$225,$D125,$AH$2:$AH$225,"&gt;"&amp;$AH125)+1))</f>
        <v>Conf Playoff Spot</v>
      </c>
      <c r="AP125" s="172">
        <f t="array" aca="1" ref="AP125" ca="1">IF($D125&gt;Standings!$Q$27,"",(COUNTIFS($D$2:$D$225,$D125,$J$2:$J$225,"&gt;"&amp;$J125)+1))</f>
        <v>2</v>
      </c>
      <c r="AQ125" s="172">
        <f ca="1">IF($D125&gt;Standings!$Q$27,"",(COUNTIFS($D$2:$D$225,$D125,$AC$2:$AC$225,"&gt;"&amp;$AC125)+1))</f>
        <v>1</v>
      </c>
      <c r="AR125" s="172">
        <f ca="1">IF($D125&gt;Standings!$Q$27,"",(COUNTIFS($D$2:$D$225,$D125,$K$2:$K$225,"&gt;"&amp;$K125)+1))</f>
        <v>5</v>
      </c>
      <c r="AS125" s="172">
        <f ca="1">IF($D125&gt;Standings!$Q$27,"",(COUNTIFS($D$2:$D$225,$D125,$AD$2:$AD$225,"&gt;"&amp;$AD125)+1))</f>
        <v>2</v>
      </c>
      <c r="AT125" s="354">
        <f ca="1">IF($D125&gt;Standings!$Q$27,"",SUMIFS($J$2:$J$225,$D$2:$D$225,$D125,$C$2:$C$225,$C125))</f>
        <v>746.43999999999994</v>
      </c>
      <c r="AU125" s="253">
        <f ca="1">IF($D125&gt;Standings!$Q$27,"",SUMIFS($AC$2:$AC$225,$D$2:$D$225,$D125,$C$2:$C$225,$C125))</f>
        <v>9651.35</v>
      </c>
    </row>
    <row r="126" spans="1:47" s="190" customFormat="1">
      <c r="A126" s="190">
        <f t="shared" si="1"/>
        <v>200</v>
      </c>
      <c r="B126" s="56" t="str">
        <f>'ESPN Data'!$L$12</f>
        <v>Team 9</v>
      </c>
      <c r="C126" s="352" t="str">
        <f>VLOOKUP(B126,'ESPN Data'!$L$4:$M$19,2,FALSE)</f>
        <v>Wardo</v>
      </c>
      <c r="D126" s="553">
        <v>13</v>
      </c>
      <c r="E126" s="275" t="str">
        <f t="array" ref="E126">INDEX('ESPN Data'!$C$3:$C$226,MATCH(1,('ESPN Data'!$A$3:$A$226='Point Data'!$D126)*('ESPN Data'!$B$3:$B$226='Point Data'!$B126),0))</f>
        <v>Team 2</v>
      </c>
      <c r="F126" s="274" t="str">
        <f>IF(C126&lt;&gt;VLOOKUP($E126,'ESPN Data'!$L$4:$M$19,2,FALSE),"Non Conf", "Conf")</f>
        <v>Non Conf</v>
      </c>
      <c r="G126" s="271">
        <f t="array" aca="1" ref="G126" ca="1">IF('Point Data'!$D126&gt;Standings!$Q$27,"",(COUNTIFS($D$2:$D$225,$D126,$AM$2:$AM$225,"&gt;"&amp;$AM126)+1))</f>
        <v>2</v>
      </c>
      <c r="H126" s="264">
        <f ca="1">IF('Point Data'!$D126&gt;Standings!$Q$27,"",$G125)</f>
        <v>2</v>
      </c>
      <c r="I126" s="265">
        <f ca="1">IF('Point Data'!D126&gt;Standings!$Q$27,"",H126-G126)</f>
        <v>0</v>
      </c>
      <c r="J126" s="264">
        <f ca="1">IF('Point Data'!D126&gt;Standings!$Q$27,"",OFFSET('ESPN Data'!D$3,$A126,0,1,1))</f>
        <v>144.69</v>
      </c>
      <c r="K126" s="272">
        <f ca="1">IF('Point Data'!D126&gt;Standings!$Q$27,"",OFFSET('ESPN Data'!E$3,$A126,0,1,1))</f>
        <v>90.75</v>
      </c>
      <c r="L126" s="265">
        <f ca="1">IF('Point Data'!D126&gt;Standings!$Q$27,"",OFFSET('ESPN Data'!I$3,$A126,0,1,1))</f>
        <v>48</v>
      </c>
      <c r="M126" s="265">
        <f ca="1">IF('Point Data'!D126&gt;Standings!$Q$27,"",OFFSET('ESPN Data'!I$3,$A126,-2,1,1))</f>
        <v>0</v>
      </c>
      <c r="N126" s="265">
        <f ca="1">IF('Point Data'!D126&gt;Standings!$Q$27,"",SUMIFS($M$2:$M$225,$D$2:$D$225,D126,$C$2:$C$225,C126))</f>
        <v>36</v>
      </c>
      <c r="O126" s="265">
        <f ca="1">IF('Point Data'!D126&gt;Standings!$Q$27,"",SUMIFS($L$2:$L$225,$D$2:$D$225,$D126,$C$2:$C$225,$C126))</f>
        <v>146</v>
      </c>
      <c r="P126" s="265">
        <f ca="1">IF('Point Data'!D126&gt;Standings!$Q$27,"",SUMIFS($M$2:$M$225,$D$2:$D$225,D126))</f>
        <v>41</v>
      </c>
      <c r="Q126" s="265">
        <f ca="1">IF('Point Data'!D126&gt;Standings!$Q$27,"",SUMIFS($L$2:$L$225,$D$2:$D$225,D126))</f>
        <v>370</v>
      </c>
      <c r="R126" s="265">
        <f ca="1">IF($D126&gt;Standings!$Q$27,"",IF(U126="T",(Z126+0.5)/(D126)*100,(Z126/D126)*100))</f>
        <v>69.230769230769226</v>
      </c>
      <c r="S126" s="272">
        <f ca="1">IF($D126&gt;Standings!$Q$27,"",$J126-$K126)</f>
        <v>53.94</v>
      </c>
      <c r="T126" s="272">
        <f ca="1">IF($D126&gt;Standings!$Q$27,"",AVERAGE(OFFSET(S126,(-$D126+1),0,1,1):S126))</f>
        <v>12.686923076923073</v>
      </c>
      <c r="U126" s="264">
        <f ca="1">IF($D126&gt;Standings!$Q$27,"",IF(J126&gt;K126,1,IF(J126=K126,"T",0)))</f>
        <v>1</v>
      </c>
      <c r="V126" s="264">
        <f ca="1">IF($D126&gt;Standings!$Q$27,"",IF(F126="Conf",V125,SUMIFS($U$2:$U$225,$D$2:$D$225,"&lt;="&amp;$D126,$B$2:$B$225,$B126,$F$2:$F$225,"Non Conf")))</f>
        <v>5</v>
      </c>
      <c r="W126" s="264" t="str">
        <f ca="1">IF($D126&gt;Standings!$Q$27,"",$V126&amp;"-"&amp;COUNTIF(OFFSET($F126,(-$D126+1),0,1,1):$F126,"Non Conf")-$V126)</f>
        <v>5-2</v>
      </c>
      <c r="X126" s="264">
        <f ca="1">IF($D126&gt;Standings!$Q$27,"",SUMIFS($U$2:$U$225,$D$2:$D$225,"&lt;="&amp;$D126,$B$2:$B$225,$B126,$F$2:$F$225,"Conf"))</f>
        <v>4</v>
      </c>
      <c r="Y126" s="264" t="str">
        <f ca="1">IF($D126&gt;Standings!$Q$27,"",$X126&amp;"-"&amp;COUNTIF(OFFSET($F126,(-$D126+1),0,1,1):$F126,"Conf")-$X126)</f>
        <v>4-2</v>
      </c>
      <c r="Z126" s="264">
        <f ca="1">IF($D126&gt;Standings!$Q$27,"",SUM(OFFSET(U126,(-$D126+1),0,1,1):U126))</f>
        <v>9</v>
      </c>
      <c r="AA126" s="264">
        <f ca="1">IF($D126&gt;Standings!$Q$27,"",IF(U126=1,1+AA125,0))</f>
        <v>5</v>
      </c>
      <c r="AB126" s="275">
        <f ca="1">IF($D126&gt;Standings!$Q$27,"",IF(AA126=0,1+AB125,0))</f>
        <v>0</v>
      </c>
      <c r="AC126" s="273">
        <f ca="1">IF($D126&gt;Standings!$Q$27,"",SUM(OFFSET(J126,(-$D126+1),0,1,1):J126))</f>
        <v>1592.5700000000004</v>
      </c>
      <c r="AD126" s="272">
        <f ca="1">IF($D126&gt;Standings!$Q$27,"",SUM(OFFSET(K126,(-$D126+1),0,1,1):K126))</f>
        <v>1427.64</v>
      </c>
      <c r="AE126" s="272">
        <f ca="1">IF($D126&gt;Standings!$Q$27,"",$J126-$K126)</f>
        <v>53.94</v>
      </c>
      <c r="AF126" s="272">
        <f ca="1">IF($D126&gt;Standings!$Q$27,"",AC126-AD126)</f>
        <v>164.93000000000029</v>
      </c>
      <c r="AG126" s="263">
        <f ca="1">IF($D126&gt;Standings!$Q$27,"",(COUNTIFS($D$2:$D$225,$D126,$C$2:$C$225,$C126,$AC$2:$AC$225,"&lt;"&amp;$AC126)+1)*0.01)</f>
        <v>0.08</v>
      </c>
      <c r="AH126" s="263">
        <f ca="1">IF($D126&gt;Standings!$Q$27,"",Z126+AG126)</f>
        <v>9.08</v>
      </c>
      <c r="AI126" s="263"/>
      <c r="AJ126" s="264">
        <f t="array" aca="1" ref="AJ126" ca="1">IF($D126&gt;Standings!$Q$27,"",(COUNTIFS($D$2:$D$225,$D126,$C$2:$C$225,$C126,$AM$2:$AM$225,"&gt;"&amp;$AM126)+1))</f>
        <v>1</v>
      </c>
      <c r="AK126" s="264">
        <f t="array" aca="1" ref="AK126" ca="1">IF($D126&gt;Standings!$Q$27,"",IF((COUNTIFS($D$2:$D$225,$D126,$C$2:$C$225,$C126,$AH$2:$AH$225,"&gt;"&amp;$AH126)+1)=2,1,0))</f>
        <v>0</v>
      </c>
      <c r="AL126" s="264">
        <f t="array" aca="1" ref="AL126" ca="1">IF($D126&gt;Standings!$Q$27,"",IF((COUNTIFS($D$2:$D$225,$D126,$C$2:$C$225,$C126,$AH$2:$AH$225,"&gt;"&amp;$AH126)+1)&lt;2,1,0))</f>
        <v>1</v>
      </c>
      <c r="AM126" s="264">
        <f ca="1">IF($D126&gt;Standings!$Q$27,"",IF(AL126=1,200+Z126+(16-AQ126)*0.01+AI126,IF(AK126=1,100+Z126+(16-AQ126)*0.01+AI126,IF(AN126=1,50+Z126+(16-AQ126)*0.01,IF(AO126=1,15+Z126+(16-AQ126)*0.01,Z126+(16-AQ126)*0.01+AI126)))))</f>
        <v>209.15</v>
      </c>
      <c r="AN126" s="264" t="str">
        <f ca="1">IF($D126&gt;Standings!$Q$27,"",IF(OR($AK126=1,$AL126=1),"Conf Playoff Spot",COUNTIFS($AL$2:$AL$225,0,$AK$2:$AK$225,0,$C$2:$C$225,$C126,$D$2:$D$225,$D126,$AC$2:$AC$225,"&gt;"&amp;$AC126)+1))</f>
        <v>Conf Playoff Spot</v>
      </c>
      <c r="AO126" s="264" t="str">
        <f t="array" aca="1" ref="AO126" ca="1">IF($D126&gt;Standings!$Q$27,"",IF(OR($AK126=1,$AL126=1),"Conf Playoff Spot",COUNTIFS($AK$2:$AK$225,0,$AL$2:$AL$225,0,$D$2:$D$225,$D126,$AH$2:$AH$225,"&gt;"&amp;$AH126)+1))</f>
        <v>Conf Playoff Spot</v>
      </c>
      <c r="AP126" s="264">
        <f t="array" aca="1" ref="AP126" ca="1">IF($D126&gt;Standings!$Q$27,"",(COUNTIFS($D$2:$D$225,$D126,$J$2:$J$225,"&gt;"&amp;$J126)+1))</f>
        <v>2</v>
      </c>
      <c r="AQ126" s="264">
        <f ca="1">IF($D126&gt;Standings!$Q$27,"",(COUNTIFS($D$2:$D$225,$D126,$AC$2:$AC$225,"&gt;"&amp;$AC126)+1))</f>
        <v>1</v>
      </c>
      <c r="AR126" s="264">
        <f ca="1">IF($D126&gt;Standings!$Q$27,"",(COUNTIFS($D$2:$D$225,$D126,$K$2:$K$225,"&gt;"&amp;$K126)+1))</f>
        <v>11</v>
      </c>
      <c r="AS126" s="264">
        <f ca="1">IF($D126&gt;Standings!$Q$27,"",(COUNTIFS($D$2:$D$225,$D126,$AD$2:$AD$225,"&gt;"&amp;$AD126)+1))</f>
        <v>2</v>
      </c>
      <c r="AT126" s="356">
        <f ca="1">IF($D126&gt;Standings!$Q$27,"",SUMIFS($J$2:$J$225,$D$2:$D$225,$D126,$C$2:$C$225,$C126))</f>
        <v>885.58</v>
      </c>
      <c r="AU126" s="340">
        <f ca="1">IF($D126&gt;Standings!$Q$27,"",SUMIFS($AC$2:$AC$225,$D$2:$D$225,$D126,$C$2:$C$225,$C126))</f>
        <v>10536.93</v>
      </c>
    </row>
    <row r="127" spans="1:47" ht="16" thickBot="1">
      <c r="A127" s="190">
        <f t="shared" si="1"/>
        <v>216</v>
      </c>
      <c r="B127" s="10" t="str">
        <f>'ESPN Data'!$L$12</f>
        <v>Team 9</v>
      </c>
      <c r="C127" s="351" t="str">
        <f>VLOOKUP(B127,'ESPN Data'!$L$4:$M$19,2,FALSE)</f>
        <v>Wardo</v>
      </c>
      <c r="D127" s="401">
        <v>14</v>
      </c>
      <c r="E127" s="268" t="str">
        <f t="array" ref="E127">INDEX('ESPN Data'!$C$3:$C$226,MATCH(1,('ESPN Data'!$A$3:$A$226='Point Data'!$D127)*('ESPN Data'!$B$3:$B$226='Point Data'!$B127),0))</f>
        <v>Team 2</v>
      </c>
      <c r="F127" s="258" t="str">
        <f>IF(C127&lt;&gt;VLOOKUP($E127,'ESPN Data'!$L$4:$M$19,2,FALSE),"Non Conf", "Conf")</f>
        <v>Non Conf</v>
      </c>
      <c r="G127" s="262" t="str">
        <f t="array" ref="G127">IF('Point Data'!$D127&gt;Standings!$Q$27,"",(COUNTIFS($D$2:$D$225,$D127,$AM$2:$AM$225,"&gt;"&amp;$AM127)+1))</f>
        <v/>
      </c>
      <c r="H127" s="257" t="str">
        <f>IF('Point Data'!$D127&gt;Standings!$Q$27,"",$G125)</f>
        <v/>
      </c>
      <c r="I127" s="256" t="str">
        <f>IF('Point Data'!D127&gt;Standings!$Q$27,"",H127-G127)</f>
        <v/>
      </c>
      <c r="J127" s="257" t="str">
        <f ca="1">IF('Point Data'!D127&gt;Standings!$Q$27,"",OFFSET('ESPN Data'!D$3,$A127,0,1,1))</f>
        <v/>
      </c>
      <c r="K127" s="255" t="str">
        <f ca="1">IF('Point Data'!D127&gt;Standings!$Q$27,"",OFFSET('ESPN Data'!E$3,$A127,0,1,1))</f>
        <v/>
      </c>
      <c r="L127" s="256" t="str">
        <f ca="1">IF('Point Data'!D127&gt;Standings!$Q$27,"",OFFSET('ESPN Data'!I$3,$A127,0,1,1))</f>
        <v/>
      </c>
      <c r="M127" s="256" t="str">
        <f ca="1">IF('Point Data'!D127&gt;Standings!$Q$27,"",OFFSET('ESPN Data'!I$3,$A127,-2,1,1))</f>
        <v/>
      </c>
      <c r="N127" s="256" t="str">
        <f>IF('Point Data'!D127&gt;Standings!$Q$27,"",SUMIFS($M$2:$M$225,$D$2:$D$225,D127,$C$2:$C$225,C127))</f>
        <v/>
      </c>
      <c r="O127" s="256" t="str">
        <f>IF('Point Data'!D127&gt;Standings!$Q$27,"",SUMIFS($L$2:$L$225,$D$2:$D$225,$D127,$C$2:$C$225,$C127))</f>
        <v/>
      </c>
      <c r="P127" s="256" t="str">
        <f>IF('Point Data'!D127&gt;Standings!$Q$27,"",SUMIFS($M$2:$M$225,$D$2:$D$225,D127))</f>
        <v/>
      </c>
      <c r="Q127" s="256" t="str">
        <f>IF('Point Data'!D127&gt;Standings!$Q$27,"",SUMIFS($L$2:$L$225,$D$2:$D$225,D127))</f>
        <v/>
      </c>
      <c r="R127" s="256" t="str">
        <f>IF($D127&gt;Standings!$Q$27,"",IF(U127="T",(Z127+0.5)/(D127)*100,(Z127/D127)*100))</f>
        <v/>
      </c>
      <c r="S127" s="255" t="str">
        <f>IF($D127&gt;Standings!$Q$27,"",$J127-$K127)</f>
        <v/>
      </c>
      <c r="T127" s="255" t="str">
        <f ca="1">IF($D127&gt;Standings!$Q$27,"",AVERAGE(OFFSET(S127,(-$D127+1),0,1,1):S127))</f>
        <v/>
      </c>
      <c r="U127" s="257" t="str">
        <f>IF($D127&gt;Standings!$Q$27,"",IF(J127&gt;K127,1,IF(J127=K127,"T",0)))</f>
        <v/>
      </c>
      <c r="V127" s="257" t="str">
        <f>IF($D127&gt;Standings!$Q$27,"",IF(F127="Conf",V126,SUMIFS($U$2:$U$225,$D$2:$D$225,"&lt;="&amp;$D127,$B$2:$B$225,$B127,$F$2:$F$225,"Non Conf")))</f>
        <v/>
      </c>
      <c r="W127" s="257" t="str">
        <f ca="1">IF($D127&gt;Standings!$Q$27,"",$V127&amp;"-"&amp;COUNTIF(OFFSET($F127,(-$D127+1),0,1,1):$F127,"Non Conf")-$V127)</f>
        <v/>
      </c>
      <c r="X127" s="257" t="str">
        <f>IF($D127&gt;Standings!$Q$27,"",SUMIFS($U$2:$U$225,$D$2:$D$225,"&lt;="&amp;$D127,$B$2:$B$225,$B127,$F$2:$F$225,"Conf"))</f>
        <v/>
      </c>
      <c r="Y127" s="257" t="str">
        <f ca="1">IF($D127&gt;Standings!$Q$27,"",$X127&amp;"-"&amp;COUNTIF(OFFSET($F127,(-$D127+1),0,1,1):$F127,"Conf")-$X127)</f>
        <v/>
      </c>
      <c r="Z127" s="257" t="str">
        <f ca="1">IF($D127&gt;Standings!$Q$27,"",SUM(OFFSET(U127,(-$D127+1),0,1,1):U127))</f>
        <v/>
      </c>
      <c r="AA127" s="257" t="str">
        <f>IF($D127&gt;Standings!$Q$27,"",IF(U127=1,1+AA125,0))</f>
        <v/>
      </c>
      <c r="AB127" s="268" t="str">
        <f>IF($D127&gt;Standings!$Q$27,"",IF(AA127=0,1+AB125,0))</f>
        <v/>
      </c>
      <c r="AC127" s="259" t="str">
        <f ca="1">IF($D127&gt;Standings!$Q$27,"",SUM(OFFSET(J127,(-$D127+1),0,1,1):J127))</f>
        <v/>
      </c>
      <c r="AD127" s="255" t="str">
        <f ca="1">IF($D127&gt;Standings!$Q$27,"",SUM(OFFSET(K127,(-$D127+1),0,1,1):K127))</f>
        <v/>
      </c>
      <c r="AE127" s="255" t="str">
        <f>IF($D127&gt;Standings!$Q$27,"",$J127-$K127)</f>
        <v/>
      </c>
      <c r="AF127" s="255" t="str">
        <f>IF($D127&gt;Standings!$Q$27,"",AC127-AD127)</f>
        <v/>
      </c>
      <c r="AG127" s="260" t="str">
        <f>IF($D127&gt;Standings!$Q$27,"",(COUNTIFS($D$2:$D$225,$D127,$C$2:$C$225,$C127,$AC$2:$AC$225,"&lt;"&amp;$AC127)+1)*0.01)</f>
        <v/>
      </c>
      <c r="AH127" s="260" t="str">
        <f>IF($D127&gt;Standings!$Q$27,"",Z127+AG127)</f>
        <v/>
      </c>
      <c r="AI127" s="260"/>
      <c r="AJ127" s="257" t="str">
        <f t="array" ref="AJ127">IF($D127&gt;Standings!$Q$27,"",(COUNTIFS($D$2:$D$225,$D127,$C$2:$C$225,$C127,$AM$2:$AM$225,"&gt;"&amp;$AM127)+1))</f>
        <v/>
      </c>
      <c r="AK127" s="257" t="str">
        <f t="array" ref="AK127">IF($D127&gt;Standings!$Q$27,"",IF((COUNTIFS($D$2:$D$225,$D127,$C$2:$C$225,$C127,$AH$2:$AH$225,"&gt;"&amp;$AH127)+1)=2,1,0))</f>
        <v/>
      </c>
      <c r="AL127" s="257" t="str">
        <f t="array" ref="AL127">IF($D127&gt;Standings!$Q$27,"",IF((COUNTIFS($D$2:$D$225,$D127,$C$2:$C$225,$C127,$AH$2:$AH$225,"&gt;"&amp;$AH127)+1)&lt;2,1,0))</f>
        <v/>
      </c>
      <c r="AM127" s="257" t="str">
        <f>IF($D127&gt;Standings!$Q$27,"",IF(AL127=1,200+Z127+(16-AQ127)*0.01+AI127,IF(AK127=1,100+Z127+(16-AQ127)*0.01+AI127,IF(AN127=1,50+Z127+(16-AQ127)*0.01,IF(AO127=1,15+Z127+(16-AQ127)*0.01,Z127+(16-AQ127)*0.01+AI127)))))</f>
        <v/>
      </c>
      <c r="AN127" s="257" t="str">
        <f>IF($D127&gt;Standings!$Q$27,"",IF(OR($AK127=1,$AL127=1),"Conf Playoff Spot",COUNTIFS($AL$2:$AL$225,0,$AK$2:$AK$225,0,$C$2:$C$225,$C127,$D$2:$D$225,$D127,$AC$2:$AC$225,"&gt;"&amp;$AC127)+1))</f>
        <v/>
      </c>
      <c r="AO127" s="257" t="str">
        <f t="array" ref="AO127">IF($D127&gt;Standings!$Q$27,"",IF(OR($AK127=1,$AL127=1),"Conf Playoff Spot",COUNTIFS($AK$2:$AK$225,0,$AL$2:$AL$225,0,$D$2:$D$225,$D127,$AH$2:$AH$225,"&gt;"&amp;$AH127)+1))</f>
        <v/>
      </c>
      <c r="AP127" s="257" t="str">
        <f t="array" ref="AP127">IF($D127&gt;Standings!$Q$27,"",(COUNTIFS($D$2:$D$225,$D127,$J$2:$J$225,"&gt;"&amp;$J127)+1))</f>
        <v/>
      </c>
      <c r="AQ127" s="257" t="str">
        <f>IF($D127&gt;Standings!$Q$27,"",(COUNTIFS($D$2:$D$225,$D127,$AC$2:$AC$225,"&gt;"&amp;$AC127)+1))</f>
        <v/>
      </c>
      <c r="AR127" s="257" t="str">
        <f>IF($D127&gt;Standings!$Q$27,"",(COUNTIFS($D$2:$D$225,$D127,$K$2:$K$225,"&gt;"&amp;$K127)+1))</f>
        <v/>
      </c>
      <c r="AS127" s="257" t="str">
        <f>IF($D127&gt;Standings!$Q$27,"",(COUNTIFS($D$2:$D$225,$D127,$AD$2:$AD$225,"&gt;"&amp;$AD127)+1))</f>
        <v/>
      </c>
      <c r="AT127" s="355" t="str">
        <f>IF($D127&gt;Standings!$Q$27,"",SUMIFS($J$2:$J$225,$D$2:$D$225,$D127,$C$2:$C$225,$C127))</f>
        <v/>
      </c>
      <c r="AU127" s="261" t="str">
        <f>IF($D127&gt;Standings!$Q$27,"",SUMIFS($AC$2:$AC$225,$D$2:$D$225,$D127,$C$2:$C$225,$C127))</f>
        <v/>
      </c>
    </row>
    <row r="128" spans="1:47">
      <c r="A128" s="190">
        <f t="shared" si="1"/>
        <v>9</v>
      </c>
      <c r="B128" s="3" t="str">
        <f>'ESPN Data'!$L$13</f>
        <v>Team 10</v>
      </c>
      <c r="C128" s="349" t="str">
        <f>VLOOKUP(B128,'ESPN Data'!$L$4:$M$19,2,FALSE)</f>
        <v>Wardo</v>
      </c>
      <c r="D128" s="399">
        <v>1</v>
      </c>
      <c r="E128" s="266" t="str">
        <f t="array" ref="E128">INDEX('ESPN Data'!$C$3:$C$226,MATCH(1,('ESPN Data'!$A$3:$A$226='Point Data'!$D128)*('ESPN Data'!$B$3:$B$226='Point Data'!$B128),0))</f>
        <v>Team 2</v>
      </c>
      <c r="F128" s="242" t="str">
        <f>IF(C128&lt;&gt;VLOOKUP($E128,'ESPN Data'!$L$4:$M$19,2,FALSE),"Non Conf", "Conf")</f>
        <v>Non Conf</v>
      </c>
      <c r="G128" s="237">
        <f t="array" aca="1" ref="G128" ca="1">IF('Point Data'!$D128&gt;Standings!$Q$27,"",(COUNTIFS($D$2:$D$225,$D128,$AM$2:$AM$225,"&gt;"&amp;$AM128)+1))</f>
        <v>14</v>
      </c>
      <c r="H128" s="241">
        <f>IF('Point Data'!$D128&gt;Standings!$Q$27,"",VLOOKUP($B128,'ESPN Data'!$L$4:$N$19,3,FALSE))</f>
        <v>8</v>
      </c>
      <c r="I128" s="240">
        <f ca="1">IF('Point Data'!$D128&gt;Standings!$Q$27,"",H128-G128)</f>
        <v>-6</v>
      </c>
      <c r="J128" s="241">
        <f ca="1">IF('Point Data'!D128&gt;Standings!$Q$27,"",OFFSET('ESPN Data'!D$3,$A128,0,1,1))</f>
        <v>95.97</v>
      </c>
      <c r="K128" s="239">
        <f ca="1">IF('Point Data'!D128&gt;Standings!$Q$27,"",OFFSET('ESPN Data'!E$3,$A128,0,1,1))</f>
        <v>101.04</v>
      </c>
      <c r="L128" s="240">
        <f ca="1">IF('Point Data'!D128&gt;Standings!$Q$27,"",OFFSET('ESPN Data'!I$3,$A128,0,1,1))</f>
        <v>100</v>
      </c>
      <c r="M128" s="240">
        <f ca="1">IF('Point Data'!D128&gt;Standings!$Q$27,"",OFFSET('ESPN Data'!I$3,$A128,-2,1,1))</f>
        <v>0</v>
      </c>
      <c r="N128" s="240">
        <f ca="1">IF('Point Data'!D128&gt;Standings!$Q$27,"",SUMIFS($M$2:$M$225,$D$2:$D$225,D128,$C$2:$C$225,C128))</f>
        <v>0</v>
      </c>
      <c r="O128" s="240">
        <f ca="1">IF('Point Data'!D128&gt;Standings!$Q$27,"",SUMIFS($L$2:$L$225,$D$2:$D$225,$D128,$C$2:$C$225,$C128))</f>
        <v>800</v>
      </c>
      <c r="P128" s="240">
        <f ca="1">IF('Point Data'!D128&gt;Standings!$Q$27,"",SUMIFS($M$2:$M$225,$D$2:$D$225,D128))</f>
        <v>3</v>
      </c>
      <c r="Q128" s="240">
        <f ca="1">IF('Point Data'!D128&gt;Standings!$Q$27,"",SUMIFS($L$2:$L$225,$D$2:$D$225,$D128))</f>
        <v>1597</v>
      </c>
      <c r="R128" s="240">
        <f ca="1">IF($D128&gt;Standings!$Q$27,"",IF(U128="T",(Z128+0.5)/(D128)*100,(Z128/D128)*100))</f>
        <v>0</v>
      </c>
      <c r="S128" s="239">
        <f ca="1">IF($D128&gt;Standings!$Q$27,"",$J128-$K128)</f>
        <v>-5.0700000000000074</v>
      </c>
      <c r="T128" s="239">
        <f ca="1">IF($D128&gt;Standings!$Q$27,"",AVERAGE(OFFSET(S128,(-$D128+1),0,1,1):S128))</f>
        <v>-5.0700000000000074</v>
      </c>
      <c r="U128" s="241">
        <f ca="1">IF($D128&gt;Standings!$Q$27,"",IF(J128&gt;K128,1,IF(J128=K128,"T",0)))</f>
        <v>0</v>
      </c>
      <c r="V128" s="241">
        <f ca="1">IF($D128&gt;Standings!$Q$27,"",IF(F128="Conf",0,SUMIFS($U$2:$U$225,$D$2:$D$225,"&lt;="&amp;$D128,$B$2:$B$225,$B128,$F$2:$F$225,"Non Conf")))</f>
        <v>0</v>
      </c>
      <c r="W128" s="241" t="str">
        <f ca="1">IF($D128&gt;Standings!$Q$27,"",$V128&amp;"-"&amp;COUNTIF(OFFSET($F128,(-$D128+1),0,1,1):$F128,"Non Conf")-$V128)</f>
        <v>0-1</v>
      </c>
      <c r="X128" s="241">
        <f>IF($D128&gt;Standings!$Q$27,"",SUMIFS($U$2:$U$225,$D$2:$D$225,"&lt;="&amp;$D128,$B$2:$B$225,$B128,$F$2:$F$225,"Conf"))</f>
        <v>0</v>
      </c>
      <c r="Y128" s="241" t="str">
        <f ca="1">IF($D128&gt;Standings!$Q$27,"",$X128&amp;"-"&amp;COUNTIF(OFFSET($F128,(-$D128+1),0,1,1):$F128,"Conf")-$X128)</f>
        <v>0-0</v>
      </c>
      <c r="Z128" s="241">
        <f ca="1">IF($D128&gt;Standings!$Q$27,"",SUM(OFFSET(U128,(-$D128+1),0,1,1):U128))</f>
        <v>0</v>
      </c>
      <c r="AA128" s="241">
        <f ca="1">IF($D128&gt;Standings!$Q$27,"",IF(U128=1,1,0))</f>
        <v>0</v>
      </c>
      <c r="AB128" s="266">
        <f ca="1">IF($D128&gt;Standings!$Q$27,"",IF(AA128=0,1,0))</f>
        <v>1</v>
      </c>
      <c r="AC128" s="243">
        <f ca="1">IF($D128&gt;Standings!$Q$27,"",SUM(OFFSET(J128,(-$D128+1),0,1,1):J128))</f>
        <v>95.97</v>
      </c>
      <c r="AD128" s="239">
        <f ca="1">IF($D128&gt;Standings!$Q$27,"",SUM(OFFSET(K128,(-$D128+1),0,1,1):K128))</f>
        <v>101.04</v>
      </c>
      <c r="AE128" s="239">
        <f ca="1">IF($D128&gt;Standings!$Q$27,"",$J128-$K128)</f>
        <v>-5.0700000000000074</v>
      </c>
      <c r="AF128" s="239">
        <f ca="1">IF($D128&gt;Standings!$Q$27,"",AC128-AD128)</f>
        <v>-5.0700000000000074</v>
      </c>
      <c r="AG128" s="244">
        <f ca="1">IF($D128&gt;Standings!$Q$27,"",(COUNTIFS($D$2:$D$225,$D128,$C$2:$C$225,$C128,$AC$2:$AC$225,"&lt;"&amp;$AC128)+1)*0.01)</f>
        <v>0.03</v>
      </c>
      <c r="AH128" s="244">
        <f ca="1">IF($D128&gt;Standings!$Q$27,"",Z128+AG128)</f>
        <v>0.03</v>
      </c>
      <c r="AI128" s="244"/>
      <c r="AJ128" s="241">
        <f t="array" aca="1" ref="AJ128" ca="1">IF($D128&gt;Standings!$Q$27,"",(COUNTIFS($D$2:$D$225,$D128,$C$2:$C$225,$C128,$AM$2:$AM$225,"&gt;"&amp;$AM128)+1))</f>
        <v>6</v>
      </c>
      <c r="AK128" s="241">
        <f t="array" aca="1" ref="AK128" ca="1">IF($D128&gt;Standings!$Q$27,"",IF((COUNTIFS($D$2:$D$225,$D128,$C$2:$C$225,$C128,$AH$2:$AH$225,"&gt;"&amp;$AH128)+1)=2,1,0))</f>
        <v>0</v>
      </c>
      <c r="AL128" s="241">
        <f t="array" aca="1" ref="AL128" ca="1">IF($D128&gt;Standings!$Q$27,"",IF((COUNTIFS($D$2:$D$225,$D128,$C$2:$C$225,$C128,$AH$2:$AH$225,"&gt;"&amp;$AH128)+1)&lt;2,1,0))</f>
        <v>0</v>
      </c>
      <c r="AM128" s="241">
        <f ca="1">IF($D128&gt;Standings!$Q$27,"",IF(AL128=1,200+Z128+(16-AQ128)*0.01+AI128,IF(AK128=1,100+Z128+(16-AQ128)*0.01+AI128,IF(AN128=1,50+Z128+(16-AQ128)*0.01,IF(AO128=1,15+Z128+(16-AQ128)*0.01,Z128+(16-AQ128)*0.01+AI128)))))</f>
        <v>0.03</v>
      </c>
      <c r="AN128" s="241">
        <f ca="1">IF($D128&gt;Standings!$Q$27,"",IF(OR($AK128=1,$AL128=1),"Conf Playoff Spot",COUNTIFS($AL$2:$AL$225,0,$AK$2:$AK$225,0,$C$2:$C$225,$C128,$D$2:$D$225,$D128,$AC$2:$AC$225,"&gt;"&amp;$AC128)+1))</f>
        <v>4</v>
      </c>
      <c r="AO128" s="241">
        <f t="array" aca="1" ref="AO128" ca="1">IF($D128&gt;Standings!$Q$27,"",IF(OR($AK128=1,$AL128=1),"Conf Playoff Spot",COUNTIFS($AK$2:$AK$225,0,$AL$2:$AL$225,0,$D$2:$D$225,$D128,$AH$2:$AH$225,"&gt;"&amp;$AH128)+1))</f>
        <v>9</v>
      </c>
      <c r="AP128" s="241">
        <f t="array" aca="1" ref="AP128" ca="1">IF($D128&gt;Standings!$Q$27,"",(COUNTIFS($D$2:$D$225,$D128,$J$2:$J$225,"&gt;"&amp;$J128)+1))</f>
        <v>13</v>
      </c>
      <c r="AQ128" s="241">
        <f ca="1">IF($D128&gt;Standings!$Q$27,"",(COUNTIFS($D$2:$D$225,$D128,$AC$2:$AC$225,"&gt;"&amp;$AC128)+1))</f>
        <v>13</v>
      </c>
      <c r="AR128" s="241">
        <f ca="1">IF($D128&gt;Standings!$Q$27,"",(COUNTIFS($D$2:$D$225,$D128,$K$2:$K$225,"&gt;"&amp;$K128)+1))</f>
        <v>10</v>
      </c>
      <c r="AS128" s="241">
        <f ca="1">IF($D128&gt;Standings!$Q$27,"",(COUNTIFS($D$2:$D$225,$D128,$AD$2:$AD$225,"&gt;"&amp;$AD128)+1))</f>
        <v>10</v>
      </c>
      <c r="AT128" s="357">
        <f ca="1">IF($D128&gt;Standings!$Q$27,"",SUMIFS($J$2:$J$225,$D$2:$D$225,$D128,$C$2:$C$225,$C128))</f>
        <v>872.36000000000013</v>
      </c>
      <c r="AU128" s="245">
        <f ca="1">IF($D128&gt;Standings!$Q$27,"",SUMIFS($AC$2:$AC$225,$D$2:$D$225,$D128,$C$2:$C$225,$C128))</f>
        <v>872.36000000000013</v>
      </c>
    </row>
    <row r="129" spans="1:47">
      <c r="A129" s="190">
        <f t="shared" si="1"/>
        <v>25</v>
      </c>
      <c r="B129" s="5" t="str">
        <f>'ESPN Data'!$L$13</f>
        <v>Team 10</v>
      </c>
      <c r="C129" s="350" t="str">
        <f>VLOOKUP(B129,'ESPN Data'!$L$4:$M$19,2,FALSE)</f>
        <v>Wardo</v>
      </c>
      <c r="D129" s="400">
        <v>2</v>
      </c>
      <c r="E129" s="267" t="str">
        <f t="array" ref="E129">INDEX('ESPN Data'!$C$3:$C$226,MATCH(1,('ESPN Data'!$A$3:$A$226='Point Data'!$D129)*('ESPN Data'!$B$3:$B$226='Point Data'!$B129),0))</f>
        <v>Team 12</v>
      </c>
      <c r="F129" s="250" t="str">
        <f>IF(C129&lt;&gt;VLOOKUP($E129,'ESPN Data'!$L$4:$M$19,2,FALSE),"Non Conf", "Conf")</f>
        <v>Conf</v>
      </c>
      <c r="G129" s="246">
        <f t="array" aca="1" ref="G129" ca="1">IF('Point Data'!$D129&gt;Standings!$Q$27,"",(COUNTIFS($D$2:$D$225,$D129,$AM$2:$AM$225,"&gt;"&amp;$AM129)+1))</f>
        <v>14</v>
      </c>
      <c r="H129" s="172">
        <f ca="1">IF('Point Data'!$D129&gt;Standings!$Q$27,"",$G128)</f>
        <v>14</v>
      </c>
      <c r="I129" s="249">
        <f ca="1">IF('Point Data'!D129&gt;Standings!$Q$27,"",H129-G129)</f>
        <v>0</v>
      </c>
      <c r="J129" s="172">
        <f ca="1">IF('Point Data'!D129&gt;Standings!$Q$27,"",OFFSET('ESPN Data'!D$3,$A129,0,1,1))</f>
        <v>100.51</v>
      </c>
      <c r="K129" s="248">
        <f ca="1">IF('Point Data'!D129&gt;Standings!$Q$27,"",OFFSET('ESPN Data'!E$3,$A129,0,1,1))</f>
        <v>123.72</v>
      </c>
      <c r="L129" s="249">
        <f ca="1">IF('Point Data'!D129&gt;Standings!$Q$27,"",OFFSET('ESPN Data'!I$3,$A129,0,1,1))</f>
        <v>100</v>
      </c>
      <c r="M129" s="249">
        <f ca="1">IF('Point Data'!D129&gt;Standings!$Q$27,"",OFFSET('ESPN Data'!I$3,$A129,-2,1,1))</f>
        <v>0</v>
      </c>
      <c r="N129" s="249">
        <f ca="1">IF('Point Data'!D129&gt;Standings!$Q$27,"",SUMIFS($M$2:$M$225,$D$2:$D$225,D129,$C$2:$C$225,C129))</f>
        <v>29</v>
      </c>
      <c r="O129" s="249">
        <f ca="1">IF('Point Data'!D129&gt;Standings!$Q$27,"",SUMIFS($L$2:$L$225,$D$2:$D$225,$D129,$C$2:$C$225,$C129))</f>
        <v>771</v>
      </c>
      <c r="P129" s="249">
        <f ca="1">IF('Point Data'!D129&gt;Standings!$Q$27,"",SUMIFS($M$2:$M$225,$D$2:$D$225,D129))</f>
        <v>73</v>
      </c>
      <c r="Q129" s="249">
        <f ca="1">IF('Point Data'!D129&gt;Standings!$Q$27,"",SUMIFS($L$2:$L$225,$D$2:$D$225,D129))</f>
        <v>1524</v>
      </c>
      <c r="R129" s="249">
        <f ca="1">IF($D129&gt;Standings!$Q$27,"",IF(U129="T",(Z129+0.5)/(D129)*100,(Z129/D129)*100))</f>
        <v>0</v>
      </c>
      <c r="S129" s="248">
        <f ca="1">IF($D129&gt;Standings!$Q$27,"",$J129-$K129)</f>
        <v>-23.209999999999994</v>
      </c>
      <c r="T129" s="248">
        <f ca="1">IF($D129&gt;Standings!$Q$27,"",AVERAGE(OFFSET(S129,(-$D129+1),0,1,1):S129))</f>
        <v>-14.14</v>
      </c>
      <c r="U129" s="172">
        <f ca="1">IF($D129&gt;Standings!$Q$27,"",IF(J129&gt;K129,1,IF(J129=K129,"T",0)))</f>
        <v>0</v>
      </c>
      <c r="V129" s="172">
        <f ca="1">IF($D129&gt;Standings!$Q$27,"",IF(F129="Conf",V128,SUMIFS($U$2:$U$225,$D$2:$D$225,"&lt;="&amp;$D129,$B$2:$B$225,$B129,$F$2:$F$225,"Non Conf")))</f>
        <v>0</v>
      </c>
      <c r="W129" s="172" t="str">
        <f ca="1">IF($D129&gt;Standings!$Q$27,"",$V129&amp;"-"&amp;COUNTIF(OFFSET($F129,(-$D129+1),0,1,1):$F129,"Non Conf")-$V129)</f>
        <v>0-1</v>
      </c>
      <c r="X129" s="172">
        <f ca="1">IF($D129&gt;Standings!$Q$27,"",SUMIFS($U$2:$U$225,$D$2:$D$225,"&lt;="&amp;$D129,$B$2:$B$225,$B129,$F$2:$F$225,"Conf"))</f>
        <v>0</v>
      </c>
      <c r="Y129" s="172" t="str">
        <f ca="1">IF($D129&gt;Standings!$Q$27,"",$X129&amp;"-"&amp;COUNTIF(OFFSET($F129,(-$D129+1),0,1,1):$F129,"Conf")-$X129)</f>
        <v>0-1</v>
      </c>
      <c r="Z129" s="172">
        <f ca="1">IF($D129&gt;Standings!$Q$27,"",SUM(OFFSET(U129,(-$D129+1),0,1,1):U129))</f>
        <v>0</v>
      </c>
      <c r="AA129" s="172">
        <f ca="1">IF($D129&gt;Standings!$Q$27,"",IF(U129=1,1+AA128,0))</f>
        <v>0</v>
      </c>
      <c r="AB129" s="267">
        <f ca="1">IF($D129&gt;Standings!$Q$27,"",IF(AA129=0,1+AB128,0))</f>
        <v>2</v>
      </c>
      <c r="AC129" s="251">
        <f ca="1">IF($D129&gt;Standings!$Q$27,"",SUM(OFFSET(J129,(-$D129+1),0,1,1):J129))</f>
        <v>196.48000000000002</v>
      </c>
      <c r="AD129" s="248">
        <f ca="1">IF($D129&gt;Standings!$Q$27,"",SUM(OFFSET(K129,(-$D129+1),0,1,1):K129))</f>
        <v>224.76</v>
      </c>
      <c r="AE129" s="248">
        <f ca="1">IF($D129&gt;Standings!$Q$27,"",$J129-$K129)</f>
        <v>-23.209999999999994</v>
      </c>
      <c r="AF129" s="248">
        <f ca="1">IF($D129&gt;Standings!$Q$27,"",AC129-AD129)</f>
        <v>-28.279999999999973</v>
      </c>
      <c r="AG129" s="252">
        <f ca="1">IF($D129&gt;Standings!$Q$27,"",(COUNTIFS($D$2:$D$225,$D129,$C$2:$C$225,$C129,$AC$2:$AC$225,"&lt;"&amp;$AC129)+1)*0.01)</f>
        <v>0.03</v>
      </c>
      <c r="AH129" s="252">
        <f ca="1">IF($D129&gt;Standings!$Q$27,"",Z129+AG129)</f>
        <v>0.03</v>
      </c>
      <c r="AI129" s="252"/>
      <c r="AJ129" s="172">
        <f t="array" aca="1" ref="AJ129" ca="1">IF($D129&gt;Standings!$Q$27,"",(COUNTIFS($D$2:$D$225,$D129,$C$2:$C$225,$C129,$AM$2:$AM$225,"&gt;"&amp;$AM129)+1))</f>
        <v>6</v>
      </c>
      <c r="AK129" s="172">
        <f t="array" aca="1" ref="AK129" ca="1">IF($D129&gt;Standings!$Q$27,"",IF((COUNTIFS($D$2:$D$225,$D129,$C$2:$C$225,$C129,$AH$2:$AH$225,"&gt;"&amp;$AH129)+1)=2,1,0))</f>
        <v>0</v>
      </c>
      <c r="AL129" s="172">
        <f t="array" aca="1" ref="AL129" ca="1">IF($D129&gt;Standings!$Q$27,"",IF((COUNTIFS($D$2:$D$225,$D129,$C$2:$C$225,$C129,$AH$2:$AH$225,"&gt;"&amp;$AH129)+1)&lt;2,1,0))</f>
        <v>0</v>
      </c>
      <c r="AM129" s="172">
        <f ca="1">IF($D129&gt;Standings!$Q$27,"",IF(AL129=1,200+Z129+(16-AQ129)*0.01+AI129,IF(AK129=1,100+Z129+(16-AQ129)*0.01+AI129,IF(AN129=1,50+Z129+(16-AQ129)*0.01,IF(AO129=1,15+Z129+(16-AQ129)*0.01,Z129+(16-AQ129)*0.01+AI129)))))</f>
        <v>0.04</v>
      </c>
      <c r="AN129" s="172">
        <f ca="1">IF($D129&gt;Standings!$Q$27,"",IF(OR($AK129=1,$AL129=1),"Conf Playoff Spot",COUNTIFS($AL$2:$AL$225,0,$AK$2:$AK$225,0,$C$2:$C$225,$C129,$D$2:$D$225,$D129,$AC$2:$AC$225,"&gt;"&amp;$AC129)+1))</f>
        <v>4</v>
      </c>
      <c r="AO129" s="172">
        <f t="array" aca="1" ref="AO129" ca="1">IF($D129&gt;Standings!$Q$27,"",IF(OR($AK129=1,$AL129=1),"Conf Playoff Spot",COUNTIFS($AK$2:$AK$225,0,$AL$2:$AL$225,0,$D$2:$D$225,$D129,$AH$2:$AH$225,"&gt;"&amp;$AH129)+1))</f>
        <v>9</v>
      </c>
      <c r="AP129" s="172">
        <f t="array" aca="1" ref="AP129" ca="1">IF($D129&gt;Standings!$Q$27,"",(COUNTIFS($D$2:$D$225,$D129,$J$2:$J$225,"&gt;"&amp;$J129)+1))</f>
        <v>12</v>
      </c>
      <c r="AQ129" s="172">
        <f ca="1">IF($D129&gt;Standings!$Q$27,"",(COUNTIFS($D$2:$D$225,$D129,$AC$2:$AC$225,"&gt;"&amp;$AC129)+1))</f>
        <v>12</v>
      </c>
      <c r="AR129" s="172">
        <f ca="1">IF($D129&gt;Standings!$Q$27,"",(COUNTIFS($D$2:$D$225,$D129,$K$2:$K$225,"&gt;"&amp;$K129)+1))</f>
        <v>4</v>
      </c>
      <c r="AS129" s="172">
        <f ca="1">IF($D129&gt;Standings!$Q$27,"",(COUNTIFS($D$2:$D$225,$D129,$AD$2:$AD$225,"&gt;"&amp;$AD129)+1))</f>
        <v>6</v>
      </c>
      <c r="AT129" s="354">
        <f ca="1">IF($D129&gt;Standings!$Q$27,"",SUMIFS($J$2:$J$225,$D$2:$D$225,$D129,$C$2:$C$225,$C129))</f>
        <v>937.28000000000009</v>
      </c>
      <c r="AU129" s="253">
        <f ca="1">IF($D129&gt;Standings!$Q$27,"",SUMIFS($AC$2:$AC$225,$D$2:$D$225,$D129,$C$2:$C$225,$C129))</f>
        <v>1809.64</v>
      </c>
    </row>
    <row r="130" spans="1:47">
      <c r="A130" s="190">
        <f t="shared" si="1"/>
        <v>41</v>
      </c>
      <c r="B130" s="5" t="str">
        <f>'ESPN Data'!$L$13</f>
        <v>Team 10</v>
      </c>
      <c r="C130" s="350" t="str">
        <f>VLOOKUP(B130,'ESPN Data'!$L$4:$M$19,2,FALSE)</f>
        <v>Wardo</v>
      </c>
      <c r="D130" s="400">
        <v>3</v>
      </c>
      <c r="E130" s="267" t="str">
        <f t="array" ref="E130">INDEX('ESPN Data'!$C$3:$C$226,MATCH(1,('ESPN Data'!$A$3:$A$226='Point Data'!$D130)*('ESPN Data'!$B$3:$B$226='Point Data'!$B130),0))</f>
        <v>Team 13</v>
      </c>
      <c r="F130" s="250" t="str">
        <f>IF(C130&lt;&gt;VLOOKUP($E130,'ESPN Data'!$L$4:$M$19,2,FALSE),"Non Conf", "Conf")</f>
        <v>Conf</v>
      </c>
      <c r="G130" s="246">
        <f t="array" aca="1" ref="G130" ca="1">IF('Point Data'!$D130&gt;Standings!$Q$27,"",(COUNTIFS($D$2:$D$225,$D130,$AM$2:$AM$225,"&gt;"&amp;$AM130)+1))</f>
        <v>11</v>
      </c>
      <c r="H130" s="172">
        <f ca="1">IF('Point Data'!$D130&gt;Standings!$Q$27,"",$G129)</f>
        <v>14</v>
      </c>
      <c r="I130" s="249">
        <f ca="1">IF('Point Data'!D130&gt;Standings!$Q$27,"",H130-G130)</f>
        <v>3</v>
      </c>
      <c r="J130" s="172">
        <f ca="1">IF('Point Data'!D130&gt;Standings!$Q$27,"",OFFSET('ESPN Data'!D$3,$A130,0,1,1))</f>
        <v>122.66</v>
      </c>
      <c r="K130" s="248">
        <f ca="1">IF('Point Data'!D130&gt;Standings!$Q$27,"",OFFSET('ESPN Data'!E$3,$A130,0,1,1))</f>
        <v>88.72</v>
      </c>
      <c r="L130" s="249">
        <f ca="1">IF('Point Data'!D130&gt;Standings!$Q$27,"",OFFSET('ESPN Data'!I$3,$A130,0,1,1))</f>
        <v>100</v>
      </c>
      <c r="M130" s="249">
        <f ca="1">IF('Point Data'!D130&gt;Standings!$Q$27,"",OFFSET('ESPN Data'!I$3,$A130,-2,1,1))</f>
        <v>0</v>
      </c>
      <c r="N130" s="249">
        <f ca="1">IF('Point Data'!D130&gt;Standings!$Q$27,"",SUMIFS($M$2:$M$225,$D$2:$D$225,D130,$C$2:$C$225,C130))</f>
        <v>185</v>
      </c>
      <c r="O130" s="249">
        <f ca="1">IF('Point Data'!D130&gt;Standings!$Q$27,"",SUMIFS($L$2:$L$225,$D$2:$D$225,$D130,$C$2:$C$225,$C130))</f>
        <v>586</v>
      </c>
      <c r="P130" s="249">
        <f ca="1">IF('Point Data'!D130&gt;Standings!$Q$27,"",SUMIFS($M$2:$M$225,$D$2:$D$225,D130))</f>
        <v>210</v>
      </c>
      <c r="Q130" s="249">
        <f ca="1">IF('Point Data'!D130&gt;Standings!$Q$27,"",SUMIFS($L$2:$L$225,$D$2:$D$225,D130))</f>
        <v>1314</v>
      </c>
      <c r="R130" s="249">
        <f ca="1">IF($D130&gt;Standings!$Q$27,"",IF(U130="T",(Z130+0.5)/(D130)*100,(Z130/D130)*100))</f>
        <v>33.333333333333329</v>
      </c>
      <c r="S130" s="248">
        <f ca="1">IF($D130&gt;Standings!$Q$27,"",$J130-$K130)</f>
        <v>33.94</v>
      </c>
      <c r="T130" s="248">
        <f ca="1">IF($D130&gt;Standings!$Q$27,"",AVERAGE(OFFSET(S130,(-$D130+1),0,1,1):S130))</f>
        <v>1.8866666666666656</v>
      </c>
      <c r="U130" s="172">
        <f ca="1">IF($D130&gt;Standings!$Q$27,"",IF(J130&gt;K130,1,IF(J130=K130,"T",0)))</f>
        <v>1</v>
      </c>
      <c r="V130" s="172">
        <f ca="1">IF($D130&gt;Standings!$Q$27,"",IF(F130="Conf",V129,SUMIFS($U$2:$U$225,$D$2:$D$225,"&lt;="&amp;$D130,$B$2:$B$225,$B130,$F$2:$F$225,"Non Conf")))</f>
        <v>0</v>
      </c>
      <c r="W130" s="172" t="str">
        <f ca="1">IF($D130&gt;Standings!$Q$27,"",$V130&amp;"-"&amp;COUNTIF(OFFSET($F130,(-$D130+1),0,1,1):$F130,"Non Conf")-$V130)</f>
        <v>0-1</v>
      </c>
      <c r="X130" s="172">
        <f ca="1">IF($D130&gt;Standings!$Q$27,"",SUMIFS($U$2:$U$225,$D$2:$D$225,"&lt;="&amp;$D130,$B$2:$B$225,$B130,$F$2:$F$225,"Conf"))</f>
        <v>1</v>
      </c>
      <c r="Y130" s="172" t="str">
        <f ca="1">IF($D130&gt;Standings!$Q$27,"",$X130&amp;"-"&amp;COUNTIF(OFFSET($F130,(-$D130+1),0,1,1):$F130,"Conf")-$X130)</f>
        <v>1-1</v>
      </c>
      <c r="Z130" s="172">
        <f ca="1">IF($D130&gt;Standings!$Q$27,"",SUM(OFFSET(U130,(-$D130+1),0,1,1):U130))</f>
        <v>1</v>
      </c>
      <c r="AA130" s="172">
        <f ca="1">IF($D130&gt;Standings!$Q$27,"",IF(U130=1,1+AA129,0))</f>
        <v>1</v>
      </c>
      <c r="AB130" s="267">
        <f ca="1">IF($D130&gt;Standings!$Q$27,"",IF(AA130=0,1+AB129,0))</f>
        <v>0</v>
      </c>
      <c r="AC130" s="251">
        <f ca="1">IF($D130&gt;Standings!$Q$27,"",SUM(OFFSET(J130,(-$D130+1),0,1,1):J130))</f>
        <v>319.14</v>
      </c>
      <c r="AD130" s="248">
        <f ca="1">IF($D130&gt;Standings!$Q$27,"",SUM(OFFSET(K130,(-$D130+1),0,1,1):K130))</f>
        <v>313.48</v>
      </c>
      <c r="AE130" s="248">
        <f ca="1">IF($D130&gt;Standings!$Q$27,"",$J130-$K130)</f>
        <v>33.94</v>
      </c>
      <c r="AF130" s="248">
        <f ca="1">IF($D130&gt;Standings!$Q$27,"",AC130-AD130)</f>
        <v>5.6599999999999682</v>
      </c>
      <c r="AG130" s="252">
        <f ca="1">IF($D130&gt;Standings!$Q$27,"",(COUNTIFS($D$2:$D$225,$D130,$C$2:$C$225,$C130,$AC$2:$AC$225,"&lt;"&amp;$AC130)+1)*0.01)</f>
        <v>0.04</v>
      </c>
      <c r="AH130" s="252">
        <f ca="1">IF($D130&gt;Standings!$Q$27,"",Z130+AG130)</f>
        <v>1.04</v>
      </c>
      <c r="AI130" s="252"/>
      <c r="AJ130" s="172">
        <f t="array" aca="1" ref="AJ130" ca="1">IF($D130&gt;Standings!$Q$27,"",(COUNTIFS($D$2:$D$225,$D130,$C$2:$C$225,$C130,$AM$2:$AM$225,"&gt;"&amp;$AM130)+1))</f>
        <v>5</v>
      </c>
      <c r="AK130" s="172">
        <f t="array" aca="1" ref="AK130" ca="1">IF($D130&gt;Standings!$Q$27,"",IF((COUNTIFS($D$2:$D$225,$D130,$C$2:$C$225,$C130,$AH$2:$AH$225,"&gt;"&amp;$AH130)+1)=2,1,0))</f>
        <v>0</v>
      </c>
      <c r="AL130" s="172">
        <f t="array" aca="1" ref="AL130" ca="1">IF($D130&gt;Standings!$Q$27,"",IF((COUNTIFS($D$2:$D$225,$D130,$C$2:$C$225,$C130,$AH$2:$AH$225,"&gt;"&amp;$AH130)+1)&lt;2,1,0))</f>
        <v>0</v>
      </c>
      <c r="AM130" s="172">
        <f ca="1">IF($D130&gt;Standings!$Q$27,"",IF(AL130=1,200+Z130+(16-AQ130)*0.01+AI130,IF(AK130=1,100+Z130+(16-AQ130)*0.01+AI130,IF(AN130=1,50+Z130+(16-AQ130)*0.01,IF(AO130=1,15+Z130+(16-AQ130)*0.01,Z130+(16-AQ130)*0.01+AI130)))))</f>
        <v>1.07</v>
      </c>
      <c r="AN130" s="172">
        <f ca="1">IF($D130&gt;Standings!$Q$27,"",IF(OR($AK130=1,$AL130=1),"Conf Playoff Spot",COUNTIFS($AL$2:$AL$225,0,$AK$2:$AK$225,0,$C$2:$C$225,$C130,$D$2:$D$225,$D130,$AC$2:$AC$225,"&gt;"&amp;$AC130)+1))</f>
        <v>3</v>
      </c>
      <c r="AO130" s="172">
        <f t="array" aca="1" ref="AO130" ca="1">IF($D130&gt;Standings!$Q$27,"",IF(OR($AK130=1,$AL130=1),"Conf Playoff Spot",COUNTIFS($AK$2:$AK$225,0,$AL$2:$AL$225,0,$D$2:$D$225,$D130,$AH$2:$AH$225,"&gt;"&amp;$AH130)+1))</f>
        <v>7</v>
      </c>
      <c r="AP130" s="172">
        <f t="array" aca="1" ref="AP130" ca="1">IF($D130&gt;Standings!$Q$27,"",(COUNTIFS($D$2:$D$225,$D130,$J$2:$J$225,"&gt;"&amp;$J130)+1))</f>
        <v>4</v>
      </c>
      <c r="AQ130" s="172">
        <f ca="1">IF($D130&gt;Standings!$Q$27,"",(COUNTIFS($D$2:$D$225,$D130,$AC$2:$AC$225,"&gt;"&amp;$AC130)+1))</f>
        <v>9</v>
      </c>
      <c r="AR130" s="172">
        <f ca="1">IF($D130&gt;Standings!$Q$27,"",(COUNTIFS($D$2:$D$225,$D130,$K$2:$K$225,"&gt;"&amp;$K130)+1))</f>
        <v>13</v>
      </c>
      <c r="AS130" s="172">
        <f ca="1">IF($D130&gt;Standings!$Q$27,"",(COUNTIFS($D$2:$D$225,$D130,$AD$2:$AD$225,"&gt;"&amp;$AD130)+1))</f>
        <v>12</v>
      </c>
      <c r="AT130" s="354">
        <f ca="1">IF($D130&gt;Standings!$Q$27,"",SUMIFS($J$2:$J$225,$D$2:$D$225,$D130,$C$2:$C$225,$C130))</f>
        <v>832.04000000000008</v>
      </c>
      <c r="AU130" s="253">
        <f ca="1">IF($D130&gt;Standings!$Q$27,"",SUMIFS($AC$2:$AC$225,$D$2:$D$225,$D130,$C$2:$C$225,$C130))</f>
        <v>2641.68</v>
      </c>
    </row>
    <row r="131" spans="1:47">
      <c r="A131" s="190">
        <f t="shared" si="1"/>
        <v>57</v>
      </c>
      <c r="B131" s="5" t="str">
        <f>'ESPN Data'!$L$13</f>
        <v>Team 10</v>
      </c>
      <c r="C131" s="350" t="str">
        <f>VLOOKUP(B131,'ESPN Data'!$L$4:$M$19,2,FALSE)</f>
        <v>Wardo</v>
      </c>
      <c r="D131" s="400">
        <v>4</v>
      </c>
      <c r="E131" s="267" t="str">
        <f t="array" ref="E131">INDEX('ESPN Data'!$C$3:$C$226,MATCH(1,('ESPN Data'!$A$3:$A$226='Point Data'!$D131)*('ESPN Data'!$B$3:$B$226='Point Data'!$B131),0))</f>
        <v>Team 1</v>
      </c>
      <c r="F131" s="250" t="str">
        <f>IF(C131&lt;&gt;VLOOKUP($E131,'ESPN Data'!$L$4:$M$19,2,FALSE),"Non Conf", "Conf")</f>
        <v>Non Conf</v>
      </c>
      <c r="G131" s="246">
        <f t="array" aca="1" ref="G131" ca="1">IF('Point Data'!$D131&gt;Standings!$Q$27,"",(COUNTIFS($D$2:$D$225,$D131,$AM$2:$AM$225,"&gt;"&amp;$AM131)+1))</f>
        <v>9</v>
      </c>
      <c r="H131" s="172">
        <f ca="1">IF('Point Data'!$D131&gt;Standings!$Q$27,"",$G130)</f>
        <v>11</v>
      </c>
      <c r="I131" s="249">
        <f ca="1">IF('Point Data'!D131&gt;Standings!$Q$27,"",H131-G131)</f>
        <v>2</v>
      </c>
      <c r="J131" s="172">
        <f ca="1">IF('Point Data'!D131&gt;Standings!$Q$27,"",OFFSET('ESPN Data'!D$3,$A131,0,1,1))</f>
        <v>121.55</v>
      </c>
      <c r="K131" s="248">
        <f ca="1">IF('Point Data'!D131&gt;Standings!$Q$27,"",OFFSET('ESPN Data'!E$3,$A131,0,1,1))</f>
        <v>97.92</v>
      </c>
      <c r="L131" s="249">
        <f ca="1">IF('Point Data'!D131&gt;Standings!$Q$27,"",OFFSET('ESPN Data'!I$3,$A131,0,1,1))</f>
        <v>100</v>
      </c>
      <c r="M131" s="249">
        <f ca="1">IF('Point Data'!D131&gt;Standings!$Q$27,"",OFFSET('ESPN Data'!I$3,$A131,-2,1,1))</f>
        <v>0</v>
      </c>
      <c r="N131" s="249">
        <f ca="1">IF('Point Data'!D131&gt;Standings!$Q$27,"",SUMIFS($M$2:$M$225,$D$2:$D$225,D131,$C$2:$C$225,C131))</f>
        <v>10</v>
      </c>
      <c r="O131" s="249">
        <f ca="1">IF('Point Data'!D131&gt;Standings!$Q$27,"",SUMIFS($L$2:$L$225,$D$2:$D$225,$D131,$C$2:$C$225,$C131))</f>
        <v>576</v>
      </c>
      <c r="P131" s="249">
        <f ca="1">IF('Point Data'!D131&gt;Standings!$Q$27,"",SUMIFS($M$2:$M$225,$D$2:$D$225,D131))</f>
        <v>171</v>
      </c>
      <c r="Q131" s="249">
        <f ca="1">IF('Point Data'!D131&gt;Standings!$Q$27,"",SUMIFS($L$2:$L$225,$D$2:$D$225,D131))</f>
        <v>1143</v>
      </c>
      <c r="R131" s="249">
        <f ca="1">IF($D131&gt;Standings!$Q$27,"",IF(U131="T",(Z131+0.5)/(D131)*100,(Z131/D131)*100))</f>
        <v>50</v>
      </c>
      <c r="S131" s="248">
        <f ca="1">IF($D131&gt;Standings!$Q$27,"",$J131-$K131)</f>
        <v>23.629999999999995</v>
      </c>
      <c r="T131" s="248">
        <f ca="1">IF($D131&gt;Standings!$Q$27,"",AVERAGE(OFFSET(S131,(-$D131+1),0,1,1):S131))</f>
        <v>7.322499999999998</v>
      </c>
      <c r="U131" s="172">
        <f ca="1">IF($D131&gt;Standings!$Q$27,"",IF(J131&gt;K131,1,IF(J131=K131,"T",0)))</f>
        <v>1</v>
      </c>
      <c r="V131" s="172">
        <f ca="1">IF($D131&gt;Standings!$Q$27,"",IF(F131="Conf",V130,SUMIFS($U$2:$U$225,$D$2:$D$225,"&lt;="&amp;$D131,$B$2:$B$225,$B131,$F$2:$F$225,"Non Conf")))</f>
        <v>1</v>
      </c>
      <c r="W131" s="172" t="str">
        <f ca="1">IF($D131&gt;Standings!$Q$27,"",$V131&amp;"-"&amp;COUNTIF(OFFSET($F131,(-$D131+1),0,1,1):$F131,"Non Conf")-$V131)</f>
        <v>1-1</v>
      </c>
      <c r="X131" s="172">
        <f ca="1">IF($D131&gt;Standings!$Q$27,"",SUMIFS($U$2:$U$225,$D$2:$D$225,"&lt;="&amp;$D131,$B$2:$B$225,$B131,$F$2:$F$225,"Conf"))</f>
        <v>1</v>
      </c>
      <c r="Y131" s="172" t="str">
        <f ca="1">IF($D131&gt;Standings!$Q$27,"",$X131&amp;"-"&amp;COUNTIF(OFFSET($F131,(-$D131+1),0,1,1):$F131,"Conf")-$X131)</f>
        <v>1-1</v>
      </c>
      <c r="Z131" s="172">
        <f ca="1">IF($D131&gt;Standings!$Q$27,"",SUM(OFFSET(U131,(-$D131+1),0,1,1):U131))</f>
        <v>2</v>
      </c>
      <c r="AA131" s="172">
        <f ca="1">IF($D131&gt;Standings!$Q$27,"",IF(U131=1,1+AA130,0))</f>
        <v>2</v>
      </c>
      <c r="AB131" s="267">
        <f ca="1">IF($D131&gt;Standings!$Q$27,"",IF(AA131=0,1+AB130,0))</f>
        <v>0</v>
      </c>
      <c r="AC131" s="251">
        <f ca="1">IF($D131&gt;Standings!$Q$27,"",SUM(OFFSET(J131,(-$D131+1),0,1,1):J131))</f>
        <v>440.69</v>
      </c>
      <c r="AD131" s="248">
        <f ca="1">IF($D131&gt;Standings!$Q$27,"",SUM(OFFSET(K131,(-$D131+1),0,1,1):K131))</f>
        <v>411.40000000000003</v>
      </c>
      <c r="AE131" s="248">
        <f ca="1">IF($D131&gt;Standings!$Q$27,"",$J131-$K131)</f>
        <v>23.629999999999995</v>
      </c>
      <c r="AF131" s="248">
        <f ca="1">IF($D131&gt;Standings!$Q$27,"",AC131-AD131)</f>
        <v>29.289999999999964</v>
      </c>
      <c r="AG131" s="252">
        <f ca="1">IF($D131&gt;Standings!$Q$27,"",(COUNTIFS($D$2:$D$225,$D131,$C$2:$C$225,$C131,$AC$2:$AC$225,"&lt;"&amp;$AC131)+1)*0.01)</f>
        <v>0.05</v>
      </c>
      <c r="AH131" s="252">
        <f ca="1">IF($D131&gt;Standings!$Q$27,"",Z131+AG131)</f>
        <v>2.0499999999999998</v>
      </c>
      <c r="AI131" s="252"/>
      <c r="AJ131" s="172">
        <f t="array" aca="1" ref="AJ131" ca="1">IF($D131&gt;Standings!$Q$27,"",(COUNTIFS($D$2:$D$225,$D131,$C$2:$C$225,$C131,$AM$2:$AM$225,"&gt;"&amp;$AM131)+1))</f>
        <v>5</v>
      </c>
      <c r="AK131" s="172">
        <f t="array" aca="1" ref="AK131" ca="1">IF($D131&gt;Standings!$Q$27,"",IF((COUNTIFS($D$2:$D$225,$D131,$C$2:$C$225,$C131,$AH$2:$AH$225,"&gt;"&amp;$AH131)+1)=2,1,0))</f>
        <v>0</v>
      </c>
      <c r="AL131" s="172">
        <f t="array" aca="1" ref="AL131" ca="1">IF($D131&gt;Standings!$Q$27,"",IF((COUNTIFS($D$2:$D$225,$D131,$C$2:$C$225,$C131,$AH$2:$AH$225,"&gt;"&amp;$AH131)+1)&lt;2,1,0))</f>
        <v>0</v>
      </c>
      <c r="AM131" s="172">
        <f ca="1">IF($D131&gt;Standings!$Q$27,"",IF(AL131=1,200+Z131+(16-AQ131)*0.01+AI131,IF(AK131=1,100+Z131+(16-AQ131)*0.01+AI131,IF(AN131=1,50+Z131+(16-AQ131)*0.01,IF(AO131=1,15+Z131+(16-AQ131)*0.01,Z131+(16-AQ131)*0.01+AI131)))))</f>
        <v>2.09</v>
      </c>
      <c r="AN131" s="172">
        <f ca="1">IF($D131&gt;Standings!$Q$27,"",IF(OR($AK131=1,$AL131=1),"Conf Playoff Spot",COUNTIFS($AL$2:$AL$225,0,$AK$2:$AK$225,0,$C$2:$C$225,$C131,$D$2:$D$225,$D131,$AC$2:$AC$225,"&gt;"&amp;$AC131)+1))</f>
        <v>2</v>
      </c>
      <c r="AO131" s="172">
        <f t="array" aca="1" ref="AO131" ca="1">IF($D131&gt;Standings!$Q$27,"",IF(OR($AK131=1,$AL131=1),"Conf Playoff Spot",COUNTIFS($AK$2:$AK$225,0,$AL$2:$AL$225,0,$D$2:$D$225,$D131,$AH$2:$AH$225,"&gt;"&amp;$AH131)+1))</f>
        <v>5</v>
      </c>
      <c r="AP131" s="172">
        <f t="array" aca="1" ref="AP131" ca="1">IF($D131&gt;Standings!$Q$27,"",(COUNTIFS($D$2:$D$225,$D131,$J$2:$J$225,"&gt;"&amp;$J131)+1))</f>
        <v>1</v>
      </c>
      <c r="AQ131" s="172">
        <f ca="1">IF($D131&gt;Standings!$Q$27,"",(COUNTIFS($D$2:$D$225,$D131,$AC$2:$AC$225,"&gt;"&amp;$AC131)+1))</f>
        <v>7</v>
      </c>
      <c r="AR131" s="172">
        <f ca="1">IF($D131&gt;Standings!$Q$27,"",(COUNTIFS($D$2:$D$225,$D131,$K$2:$K$225,"&gt;"&amp;$K131)+1))</f>
        <v>11</v>
      </c>
      <c r="AS131" s="172">
        <f ca="1">IF($D131&gt;Standings!$Q$27,"",(COUNTIFS($D$2:$D$225,$D131,$AD$2:$AD$225,"&gt;"&amp;$AD131)+1))</f>
        <v>13</v>
      </c>
      <c r="AT131" s="354">
        <f ca="1">IF($D131&gt;Standings!$Q$27,"",SUMIFS($J$2:$J$225,$D$2:$D$225,$D131,$C$2:$C$225,$C131))</f>
        <v>827.84</v>
      </c>
      <c r="AU131" s="253">
        <f ca="1">IF($D131&gt;Standings!$Q$27,"",SUMIFS($AC$2:$AC$225,$D$2:$D$225,$D131,$C$2:$C$225,$C131))</f>
        <v>3469.52</v>
      </c>
    </row>
    <row r="132" spans="1:47">
      <c r="A132" s="190">
        <f t="shared" si="1"/>
        <v>73</v>
      </c>
      <c r="B132" s="5" t="str">
        <f>'ESPN Data'!$L$13</f>
        <v>Team 10</v>
      </c>
      <c r="C132" s="350" t="str">
        <f>VLOOKUP(B132,'ESPN Data'!$L$4:$M$19,2,FALSE)</f>
        <v>Wardo</v>
      </c>
      <c r="D132" s="400">
        <v>5</v>
      </c>
      <c r="E132" s="267" t="str">
        <f t="array" ref="E132">INDEX('ESPN Data'!$C$3:$C$226,MATCH(1,('ESPN Data'!$A$3:$A$226='Point Data'!$D132)*('ESPN Data'!$B$3:$B$226='Point Data'!$B132),0))</f>
        <v>Team 3</v>
      </c>
      <c r="F132" s="250" t="str">
        <f>IF(C132&lt;&gt;VLOOKUP($E132,'ESPN Data'!$L$4:$M$19,2,FALSE),"Non Conf", "Conf")</f>
        <v>Non Conf</v>
      </c>
      <c r="G132" s="246">
        <f t="array" aca="1" ref="G132" ca="1">IF('Point Data'!$D132&gt;Standings!$Q$27,"",(COUNTIFS($D$2:$D$225,$D132,$AM$2:$AM$225,"&gt;"&amp;$AM132)+1))</f>
        <v>11</v>
      </c>
      <c r="H132" s="172">
        <f ca="1">IF('Point Data'!$D132&gt;Standings!$Q$27,"",$G131)</f>
        <v>9</v>
      </c>
      <c r="I132" s="249">
        <f ca="1">IF('Point Data'!D132&gt;Standings!$Q$27,"",H132-G132)</f>
        <v>-2</v>
      </c>
      <c r="J132" s="172">
        <f ca="1">IF('Point Data'!D132&gt;Standings!$Q$27,"",OFFSET('ESPN Data'!D$3,$A132,0,1,1))</f>
        <v>103.25</v>
      </c>
      <c r="K132" s="248">
        <f ca="1">IF('Point Data'!D132&gt;Standings!$Q$27,"",OFFSET('ESPN Data'!E$3,$A132,0,1,1))</f>
        <v>118.5</v>
      </c>
      <c r="L132" s="249">
        <f ca="1">IF('Point Data'!D132&gt;Standings!$Q$27,"",OFFSET('ESPN Data'!I$3,$A132,0,1,1))</f>
        <v>81</v>
      </c>
      <c r="M132" s="249">
        <f ca="1">IF('Point Data'!D132&gt;Standings!$Q$27,"",OFFSET('ESPN Data'!I$3,$A132,-2,1,1))</f>
        <v>19</v>
      </c>
      <c r="N132" s="249">
        <f ca="1">IF('Point Data'!D132&gt;Standings!$Q$27,"",SUMIFS($M$2:$M$225,$D$2:$D$225,D132,$C$2:$C$225,C132))</f>
        <v>39</v>
      </c>
      <c r="O132" s="249">
        <f ca="1">IF('Point Data'!D132&gt;Standings!$Q$27,"",SUMIFS($L$2:$L$225,$D$2:$D$225,$D132,$C$2:$C$225,$C132))</f>
        <v>537</v>
      </c>
      <c r="P132" s="249">
        <f ca="1">IF('Point Data'!D132&gt;Standings!$Q$27,"",SUMIFS($M$2:$M$225,$D$2:$D$225,D132))</f>
        <v>104</v>
      </c>
      <c r="Q132" s="249">
        <f ca="1">IF('Point Data'!D132&gt;Standings!$Q$27,"",SUMIFS($L$2:$L$225,$D$2:$D$225,D132))</f>
        <v>1039</v>
      </c>
      <c r="R132" s="249">
        <f ca="1">IF($D132&gt;Standings!$Q$27,"",IF(U132="T",(Z132+0.5)/(D132)*100,(Z132/D132)*100))</f>
        <v>40</v>
      </c>
      <c r="S132" s="248">
        <f ca="1">IF($D132&gt;Standings!$Q$27,"",$J132-$K132)</f>
        <v>-15.25</v>
      </c>
      <c r="T132" s="248">
        <f ca="1">IF($D132&gt;Standings!$Q$27,"",AVERAGE(OFFSET(S132,(-$D132+1),0,1,1):S132))</f>
        <v>2.8079999999999985</v>
      </c>
      <c r="U132" s="172">
        <f ca="1">IF($D132&gt;Standings!$Q$27,"",IF(J132&gt;K132,1,IF(J132=K132,"T",0)))</f>
        <v>0</v>
      </c>
      <c r="V132" s="172">
        <f ca="1">IF($D132&gt;Standings!$Q$27,"",IF(F132="Conf",V131,SUMIFS($U$2:$U$225,$D$2:$D$225,"&lt;="&amp;$D132,$B$2:$B$225,$B132,$F$2:$F$225,"Non Conf")))</f>
        <v>1</v>
      </c>
      <c r="W132" s="172" t="str">
        <f ca="1">IF($D132&gt;Standings!$Q$27,"",$V132&amp;"-"&amp;COUNTIF(OFFSET($F132,(-$D132+1),0,1,1):$F132,"Non Conf")-$V132)</f>
        <v>1-2</v>
      </c>
      <c r="X132" s="172">
        <f ca="1">IF($D132&gt;Standings!$Q$27,"",SUMIFS($U$2:$U$225,$D$2:$D$225,"&lt;="&amp;$D132,$B$2:$B$225,$B132,$F$2:$F$225,"Conf"))</f>
        <v>1</v>
      </c>
      <c r="Y132" s="172" t="str">
        <f ca="1">IF($D132&gt;Standings!$Q$27,"",$X132&amp;"-"&amp;COUNTIF(OFFSET($F132,(-$D132+1),0,1,1):$F132,"Conf")-$X132)</f>
        <v>1-1</v>
      </c>
      <c r="Z132" s="172">
        <f ca="1">IF($D132&gt;Standings!$Q$27,"",SUM(OFFSET(U132,(-$D132+1),0,1,1):U132))</f>
        <v>2</v>
      </c>
      <c r="AA132" s="172">
        <f ca="1">IF($D132&gt;Standings!$Q$27,"",IF(U132=1,1+AA131,0))</f>
        <v>0</v>
      </c>
      <c r="AB132" s="267">
        <f ca="1">IF($D132&gt;Standings!$Q$27,"",IF(AA132=0,1+AB131,0))</f>
        <v>1</v>
      </c>
      <c r="AC132" s="251">
        <f ca="1">IF($D132&gt;Standings!$Q$27,"",SUM(OFFSET(J132,(-$D132+1),0,1,1):J132))</f>
        <v>543.94000000000005</v>
      </c>
      <c r="AD132" s="248">
        <f ca="1">IF($D132&gt;Standings!$Q$27,"",SUM(OFFSET(K132,(-$D132+1),0,1,1):K132))</f>
        <v>529.90000000000009</v>
      </c>
      <c r="AE132" s="248">
        <f ca="1">IF($D132&gt;Standings!$Q$27,"",$J132-$K132)</f>
        <v>-15.25</v>
      </c>
      <c r="AF132" s="248">
        <f ca="1">IF($D132&gt;Standings!$Q$27,"",AC132-AD132)</f>
        <v>14.039999999999964</v>
      </c>
      <c r="AG132" s="252">
        <f ca="1">IF($D132&gt;Standings!$Q$27,"",(COUNTIFS($D$2:$D$225,$D132,$C$2:$C$225,$C132,$AC$2:$AC$225,"&lt;"&amp;$AC132)+1)*0.01)</f>
        <v>0.05</v>
      </c>
      <c r="AH132" s="252">
        <f ca="1">IF($D132&gt;Standings!$Q$27,"",Z132+AG132)</f>
        <v>2.0499999999999998</v>
      </c>
      <c r="AI132" s="252"/>
      <c r="AJ132" s="172">
        <f t="array" aca="1" ref="AJ132" ca="1">IF($D132&gt;Standings!$Q$27,"",(COUNTIFS($D$2:$D$225,$D132,$C$2:$C$225,$C132,$AM$2:$AM$225,"&gt;"&amp;$AM132)+1))</f>
        <v>5</v>
      </c>
      <c r="AK132" s="172">
        <f t="array" aca="1" ref="AK132" ca="1">IF($D132&gt;Standings!$Q$27,"",IF((COUNTIFS($D$2:$D$225,$D132,$C$2:$C$225,$C132,$AH$2:$AH$225,"&gt;"&amp;$AH132)+1)=2,1,0))</f>
        <v>0</v>
      </c>
      <c r="AL132" s="172">
        <f t="array" aca="1" ref="AL132" ca="1">IF($D132&gt;Standings!$Q$27,"",IF((COUNTIFS($D$2:$D$225,$D132,$C$2:$C$225,$C132,$AH$2:$AH$225,"&gt;"&amp;$AH132)+1)&lt;2,1,0))</f>
        <v>0</v>
      </c>
      <c r="AM132" s="172">
        <f ca="1">IF($D132&gt;Standings!$Q$27,"",IF(AL132=1,200+Z132+(16-AQ132)*0.01+AI132,IF(AK132=1,100+Z132+(16-AQ132)*0.01+AI132,IF(AN132=1,50+Z132+(16-AQ132)*0.01,IF(AO132=1,15+Z132+(16-AQ132)*0.01,Z132+(16-AQ132)*0.01+AI132)))))</f>
        <v>2.08</v>
      </c>
      <c r="AN132" s="172">
        <f ca="1">IF($D132&gt;Standings!$Q$27,"",IF(OR($AK132=1,$AL132=1),"Conf Playoff Spot",COUNTIFS($AL$2:$AL$225,0,$AK$2:$AK$225,0,$C$2:$C$225,$C132,$D$2:$D$225,$D132,$AC$2:$AC$225,"&gt;"&amp;$AC132)+1))</f>
        <v>2</v>
      </c>
      <c r="AO132" s="172">
        <f t="array" aca="1" ref="AO132" ca="1">IF($D132&gt;Standings!$Q$27,"",IF(OR($AK132=1,$AL132=1),"Conf Playoff Spot",COUNTIFS($AK$2:$AK$225,0,$AL$2:$AL$225,0,$D$2:$D$225,$D132,$AH$2:$AH$225,"&gt;"&amp;$AH132)+1))</f>
        <v>7</v>
      </c>
      <c r="AP132" s="172">
        <f t="array" aca="1" ref="AP132" ca="1">IF($D132&gt;Standings!$Q$27,"",(COUNTIFS($D$2:$D$225,$D132,$J$2:$J$225,"&gt;"&amp;$J132)+1))</f>
        <v>9</v>
      </c>
      <c r="AQ132" s="172">
        <f ca="1">IF($D132&gt;Standings!$Q$27,"",(COUNTIFS($D$2:$D$225,$D132,$AC$2:$AC$225,"&gt;"&amp;$AC132)+1))</f>
        <v>8</v>
      </c>
      <c r="AR132" s="172">
        <f ca="1">IF($D132&gt;Standings!$Q$27,"",(COUNTIFS($D$2:$D$225,$D132,$K$2:$K$225,"&gt;"&amp;$K132)+1))</f>
        <v>5</v>
      </c>
      <c r="AS132" s="172">
        <f ca="1">IF($D132&gt;Standings!$Q$27,"",(COUNTIFS($D$2:$D$225,$D132,$AD$2:$AD$225,"&gt;"&amp;$AD132)+1))</f>
        <v>11</v>
      </c>
      <c r="AT132" s="354">
        <f ca="1">IF($D132&gt;Standings!$Q$27,"",SUMIFS($J$2:$J$225,$D$2:$D$225,$D132,$C$2:$C$225,$C132))</f>
        <v>855.19</v>
      </c>
      <c r="AU132" s="253">
        <f ca="1">IF($D132&gt;Standings!$Q$27,"",SUMIFS($AC$2:$AC$225,$D$2:$D$225,$D132,$C$2:$C$225,$C132))</f>
        <v>4324.71</v>
      </c>
    </row>
    <row r="133" spans="1:47">
      <c r="A133" s="190">
        <f t="shared" si="1"/>
        <v>89</v>
      </c>
      <c r="B133" s="5" t="str">
        <f>'ESPN Data'!$L$13</f>
        <v>Team 10</v>
      </c>
      <c r="C133" s="350" t="str">
        <f>VLOOKUP(B133,'ESPN Data'!$L$4:$M$19,2,FALSE)</f>
        <v>Wardo</v>
      </c>
      <c r="D133" s="400">
        <v>6</v>
      </c>
      <c r="E133" s="267" t="str">
        <f t="array" ref="E133">INDEX('ESPN Data'!$C$3:$C$226,MATCH(1,('ESPN Data'!$A$3:$A$226='Point Data'!$D133)*('ESPN Data'!$B$3:$B$226='Point Data'!$B133),0))</f>
        <v>Team 16</v>
      </c>
      <c r="F133" s="250" t="str">
        <f>IF(C133&lt;&gt;VLOOKUP($E133,'ESPN Data'!$L$4:$M$19,2,FALSE),"Non Conf", "Conf")</f>
        <v>Conf</v>
      </c>
      <c r="G133" s="246">
        <f t="array" aca="1" ref="G133" ca="1">IF('Point Data'!$D133&gt;Standings!$Q$27,"",(COUNTIFS($D$2:$D$225,$D133,$AM$2:$AM$225,"&gt;"&amp;$AM133)+1))</f>
        <v>9</v>
      </c>
      <c r="H133" s="172">
        <f ca="1">IF('Point Data'!$D133&gt;Standings!$Q$27,"",$G132)</f>
        <v>11</v>
      </c>
      <c r="I133" s="249">
        <f ca="1">IF('Point Data'!D133&gt;Standings!$Q$27,"",H133-G133)</f>
        <v>2</v>
      </c>
      <c r="J133" s="172">
        <f ca="1">IF('Point Data'!D133&gt;Standings!$Q$27,"",OFFSET('ESPN Data'!D$3,$A133,0,1,1))</f>
        <v>113.1</v>
      </c>
      <c r="K133" s="248">
        <f ca="1">IF('Point Data'!D133&gt;Standings!$Q$27,"",OFFSET('ESPN Data'!E$3,$A133,0,1,1))</f>
        <v>98.77</v>
      </c>
      <c r="L133" s="249">
        <f ca="1">IF('Point Data'!D133&gt;Standings!$Q$27,"",OFFSET('ESPN Data'!I$3,$A133,0,1,1))</f>
        <v>64</v>
      </c>
      <c r="M133" s="249">
        <f ca="1">IF('Point Data'!D133&gt;Standings!$Q$27,"",OFFSET('ESPN Data'!I$3,$A133,-2,1,1))</f>
        <v>17</v>
      </c>
      <c r="N133" s="249">
        <f ca="1">IF('Point Data'!D133&gt;Standings!$Q$27,"",SUMIFS($M$2:$M$225,$D$2:$D$225,D133,$C$2:$C$225,C133))</f>
        <v>67</v>
      </c>
      <c r="O133" s="249">
        <f ca="1">IF('Point Data'!D133&gt;Standings!$Q$27,"",SUMIFS($L$2:$L$225,$D$2:$D$225,$D133,$C$2:$C$225,$C133))</f>
        <v>470</v>
      </c>
      <c r="P133" s="249">
        <f ca="1">IF('Point Data'!D133&gt;Standings!$Q$27,"",SUMIFS($M$2:$M$225,$D$2:$D$225,D133))</f>
        <v>183</v>
      </c>
      <c r="Q133" s="249">
        <f ca="1">IF('Point Data'!D133&gt;Standings!$Q$27,"",SUMIFS($L$2:$L$225,$D$2:$D$225,D133))</f>
        <v>856</v>
      </c>
      <c r="R133" s="249">
        <f ca="1">IF($D133&gt;Standings!$Q$27,"",IF(U133="T",(Z133+0.5)/(D133)*100,(Z133/D133)*100))</f>
        <v>50</v>
      </c>
      <c r="S133" s="248">
        <f ca="1">IF($D133&gt;Standings!$Q$27,"",$J133-$K133)</f>
        <v>14.329999999999998</v>
      </c>
      <c r="T133" s="248">
        <f ca="1">IF($D133&gt;Standings!$Q$27,"",AVERAGE(OFFSET(S133,(-$D133+1),0,1,1):S133))</f>
        <v>4.7283333333333317</v>
      </c>
      <c r="U133" s="172">
        <f ca="1">IF($D133&gt;Standings!$Q$27,"",IF(J133&gt;K133,1,IF(J133=K133,"T",0)))</f>
        <v>1</v>
      </c>
      <c r="V133" s="172">
        <f ca="1">IF($D133&gt;Standings!$Q$27,"",IF(F133="Conf",V132,SUMIFS($U$2:$U$225,$D$2:$D$225,"&lt;="&amp;$D133,$B$2:$B$225,$B133,$F$2:$F$225,"Non Conf")))</f>
        <v>1</v>
      </c>
      <c r="W133" s="172" t="str">
        <f ca="1">IF($D133&gt;Standings!$Q$27,"",$V133&amp;"-"&amp;COUNTIF(OFFSET($F133,(-$D133+1),0,1,1):$F133,"Non Conf")-$V133)</f>
        <v>1-2</v>
      </c>
      <c r="X133" s="172">
        <f ca="1">IF($D133&gt;Standings!$Q$27,"",SUMIFS($U$2:$U$225,$D$2:$D$225,"&lt;="&amp;$D133,$B$2:$B$225,$B133,$F$2:$F$225,"Conf"))</f>
        <v>2</v>
      </c>
      <c r="Y133" s="172" t="str">
        <f ca="1">IF($D133&gt;Standings!$Q$27,"",$X133&amp;"-"&amp;COUNTIF(OFFSET($F133,(-$D133+1),0,1,1):$F133,"Conf")-$X133)</f>
        <v>2-1</v>
      </c>
      <c r="Z133" s="172">
        <f ca="1">IF($D133&gt;Standings!$Q$27,"",SUM(OFFSET(U133,(-$D133+1),0,1,1):U133))</f>
        <v>3</v>
      </c>
      <c r="AA133" s="172">
        <f ca="1">IF($D133&gt;Standings!$Q$27,"",IF(U133=1,1+AA132,0))</f>
        <v>1</v>
      </c>
      <c r="AB133" s="267">
        <f ca="1">IF($D133&gt;Standings!$Q$27,"",IF(AA133=0,1+AB132,0))</f>
        <v>0</v>
      </c>
      <c r="AC133" s="251">
        <f ca="1">IF($D133&gt;Standings!$Q$27,"",SUM(OFFSET(J133,(-$D133+1),0,1,1):J133))</f>
        <v>657.04000000000008</v>
      </c>
      <c r="AD133" s="248">
        <f ca="1">IF($D133&gt;Standings!$Q$27,"",SUM(OFFSET(K133,(-$D133+1),0,1,1):K133))</f>
        <v>628.67000000000007</v>
      </c>
      <c r="AE133" s="248">
        <f ca="1">IF($D133&gt;Standings!$Q$27,"",$J133-$K133)</f>
        <v>14.329999999999998</v>
      </c>
      <c r="AF133" s="248">
        <f ca="1">IF($D133&gt;Standings!$Q$27,"",AC133-AD133)</f>
        <v>28.370000000000005</v>
      </c>
      <c r="AG133" s="252">
        <f ca="1">IF($D133&gt;Standings!$Q$27,"",(COUNTIFS($D$2:$D$225,$D133,$C$2:$C$225,$C133,$AC$2:$AC$225,"&lt;"&amp;$AC133)+1)*0.01)</f>
        <v>0.06</v>
      </c>
      <c r="AH133" s="252">
        <f ca="1">IF($D133&gt;Standings!$Q$27,"",Z133+AG133)</f>
        <v>3.06</v>
      </c>
      <c r="AI133" s="252"/>
      <c r="AJ133" s="172">
        <f t="array" aca="1" ref="AJ133" ca="1">IF($D133&gt;Standings!$Q$27,"",(COUNTIFS($D$2:$D$225,$D133,$C$2:$C$225,$C133,$AM$2:$AM$225,"&gt;"&amp;$AM133)+1))</f>
        <v>4</v>
      </c>
      <c r="AK133" s="172">
        <f t="array" aca="1" ref="AK133" ca="1">IF($D133&gt;Standings!$Q$27,"",IF((COUNTIFS($D$2:$D$225,$D133,$C$2:$C$225,$C133,$AH$2:$AH$225,"&gt;"&amp;$AH133)+1)=2,1,0))</f>
        <v>0</v>
      </c>
      <c r="AL133" s="172">
        <f t="array" aca="1" ref="AL133" ca="1">IF($D133&gt;Standings!$Q$27,"",IF((COUNTIFS($D$2:$D$225,$D133,$C$2:$C$225,$C133,$AH$2:$AH$225,"&gt;"&amp;$AH133)+1)&lt;2,1,0))</f>
        <v>0</v>
      </c>
      <c r="AM133" s="172">
        <f ca="1">IF($D133&gt;Standings!$Q$27,"",IF(AL133=1,200+Z133+(16-AQ133)*0.01+AI133,IF(AK133=1,100+Z133+(16-AQ133)*0.01+AI133,IF(AN133=1,50+Z133+(16-AQ133)*0.01,IF(AO133=1,15+Z133+(16-AQ133)*0.01,Z133+(16-AQ133)*0.01+AI133)))))</f>
        <v>3.09</v>
      </c>
      <c r="AN133" s="172">
        <f ca="1">IF($D133&gt;Standings!$Q$27,"",IF(OR($AK133=1,$AL133=1),"Conf Playoff Spot",COUNTIFS($AL$2:$AL$225,0,$AK$2:$AK$225,0,$C$2:$C$225,$C133,$D$2:$D$225,$D133,$AC$2:$AC$225,"&gt;"&amp;$AC133)+1))</f>
        <v>2</v>
      </c>
      <c r="AO133" s="172">
        <f t="array" aca="1" ref="AO133" ca="1">IF($D133&gt;Standings!$Q$27,"",IF(OR($AK133=1,$AL133=1),"Conf Playoff Spot",COUNTIFS($AK$2:$AK$225,0,$AL$2:$AL$225,0,$D$2:$D$225,$D133,$AH$2:$AH$225,"&gt;"&amp;$AH133)+1))</f>
        <v>4</v>
      </c>
      <c r="AP133" s="172">
        <f t="array" aca="1" ref="AP133" ca="1">IF($D133&gt;Standings!$Q$27,"",(COUNTIFS($D$2:$D$225,$D133,$J$2:$J$225,"&gt;"&amp;$J133)+1))</f>
        <v>5</v>
      </c>
      <c r="AQ133" s="172">
        <f ca="1">IF($D133&gt;Standings!$Q$27,"",(COUNTIFS($D$2:$D$225,$D133,$AC$2:$AC$225,"&gt;"&amp;$AC133)+1))</f>
        <v>7</v>
      </c>
      <c r="AR133" s="172">
        <f ca="1">IF($D133&gt;Standings!$Q$27,"",(COUNTIFS($D$2:$D$225,$D133,$K$2:$K$225,"&gt;"&amp;$K133)+1))</f>
        <v>7</v>
      </c>
      <c r="AS133" s="172">
        <f ca="1">IF($D133&gt;Standings!$Q$27,"",(COUNTIFS($D$2:$D$225,$D133,$AD$2:$AD$225,"&gt;"&amp;$AD133)+1))</f>
        <v>11</v>
      </c>
      <c r="AT133" s="354">
        <f ca="1">IF($D133&gt;Standings!$Q$27,"",SUMIFS($J$2:$J$225,$D$2:$D$225,$D133,$C$2:$C$225,$C133))</f>
        <v>768.68000000000006</v>
      </c>
      <c r="AU133" s="253">
        <f ca="1">IF($D133&gt;Standings!$Q$27,"",SUMIFS($AC$2:$AC$225,$D$2:$D$225,$D133,$C$2:$C$225,$C133))</f>
        <v>5093.3900000000003</v>
      </c>
    </row>
    <row r="134" spans="1:47">
      <c r="A134" s="190">
        <f t="shared" si="1"/>
        <v>105</v>
      </c>
      <c r="B134" s="5" t="str">
        <f>'ESPN Data'!$L$13</f>
        <v>Team 10</v>
      </c>
      <c r="C134" s="350" t="str">
        <f>VLOOKUP(B134,'ESPN Data'!$L$4:$M$19,2,FALSE)</f>
        <v>Wardo</v>
      </c>
      <c r="D134" s="400">
        <v>7</v>
      </c>
      <c r="E134" s="267" t="str">
        <f t="array" ref="E134">INDEX('ESPN Data'!$C$3:$C$226,MATCH(1,('ESPN Data'!$A$3:$A$226='Point Data'!$D134)*('ESPN Data'!$B$3:$B$226='Point Data'!$B134),0))</f>
        <v>Team 7</v>
      </c>
      <c r="F134" s="250" t="str">
        <f>IF(C134&lt;&gt;VLOOKUP($E134,'ESPN Data'!$L$4:$M$19,2,FALSE),"Non Conf", "Conf")</f>
        <v>Non Conf</v>
      </c>
      <c r="G134" s="246">
        <f t="array" aca="1" ref="G134" ca="1">IF('Point Data'!$D134&gt;Standings!$Q$27,"",(COUNTIFS($D$2:$D$225,$D134,$AM$2:$AM$225,"&gt;"&amp;$AM134)+1))</f>
        <v>11</v>
      </c>
      <c r="H134" s="172">
        <f ca="1">IF('Point Data'!$D134&gt;Standings!$Q$27,"",$G133)</f>
        <v>9</v>
      </c>
      <c r="I134" s="249">
        <f ca="1">IF('Point Data'!D134&gt;Standings!$Q$27,"",H134-G134)</f>
        <v>-2</v>
      </c>
      <c r="J134" s="172">
        <f ca="1">IF('Point Data'!D134&gt;Standings!$Q$27,"",OFFSET('ESPN Data'!D$3,$A134,0,1,1))</f>
        <v>68.06</v>
      </c>
      <c r="K134" s="248">
        <f ca="1">IF('Point Data'!D134&gt;Standings!$Q$27,"",OFFSET('ESPN Data'!E$3,$A134,0,1,1))</f>
        <v>143.06</v>
      </c>
      <c r="L134" s="249">
        <f ca="1">IF('Point Data'!D134&gt;Standings!$Q$27,"",OFFSET('ESPN Data'!I$3,$A134,0,1,1))</f>
        <v>64</v>
      </c>
      <c r="M134" s="249">
        <f ca="1">IF('Point Data'!D134&gt;Standings!$Q$27,"",OFFSET('ESPN Data'!I$3,$A134,-2,1,1))</f>
        <v>0</v>
      </c>
      <c r="N134" s="249">
        <f ca="1">IF('Point Data'!D134&gt;Standings!$Q$27,"",SUMIFS($M$2:$M$225,$D$2:$D$225,D134,$C$2:$C$225,C134))</f>
        <v>140</v>
      </c>
      <c r="O134" s="249">
        <f ca="1">IF('Point Data'!D134&gt;Standings!$Q$27,"",SUMIFS($L$2:$L$225,$D$2:$D$225,$D134,$C$2:$C$225,$C134))</f>
        <v>330</v>
      </c>
      <c r="P134" s="249">
        <f ca="1">IF('Point Data'!D134&gt;Standings!$Q$27,"",SUMIFS($M$2:$M$225,$D$2:$D$225,D134))</f>
        <v>168</v>
      </c>
      <c r="Q134" s="249">
        <f ca="1">IF('Point Data'!D134&gt;Standings!$Q$27,"",SUMIFS($L$2:$L$225,$D$2:$D$225,D134))</f>
        <v>688</v>
      </c>
      <c r="R134" s="249">
        <f ca="1">IF($D134&gt;Standings!$Q$27,"",IF(U134="T",(Z134+0.5)/(D134)*100,(Z134/D134)*100))</f>
        <v>42.857142857142854</v>
      </c>
      <c r="S134" s="248">
        <f ca="1">IF($D134&gt;Standings!$Q$27,"",$J134-$K134)</f>
        <v>-75</v>
      </c>
      <c r="T134" s="248">
        <f ca="1">IF($D134&gt;Standings!$Q$27,"",AVERAGE(OFFSET(S134,(-$D134+1),0,1,1):S134))</f>
        <v>-6.6614285714285728</v>
      </c>
      <c r="U134" s="172">
        <f ca="1">IF($D134&gt;Standings!$Q$27,"",IF(J134&gt;K134,1,IF(J134=K134,"T",0)))</f>
        <v>0</v>
      </c>
      <c r="V134" s="172">
        <f ca="1">IF($D134&gt;Standings!$Q$27,"",IF(F134="Conf",V133,SUMIFS($U$2:$U$225,$D$2:$D$225,"&lt;="&amp;$D134,$B$2:$B$225,$B134,$F$2:$F$225,"Non Conf")))</f>
        <v>1</v>
      </c>
      <c r="W134" s="172" t="str">
        <f ca="1">IF($D134&gt;Standings!$Q$27,"",$V134&amp;"-"&amp;COUNTIF(OFFSET($F134,(-$D134+1),0,1,1):$F134,"Non Conf")-$V134)</f>
        <v>1-3</v>
      </c>
      <c r="X134" s="172">
        <f ca="1">IF($D134&gt;Standings!$Q$27,"",SUMIFS($U$2:$U$225,$D$2:$D$225,"&lt;="&amp;$D134,$B$2:$B$225,$B134,$F$2:$F$225,"Conf"))</f>
        <v>2</v>
      </c>
      <c r="Y134" s="172" t="str">
        <f ca="1">IF($D134&gt;Standings!$Q$27,"",$X134&amp;"-"&amp;COUNTIF(OFFSET($F134,(-$D134+1),0,1,1):$F134,"Conf")-$X134)</f>
        <v>2-1</v>
      </c>
      <c r="Z134" s="172">
        <f ca="1">IF($D134&gt;Standings!$Q$27,"",SUM(OFFSET(U134,(-$D134+1),0,1,1):U134))</f>
        <v>3</v>
      </c>
      <c r="AA134" s="172">
        <f ca="1">IF($D134&gt;Standings!$Q$27,"",IF(U134=1,1+AA133,0))</f>
        <v>0</v>
      </c>
      <c r="AB134" s="267">
        <f ca="1">IF($D134&gt;Standings!$Q$27,"",IF(AA134=0,1+AB133,0))</f>
        <v>1</v>
      </c>
      <c r="AC134" s="251">
        <f ca="1">IF($D134&gt;Standings!$Q$27,"",SUM(OFFSET(J134,(-$D134+1),0,1,1):J134))</f>
        <v>725.10000000000014</v>
      </c>
      <c r="AD134" s="248">
        <f ca="1">IF($D134&gt;Standings!$Q$27,"",SUM(OFFSET(K134,(-$D134+1),0,1,1):K134))</f>
        <v>771.73</v>
      </c>
      <c r="AE134" s="248">
        <f ca="1">IF($D134&gt;Standings!$Q$27,"",$J134-$K134)</f>
        <v>-75</v>
      </c>
      <c r="AF134" s="248">
        <f ca="1">IF($D134&gt;Standings!$Q$27,"",AC134-AD134)</f>
        <v>-46.629999999999882</v>
      </c>
      <c r="AG134" s="252">
        <f ca="1">IF($D134&gt;Standings!$Q$27,"",(COUNTIFS($D$2:$D$225,$D134,$C$2:$C$225,$C134,$AC$2:$AC$225,"&lt;"&amp;$AC134)+1)*0.01)</f>
        <v>0.04</v>
      </c>
      <c r="AH134" s="252">
        <f ca="1">IF($D134&gt;Standings!$Q$27,"",Z134+AG134)</f>
        <v>3.04</v>
      </c>
      <c r="AI134" s="252"/>
      <c r="AJ134" s="172">
        <f t="array" aca="1" ref="AJ134" ca="1">IF($D134&gt;Standings!$Q$27,"",(COUNTIFS($D$2:$D$225,$D134,$C$2:$C$225,$C134,$AM$2:$AM$225,"&gt;"&amp;$AM134)+1))</f>
        <v>5</v>
      </c>
      <c r="AK134" s="172">
        <f t="array" aca="1" ref="AK134" ca="1">IF($D134&gt;Standings!$Q$27,"",IF((COUNTIFS($D$2:$D$225,$D134,$C$2:$C$225,$C134,$AH$2:$AH$225,"&gt;"&amp;$AH134)+1)=2,1,0))</f>
        <v>0</v>
      </c>
      <c r="AL134" s="172">
        <f t="array" aca="1" ref="AL134" ca="1">IF($D134&gt;Standings!$Q$27,"",IF((COUNTIFS($D$2:$D$225,$D134,$C$2:$C$225,$C134,$AH$2:$AH$225,"&gt;"&amp;$AH134)+1)&lt;2,1,0))</f>
        <v>0</v>
      </c>
      <c r="AM134" s="172">
        <f ca="1">IF($D134&gt;Standings!$Q$27,"",IF(AL134=1,200+Z134+(16-AQ134)*0.01+AI134,IF(AK134=1,100+Z134+(16-AQ134)*0.01+AI134,IF(AN134=1,50+Z134+(16-AQ134)*0.01,IF(AO134=1,15+Z134+(16-AQ134)*0.01,Z134+(16-AQ134)*0.01+AI134)))))</f>
        <v>3.06</v>
      </c>
      <c r="AN134" s="172">
        <f ca="1">IF($D134&gt;Standings!$Q$27,"",IF(OR($AK134=1,$AL134=1),"Conf Playoff Spot",COUNTIFS($AL$2:$AL$225,0,$AK$2:$AK$225,0,$C$2:$C$225,$C134,$D$2:$D$225,$D134,$AC$2:$AC$225,"&gt;"&amp;$AC134)+1))</f>
        <v>3</v>
      </c>
      <c r="AO134" s="172">
        <f t="array" aca="1" ref="AO134" ca="1">IF($D134&gt;Standings!$Q$27,"",IF(OR($AK134=1,$AL134=1),"Conf Playoff Spot",COUNTIFS($AK$2:$AK$225,0,$AL$2:$AL$225,0,$D$2:$D$225,$D134,$AH$2:$AH$225,"&gt;"&amp;$AH134)+1))</f>
        <v>6</v>
      </c>
      <c r="AP134" s="172">
        <f t="array" aca="1" ref="AP134" ca="1">IF($D134&gt;Standings!$Q$27,"",(COUNTIFS($D$2:$D$225,$D134,$J$2:$J$225,"&gt;"&amp;$J134)+1))</f>
        <v>15</v>
      </c>
      <c r="AQ134" s="172">
        <f ca="1">IF($D134&gt;Standings!$Q$27,"",(COUNTIFS($D$2:$D$225,$D134,$AC$2:$AC$225,"&gt;"&amp;$AC134)+1))</f>
        <v>10</v>
      </c>
      <c r="AR134" s="172">
        <f ca="1">IF($D134&gt;Standings!$Q$27,"",(COUNTIFS($D$2:$D$225,$D134,$K$2:$K$225,"&gt;"&amp;$K134)+1))</f>
        <v>2</v>
      </c>
      <c r="AS134" s="172">
        <f ca="1">IF($D134&gt;Standings!$Q$27,"",(COUNTIFS($D$2:$D$225,$D134,$AD$2:$AD$225,"&gt;"&amp;$AD134)+1))</f>
        <v>4</v>
      </c>
      <c r="AT134" s="354">
        <f ca="1">IF($D134&gt;Standings!$Q$27,"",SUMIFS($J$2:$J$225,$D$2:$D$225,$D134,$C$2:$C$225,$C134))</f>
        <v>714.95</v>
      </c>
      <c r="AU134" s="253">
        <f ca="1">IF($D134&gt;Standings!$Q$27,"",SUMIFS($AC$2:$AC$225,$D$2:$D$225,$D134,$C$2:$C$225,$C134))</f>
        <v>5808.34</v>
      </c>
    </row>
    <row r="135" spans="1:47">
      <c r="A135" s="190">
        <f t="shared" si="1"/>
        <v>121</v>
      </c>
      <c r="B135" s="5" t="str">
        <f>'ESPN Data'!$L$13</f>
        <v>Team 10</v>
      </c>
      <c r="C135" s="350" t="str">
        <f>VLOOKUP(B135,'ESPN Data'!$L$4:$M$19,2,FALSE)</f>
        <v>Wardo</v>
      </c>
      <c r="D135" s="400">
        <v>8</v>
      </c>
      <c r="E135" s="267" t="str">
        <f t="array" ref="E135">INDEX('ESPN Data'!$C$3:$C$226,MATCH(1,('ESPN Data'!$A$3:$A$226='Point Data'!$D135)*('ESPN Data'!$B$3:$B$226='Point Data'!$B135),0))</f>
        <v>Team 11</v>
      </c>
      <c r="F135" s="250" t="str">
        <f>IF(C135&lt;&gt;VLOOKUP($E135,'ESPN Data'!$L$4:$M$19,2,FALSE),"Non Conf", "Conf")</f>
        <v>Conf</v>
      </c>
      <c r="G135" s="246">
        <f t="array" aca="1" ref="G135" ca="1">IF('Point Data'!$D135&gt;Standings!$Q$27,"",(COUNTIFS($D$2:$D$225,$D135,$AM$2:$AM$225,"&gt;"&amp;$AM135)+1))</f>
        <v>11</v>
      </c>
      <c r="H135" s="172">
        <f ca="1">IF('Point Data'!$D135&gt;Standings!$Q$27,"",$G134)</f>
        <v>11</v>
      </c>
      <c r="I135" s="249">
        <f ca="1">IF('Point Data'!D135&gt;Standings!$Q$27,"",H135-G135)</f>
        <v>0</v>
      </c>
      <c r="J135" s="172">
        <f ca="1">IF('Point Data'!D135&gt;Standings!$Q$27,"",OFFSET('ESPN Data'!D$3,$A135,0,1,1))</f>
        <v>81.650000000000006</v>
      </c>
      <c r="K135" s="248">
        <f ca="1">IF('Point Data'!D135&gt;Standings!$Q$27,"",OFFSET('ESPN Data'!E$3,$A135,0,1,1))</f>
        <v>70.75</v>
      </c>
      <c r="L135" s="249">
        <f ca="1">IF('Point Data'!D135&gt;Standings!$Q$27,"",OFFSET('ESPN Data'!I$3,$A135,0,1,1))</f>
        <v>27</v>
      </c>
      <c r="M135" s="249">
        <f ca="1">IF('Point Data'!D135&gt;Standings!$Q$27,"",OFFSET('ESPN Data'!I$3,$A135,-2,1,1))</f>
        <v>37</v>
      </c>
      <c r="N135" s="249">
        <f ca="1">IF('Point Data'!D135&gt;Standings!$Q$27,"",SUMIFS($M$2:$M$225,$D$2:$D$225,D135,$C$2:$C$225,C135))</f>
        <v>62</v>
      </c>
      <c r="O135" s="249">
        <f ca="1">IF('Point Data'!D135&gt;Standings!$Q$27,"",SUMIFS($L$2:$L$225,$D$2:$D$225,$D135,$C$2:$C$225,$C135))</f>
        <v>268</v>
      </c>
      <c r="P135" s="249">
        <f ca="1">IF('Point Data'!D135&gt;Standings!$Q$27,"",SUMIFS($M$2:$M$225,$D$2:$D$225,D135))</f>
        <v>80</v>
      </c>
      <c r="Q135" s="249">
        <f ca="1">IF('Point Data'!D135&gt;Standings!$Q$27,"",SUMIFS($L$2:$L$225,$D$2:$D$225,D135))</f>
        <v>608</v>
      </c>
      <c r="R135" s="249">
        <f ca="1">IF($D135&gt;Standings!$Q$27,"",IF(U135="T",(Z135+0.5)/(D135)*100,(Z135/D135)*100))</f>
        <v>50</v>
      </c>
      <c r="S135" s="248">
        <f ca="1">IF($D135&gt;Standings!$Q$27,"",$J135-$K135)</f>
        <v>10.900000000000006</v>
      </c>
      <c r="T135" s="248">
        <f ca="1">IF($D135&gt;Standings!$Q$27,"",AVERAGE(OFFSET(S135,(-$D135+1),0,1,1):S135))</f>
        <v>-4.4662500000000005</v>
      </c>
      <c r="U135" s="172">
        <f ca="1">IF($D135&gt;Standings!$Q$27,"",IF(J135&gt;K135,1,IF(J135=K135,"T",0)))</f>
        <v>1</v>
      </c>
      <c r="V135" s="172">
        <f ca="1">IF($D135&gt;Standings!$Q$27,"",IF(F135="Conf",V134,SUMIFS($U$2:$U$225,$D$2:$D$225,"&lt;="&amp;$D135,$B$2:$B$225,$B135,$F$2:$F$225,"Non Conf")))</f>
        <v>1</v>
      </c>
      <c r="W135" s="172" t="str">
        <f ca="1">IF($D135&gt;Standings!$Q$27,"",$V135&amp;"-"&amp;COUNTIF(OFFSET($F135,(-$D135+1),0,1,1):$F135,"Non Conf")-$V135)</f>
        <v>1-3</v>
      </c>
      <c r="X135" s="172">
        <f ca="1">IF($D135&gt;Standings!$Q$27,"",SUMIFS($U$2:$U$225,$D$2:$D$225,"&lt;="&amp;$D135,$B$2:$B$225,$B135,$F$2:$F$225,"Conf"))</f>
        <v>3</v>
      </c>
      <c r="Y135" s="172" t="str">
        <f ca="1">IF($D135&gt;Standings!$Q$27,"",$X135&amp;"-"&amp;COUNTIF(OFFSET($F135,(-$D135+1),0,1,1):$F135,"Conf")-$X135)</f>
        <v>3-1</v>
      </c>
      <c r="Z135" s="172">
        <f ca="1">IF($D135&gt;Standings!$Q$27,"",SUM(OFFSET(U135,(-$D135+1),0,1,1):U135))</f>
        <v>4</v>
      </c>
      <c r="AA135" s="172">
        <f ca="1">IF($D135&gt;Standings!$Q$27,"",IF(U135=1,1+AA134,0))</f>
        <v>1</v>
      </c>
      <c r="AB135" s="267">
        <f ca="1">IF($D135&gt;Standings!$Q$27,"",IF(AA135=0,1+AB134,0))</f>
        <v>0</v>
      </c>
      <c r="AC135" s="251">
        <f ca="1">IF($D135&gt;Standings!$Q$27,"",SUM(OFFSET(J135,(-$D135+1),0,1,1):J135))</f>
        <v>806.75000000000011</v>
      </c>
      <c r="AD135" s="248">
        <f ca="1">IF($D135&gt;Standings!$Q$27,"",SUM(OFFSET(K135,(-$D135+1),0,1,1):K135))</f>
        <v>842.48</v>
      </c>
      <c r="AE135" s="248">
        <f ca="1">IF($D135&gt;Standings!$Q$27,"",$J135-$K135)</f>
        <v>10.900000000000006</v>
      </c>
      <c r="AF135" s="248">
        <f ca="1">IF($D135&gt;Standings!$Q$27,"",AC135-AD135)</f>
        <v>-35.729999999999905</v>
      </c>
      <c r="AG135" s="252">
        <f ca="1">IF($D135&gt;Standings!$Q$27,"",(COUNTIFS($D$2:$D$225,$D135,$C$2:$C$225,$C135,$AC$2:$AC$225,"&lt;"&amp;$AC135)+1)*0.01)</f>
        <v>0.05</v>
      </c>
      <c r="AH135" s="252">
        <f ca="1">IF($D135&gt;Standings!$Q$27,"",Z135+AG135)</f>
        <v>4.05</v>
      </c>
      <c r="AI135" s="252"/>
      <c r="AJ135" s="172">
        <f t="array" aca="1" ref="AJ135" ca="1">IF($D135&gt;Standings!$Q$27,"",(COUNTIFS($D$2:$D$225,$D135,$C$2:$C$225,$C135,$AM$2:$AM$225,"&gt;"&amp;$AM135)+1))</f>
        <v>5</v>
      </c>
      <c r="AK135" s="172">
        <f t="array" aca="1" ref="AK135" ca="1">IF($D135&gt;Standings!$Q$27,"",IF((COUNTIFS($D$2:$D$225,$D135,$C$2:$C$225,$C135,$AH$2:$AH$225,"&gt;"&amp;$AH135)+1)=2,1,0))</f>
        <v>0</v>
      </c>
      <c r="AL135" s="172">
        <f t="array" aca="1" ref="AL135" ca="1">IF($D135&gt;Standings!$Q$27,"",IF((COUNTIFS($D$2:$D$225,$D135,$C$2:$C$225,$C135,$AH$2:$AH$225,"&gt;"&amp;$AH135)+1)&lt;2,1,0))</f>
        <v>0</v>
      </c>
      <c r="AM135" s="172">
        <f ca="1">IF($D135&gt;Standings!$Q$27,"",IF(AL135=1,200+Z135+(16-AQ135)*0.01+AI135,IF(AK135=1,100+Z135+(16-AQ135)*0.01+AI135,IF(AN135=1,50+Z135+(16-AQ135)*0.01,IF(AO135=1,15+Z135+(16-AQ135)*0.01,Z135+(16-AQ135)*0.01+AI135)))))</f>
        <v>4.0599999999999996</v>
      </c>
      <c r="AN135" s="172">
        <f ca="1">IF($D135&gt;Standings!$Q$27,"",IF(OR($AK135=1,$AL135=1),"Conf Playoff Spot",COUNTIFS($AL$2:$AL$225,0,$AK$2:$AK$225,0,$C$2:$C$225,$C135,$D$2:$D$225,$D135,$AC$2:$AC$225,"&gt;"&amp;$AC135)+1))</f>
        <v>3</v>
      </c>
      <c r="AO135" s="172">
        <f t="array" aca="1" ref="AO135" ca="1">IF($D135&gt;Standings!$Q$27,"",IF(OR($AK135=1,$AL135=1),"Conf Playoff Spot",COUNTIFS($AK$2:$AK$225,0,$AL$2:$AL$225,0,$D$2:$D$225,$D135,$AH$2:$AH$225,"&gt;"&amp;$AH135)+1))</f>
        <v>6</v>
      </c>
      <c r="AP135" s="172">
        <f t="array" aca="1" ref="AP135" ca="1">IF($D135&gt;Standings!$Q$27,"",(COUNTIFS($D$2:$D$225,$D135,$J$2:$J$225,"&gt;"&amp;$J135)+1))</f>
        <v>11</v>
      </c>
      <c r="AQ135" s="172">
        <f ca="1">IF($D135&gt;Standings!$Q$27,"",(COUNTIFS($D$2:$D$225,$D135,$AC$2:$AC$225,"&gt;"&amp;$AC135)+1))</f>
        <v>10</v>
      </c>
      <c r="AR135" s="172">
        <f ca="1">IF($D135&gt;Standings!$Q$27,"",(COUNTIFS($D$2:$D$225,$D135,$K$2:$K$225,"&gt;"&amp;$K135)+1))</f>
        <v>14</v>
      </c>
      <c r="AS135" s="172">
        <f ca="1">IF($D135&gt;Standings!$Q$27,"",(COUNTIFS($D$2:$D$225,$D135,$AD$2:$AD$225,"&gt;"&amp;$AD135)+1))</f>
        <v>7</v>
      </c>
      <c r="AT135" s="354">
        <f ca="1">IF($D135&gt;Standings!$Q$27,"",SUMIFS($J$2:$J$225,$D$2:$D$225,$D135,$C$2:$C$225,$C135))</f>
        <v>755.84</v>
      </c>
      <c r="AU135" s="253">
        <f ca="1">IF($D135&gt;Standings!$Q$27,"",SUMIFS($AC$2:$AC$225,$D$2:$D$225,$D135,$C$2:$C$225,$C135))</f>
        <v>6564.1799999999994</v>
      </c>
    </row>
    <row r="136" spans="1:47">
      <c r="A136" s="190">
        <f t="shared" si="1"/>
        <v>137</v>
      </c>
      <c r="B136" s="5" t="str">
        <f>'ESPN Data'!$L$13</f>
        <v>Team 10</v>
      </c>
      <c r="C136" s="350" t="str">
        <f>VLOOKUP(B136,'ESPN Data'!$L$4:$M$19,2,FALSE)</f>
        <v>Wardo</v>
      </c>
      <c r="D136" s="400">
        <v>9</v>
      </c>
      <c r="E136" s="267" t="str">
        <f t="array" ref="E136">INDEX('ESPN Data'!$C$3:$C$226,MATCH(1,('ESPN Data'!$A$3:$A$226='Point Data'!$D136)*('ESPN Data'!$B$3:$B$226='Point Data'!$B136),0))</f>
        <v>Team 6</v>
      </c>
      <c r="F136" s="250" t="str">
        <f>IF(C136&lt;&gt;VLOOKUP($E136,'ESPN Data'!$L$4:$M$19,2,FALSE),"Non Conf", "Conf")</f>
        <v>Non Conf</v>
      </c>
      <c r="G136" s="246">
        <f t="array" aca="1" ref="G136" ca="1">IF('Point Data'!$D136&gt;Standings!$Q$27,"",(COUNTIFS($D$2:$D$225,$D136,$AM$2:$AM$225,"&gt;"&amp;$AM136)+1))</f>
        <v>8</v>
      </c>
      <c r="H136" s="172">
        <f ca="1">IF('Point Data'!$D136&gt;Standings!$Q$27,"",$G135)</f>
        <v>11</v>
      </c>
      <c r="I136" s="249">
        <f ca="1">IF('Point Data'!D136&gt;Standings!$Q$27,"",H136-G136)</f>
        <v>3</v>
      </c>
      <c r="J136" s="172">
        <f ca="1">IF('Point Data'!D136&gt;Standings!$Q$27,"",OFFSET('ESPN Data'!D$3,$A136,0,1,1))</f>
        <v>117.32</v>
      </c>
      <c r="K136" s="248">
        <f ca="1">IF('Point Data'!D136&gt;Standings!$Q$27,"",OFFSET('ESPN Data'!E$3,$A136,0,1,1))</f>
        <v>73.540000000000006</v>
      </c>
      <c r="L136" s="249">
        <f ca="1">IF('Point Data'!D136&gt;Standings!$Q$27,"",OFFSET('ESPN Data'!I$3,$A136,0,1,1))</f>
        <v>27</v>
      </c>
      <c r="M136" s="249">
        <f ca="1">IF('Point Data'!D136&gt;Standings!$Q$27,"",OFFSET('ESPN Data'!I$3,$A136,-2,1,1))</f>
        <v>0</v>
      </c>
      <c r="N136" s="249">
        <f ca="1">IF('Point Data'!D136&gt;Standings!$Q$27,"",SUMIFS($M$2:$M$225,$D$2:$D$225,D136,$C$2:$C$225,C136))</f>
        <v>28</v>
      </c>
      <c r="O136" s="249">
        <f ca="1">IF('Point Data'!D136&gt;Standings!$Q$27,"",SUMIFS($L$2:$L$225,$D$2:$D$225,$D136,$C$2:$C$225,$C136))</f>
        <v>240</v>
      </c>
      <c r="P136" s="249">
        <f ca="1">IF('Point Data'!D136&gt;Standings!$Q$27,"",SUMIFS($M$2:$M$225,$D$2:$D$225,D136))</f>
        <v>63</v>
      </c>
      <c r="Q136" s="249">
        <f ca="1">IF('Point Data'!D136&gt;Standings!$Q$27,"",SUMIFS($L$2:$L$225,$D$2:$D$225,D136))</f>
        <v>545</v>
      </c>
      <c r="R136" s="249">
        <f ca="1">IF($D136&gt;Standings!$Q$27,"",IF(U136="T",(Z136+0.5)/(D136)*100,(Z136/D136)*100))</f>
        <v>55.555555555555557</v>
      </c>
      <c r="S136" s="248">
        <f ca="1">IF($D136&gt;Standings!$Q$27,"",$J136-$K136)</f>
        <v>43.779999999999987</v>
      </c>
      <c r="T136" s="248">
        <f ca="1">IF($D136&gt;Standings!$Q$27,"",AVERAGE(OFFSET(S136,(-$D136+1),0,1,1):S136))</f>
        <v>0.8944444444444426</v>
      </c>
      <c r="U136" s="172">
        <f ca="1">IF($D136&gt;Standings!$Q$27,"",IF(J136&gt;K136,1,IF(J136=K136,"T",0)))</f>
        <v>1</v>
      </c>
      <c r="V136" s="172">
        <f ca="1">IF($D136&gt;Standings!$Q$27,"",IF(F136="Conf",V135,SUMIFS($U$2:$U$225,$D$2:$D$225,"&lt;="&amp;$D136,$B$2:$B$225,$B136,$F$2:$F$225,"Non Conf")))</f>
        <v>2</v>
      </c>
      <c r="W136" s="172" t="str">
        <f ca="1">IF($D136&gt;Standings!$Q$27,"",$V136&amp;"-"&amp;COUNTIF(OFFSET($F136,(-$D136+1),0,1,1):$F136,"Non Conf")-$V136)</f>
        <v>2-3</v>
      </c>
      <c r="X136" s="172">
        <f ca="1">IF($D136&gt;Standings!$Q$27,"",SUMIFS($U$2:$U$225,$D$2:$D$225,"&lt;="&amp;$D136,$B$2:$B$225,$B136,$F$2:$F$225,"Conf"))</f>
        <v>3</v>
      </c>
      <c r="Y136" s="172" t="str">
        <f ca="1">IF($D136&gt;Standings!$Q$27,"",$X136&amp;"-"&amp;COUNTIF(OFFSET($F136,(-$D136+1),0,1,1):$F136,"Conf")-$X136)</f>
        <v>3-1</v>
      </c>
      <c r="Z136" s="172">
        <f ca="1">IF($D136&gt;Standings!$Q$27,"",SUM(OFFSET(U136,(-$D136+1),0,1,1):U136))</f>
        <v>5</v>
      </c>
      <c r="AA136" s="172">
        <f ca="1">IF($D136&gt;Standings!$Q$27,"",IF(U136=1,1+AA135,0))</f>
        <v>2</v>
      </c>
      <c r="AB136" s="267">
        <f ca="1">IF($D136&gt;Standings!$Q$27,"",IF(AA136=0,1+AB135,0))</f>
        <v>0</v>
      </c>
      <c r="AC136" s="251">
        <f ca="1">IF($D136&gt;Standings!$Q$27,"",SUM(OFFSET(J136,(-$D136+1),0,1,1):J136))</f>
        <v>924.07000000000016</v>
      </c>
      <c r="AD136" s="248">
        <f ca="1">IF($D136&gt;Standings!$Q$27,"",SUM(OFFSET(K136,(-$D136+1),0,1,1):K136))</f>
        <v>916.02</v>
      </c>
      <c r="AE136" s="248">
        <f ca="1">IF($D136&gt;Standings!$Q$27,"",$J136-$K136)</f>
        <v>43.779999999999987</v>
      </c>
      <c r="AF136" s="248">
        <f ca="1">IF($D136&gt;Standings!$Q$27,"",AC136-AD136)</f>
        <v>8.0500000000001819</v>
      </c>
      <c r="AG136" s="252">
        <f ca="1">IF($D136&gt;Standings!$Q$27,"",(COUNTIFS($D$2:$D$225,$D136,$C$2:$C$225,$C136,$AC$2:$AC$225,"&lt;"&amp;$AC136)+1)*0.01)</f>
        <v>0.05</v>
      </c>
      <c r="AH136" s="252">
        <f ca="1">IF($D136&gt;Standings!$Q$27,"",Z136+AG136)</f>
        <v>5.05</v>
      </c>
      <c r="AI136" s="252"/>
      <c r="AJ136" s="172">
        <f t="array" aca="1" ref="AJ136" ca="1">IF($D136&gt;Standings!$Q$27,"",(COUNTIFS($D$2:$D$225,$D136,$C$2:$C$225,$C136,$AM$2:$AM$225,"&gt;"&amp;$AM136)+1))</f>
        <v>4</v>
      </c>
      <c r="AK136" s="172">
        <f t="array" aca="1" ref="AK136" ca="1">IF($D136&gt;Standings!$Q$27,"",IF((COUNTIFS($D$2:$D$225,$D136,$C$2:$C$225,$C136,$AH$2:$AH$225,"&gt;"&amp;$AH136)+1)=2,1,0))</f>
        <v>0</v>
      </c>
      <c r="AL136" s="172">
        <f t="array" aca="1" ref="AL136" ca="1">IF($D136&gt;Standings!$Q$27,"",IF((COUNTIFS($D$2:$D$225,$D136,$C$2:$C$225,$C136,$AH$2:$AH$225,"&gt;"&amp;$AH136)+1)&lt;2,1,0))</f>
        <v>0</v>
      </c>
      <c r="AM136" s="172">
        <f ca="1">IF($D136&gt;Standings!$Q$27,"",IF(AL136=1,200+Z136+(16-AQ136)*0.01+AI136,IF(AK136=1,100+Z136+(16-AQ136)*0.01+AI136,IF(AN136=1,50+Z136+(16-AQ136)*0.01,IF(AO136=1,15+Z136+(16-AQ136)*0.01,Z136+(16-AQ136)*0.01+AI136)))))</f>
        <v>5.08</v>
      </c>
      <c r="AN136" s="172">
        <f ca="1">IF($D136&gt;Standings!$Q$27,"",IF(OR($AK136=1,$AL136=1),"Conf Playoff Spot",COUNTIFS($AL$2:$AL$225,0,$AK$2:$AK$225,0,$C$2:$C$225,$C136,$D$2:$D$225,$D136,$AC$2:$AC$225,"&gt;"&amp;$AC136)+1))</f>
        <v>3</v>
      </c>
      <c r="AO136" s="172">
        <f t="array" aca="1" ref="AO136" ca="1">IF($D136&gt;Standings!$Q$27,"",IF(OR($AK136=1,$AL136=1),"Conf Playoff Spot",COUNTIFS($AK$2:$AK$225,0,$AL$2:$AL$225,0,$D$2:$D$225,$D136,$AH$2:$AH$225,"&gt;"&amp;$AH136)+1))</f>
        <v>4</v>
      </c>
      <c r="AP136" s="172">
        <f t="array" aca="1" ref="AP136" ca="1">IF($D136&gt;Standings!$Q$27,"",(COUNTIFS($D$2:$D$225,$D136,$J$2:$J$225,"&gt;"&amp;$J136)+1))</f>
        <v>4</v>
      </c>
      <c r="AQ136" s="172">
        <f ca="1">IF($D136&gt;Standings!$Q$27,"",(COUNTIFS($D$2:$D$225,$D136,$AC$2:$AC$225,"&gt;"&amp;$AC136)+1))</f>
        <v>8</v>
      </c>
      <c r="AR136" s="172">
        <f ca="1">IF($D136&gt;Standings!$Q$27,"",(COUNTIFS($D$2:$D$225,$D136,$K$2:$K$225,"&gt;"&amp;$K136)+1))</f>
        <v>15</v>
      </c>
      <c r="AS136" s="172">
        <f ca="1">IF($D136&gt;Standings!$Q$27,"",(COUNTIFS($D$2:$D$225,$D136,$AD$2:$AD$225,"&gt;"&amp;$AD136)+1))</f>
        <v>10</v>
      </c>
      <c r="AT136" s="354">
        <f ca="1">IF($D136&gt;Standings!$Q$27,"",SUMIFS($J$2:$J$225,$D$2:$D$225,$D136,$C$2:$C$225,$C136))</f>
        <v>813.24</v>
      </c>
      <c r="AU136" s="253">
        <f ca="1">IF($D136&gt;Standings!$Q$27,"",SUMIFS($AC$2:$AC$225,$D$2:$D$225,$D136,$C$2:$C$225,$C136))</f>
        <v>7377.42</v>
      </c>
    </row>
    <row r="137" spans="1:47">
      <c r="A137" s="190">
        <f t="shared" si="1"/>
        <v>153</v>
      </c>
      <c r="B137" s="5" t="str">
        <f>'ESPN Data'!$L$13</f>
        <v>Team 10</v>
      </c>
      <c r="C137" s="350" t="str">
        <f>VLOOKUP(B137,'ESPN Data'!$L$4:$M$19,2,FALSE)</f>
        <v>Wardo</v>
      </c>
      <c r="D137" s="400">
        <v>10</v>
      </c>
      <c r="E137" s="267" t="str">
        <f t="array" ref="E137">INDEX('ESPN Data'!$C$3:$C$226,MATCH(1,('ESPN Data'!$A$3:$A$226='Point Data'!$D137)*('ESPN Data'!$B$3:$B$226='Point Data'!$B137),0))</f>
        <v>Team 14</v>
      </c>
      <c r="F137" s="250" t="str">
        <f>IF(C137&lt;&gt;VLOOKUP($E137,'ESPN Data'!$L$4:$M$19,2,FALSE),"Non Conf", "Conf")</f>
        <v>Conf</v>
      </c>
      <c r="G137" s="246">
        <f t="array" aca="1" ref="G137" ca="1">IF('Point Data'!$D137&gt;Standings!$Q$27,"",(COUNTIFS($D$2:$D$225,$D137,$AM$2:$AM$225,"&gt;"&amp;$AM137)+1))</f>
        <v>11</v>
      </c>
      <c r="H137" s="172">
        <f ca="1">IF('Point Data'!$D137&gt;Standings!$Q$27,"",$G136)</f>
        <v>8</v>
      </c>
      <c r="I137" s="249">
        <f ca="1">IF('Point Data'!D137&gt;Standings!$Q$27,"",H137-G137)</f>
        <v>-3</v>
      </c>
      <c r="J137" s="172">
        <f ca="1">IF('Point Data'!D137&gt;Standings!$Q$27,"",OFFSET('ESPN Data'!D$3,$A137,0,1,1))</f>
        <v>59.04</v>
      </c>
      <c r="K137" s="248">
        <f ca="1">IF('Point Data'!D137&gt;Standings!$Q$27,"",OFFSET('ESPN Data'!E$3,$A137,0,1,1))</f>
        <v>128.22</v>
      </c>
      <c r="L137" s="249">
        <f ca="1">IF('Point Data'!D137&gt;Standings!$Q$27,"",OFFSET('ESPN Data'!I$3,$A137,0,1,1))</f>
        <v>27</v>
      </c>
      <c r="M137" s="249">
        <f ca="1">IF('Point Data'!D137&gt;Standings!$Q$27,"",OFFSET('ESPN Data'!I$3,$A137,-2,1,1))</f>
        <v>0</v>
      </c>
      <c r="N137" s="249">
        <f ca="1">IF('Point Data'!D137&gt;Standings!$Q$27,"",SUMIFS($M$2:$M$225,$D$2:$D$225,D137,$C$2:$C$225,C137))</f>
        <v>13</v>
      </c>
      <c r="O137" s="249">
        <f ca="1">IF('Point Data'!D137&gt;Standings!$Q$27,"",SUMIFS($L$2:$L$225,$D$2:$D$225,$D137,$C$2:$C$225,$C137))</f>
        <v>227</v>
      </c>
      <c r="P137" s="249">
        <f ca="1">IF('Point Data'!D137&gt;Standings!$Q$27,"",SUMIFS($M$2:$M$225,$D$2:$D$225,D137))</f>
        <v>32</v>
      </c>
      <c r="Q137" s="249">
        <f ca="1">IF('Point Data'!D137&gt;Standings!$Q$27,"",SUMIFS($L$2:$L$225,$D$2:$D$225,D137))</f>
        <v>513</v>
      </c>
      <c r="R137" s="249">
        <f ca="1">IF($D137&gt;Standings!$Q$27,"",IF(U137="T",(Z137+0.5)/(D137)*100,(Z137/D137)*100))</f>
        <v>50</v>
      </c>
      <c r="S137" s="248">
        <f ca="1">IF($D137&gt;Standings!$Q$27,"",$J137-$K137)</f>
        <v>-69.180000000000007</v>
      </c>
      <c r="T137" s="248">
        <f ca="1">IF($D137&gt;Standings!$Q$27,"",AVERAGE(OFFSET(S137,(-$D137+1),0,1,1):S137))</f>
        <v>-6.1130000000000022</v>
      </c>
      <c r="U137" s="172">
        <f ca="1">IF($D137&gt;Standings!$Q$27,"",IF(J137&gt;K137,1,IF(J137=K137,"T",0)))</f>
        <v>0</v>
      </c>
      <c r="V137" s="172">
        <f ca="1">IF($D137&gt;Standings!$Q$27,"",IF(F137="Conf",V136,SUMIFS($U$2:$U$225,$D$2:$D$225,"&lt;="&amp;$D137,$B$2:$B$225,$B137,$F$2:$F$225,"Non Conf")))</f>
        <v>2</v>
      </c>
      <c r="W137" s="172" t="str">
        <f ca="1">IF($D137&gt;Standings!$Q$27,"",$V137&amp;"-"&amp;COUNTIF(OFFSET($F137,(-$D137+1),0,1,1):$F137,"Non Conf")-$V137)</f>
        <v>2-3</v>
      </c>
      <c r="X137" s="172">
        <f ca="1">IF($D137&gt;Standings!$Q$27,"",SUMIFS($U$2:$U$225,$D$2:$D$225,"&lt;="&amp;$D137,$B$2:$B$225,$B137,$F$2:$F$225,"Conf"))</f>
        <v>3</v>
      </c>
      <c r="Y137" s="172" t="str">
        <f ca="1">IF($D137&gt;Standings!$Q$27,"",$X137&amp;"-"&amp;COUNTIF(OFFSET($F137,(-$D137+1),0,1,1):$F137,"Conf")-$X137)</f>
        <v>3-2</v>
      </c>
      <c r="Z137" s="172">
        <f ca="1">IF($D137&gt;Standings!$Q$27,"",SUM(OFFSET(U137,(-$D137+1),0,1,1):U137))</f>
        <v>5</v>
      </c>
      <c r="AA137" s="172">
        <f ca="1">IF($D137&gt;Standings!$Q$27,"",IF(U137=1,1+AA136,0))</f>
        <v>0</v>
      </c>
      <c r="AB137" s="267">
        <f ca="1">IF($D137&gt;Standings!$Q$27,"",IF(AA137=0,1+AB136,0))</f>
        <v>1</v>
      </c>
      <c r="AC137" s="251">
        <f ca="1">IF($D137&gt;Standings!$Q$27,"",SUM(OFFSET(J137,(-$D137+1),0,1,1):J137))</f>
        <v>983.11000000000013</v>
      </c>
      <c r="AD137" s="248">
        <f ca="1">IF($D137&gt;Standings!$Q$27,"",SUM(OFFSET(K137,(-$D137+1),0,1,1):K137))</f>
        <v>1044.24</v>
      </c>
      <c r="AE137" s="248">
        <f ca="1">IF($D137&gt;Standings!$Q$27,"",$J137-$K137)</f>
        <v>-69.180000000000007</v>
      </c>
      <c r="AF137" s="248">
        <f ca="1">IF($D137&gt;Standings!$Q$27,"",AC137-AD137)</f>
        <v>-61.129999999999882</v>
      </c>
      <c r="AG137" s="252">
        <f ca="1">IF($D137&gt;Standings!$Q$27,"",(COUNTIFS($D$2:$D$225,$D137,$C$2:$C$225,$C137,$AC$2:$AC$225,"&lt;"&amp;$AC137)+1)*0.01)</f>
        <v>0.05</v>
      </c>
      <c r="AH137" s="252">
        <f ca="1">IF($D137&gt;Standings!$Q$27,"",Z137+AG137)</f>
        <v>5.05</v>
      </c>
      <c r="AI137" s="252"/>
      <c r="AJ137" s="172">
        <f t="array" aca="1" ref="AJ137" ca="1">IF($D137&gt;Standings!$Q$27,"",(COUNTIFS($D$2:$D$225,$D137,$C$2:$C$225,$C137,$AM$2:$AM$225,"&gt;"&amp;$AM137)+1))</f>
        <v>5</v>
      </c>
      <c r="AK137" s="172">
        <f t="array" aca="1" ref="AK137" ca="1">IF($D137&gt;Standings!$Q$27,"",IF((COUNTIFS($D$2:$D$225,$D137,$C$2:$C$225,$C137,$AH$2:$AH$225,"&gt;"&amp;$AH137)+1)=2,1,0))</f>
        <v>0</v>
      </c>
      <c r="AL137" s="172">
        <f t="array" aca="1" ref="AL137" ca="1">IF($D137&gt;Standings!$Q$27,"",IF((COUNTIFS($D$2:$D$225,$D137,$C$2:$C$225,$C137,$AH$2:$AH$225,"&gt;"&amp;$AH137)+1)&lt;2,1,0))</f>
        <v>0</v>
      </c>
      <c r="AM137" s="172">
        <f ca="1">IF($D137&gt;Standings!$Q$27,"",IF(AL137=1,200+Z137+(16-AQ137)*0.01+AI137,IF(AK137=1,100+Z137+(16-AQ137)*0.01+AI137,IF(AN137=1,50+Z137+(16-AQ137)*0.01,IF(AO137=1,15+Z137+(16-AQ137)*0.01,Z137+(16-AQ137)*0.01+AI137)))))</f>
        <v>5.0599999999999996</v>
      </c>
      <c r="AN137" s="172">
        <f ca="1">IF($D137&gt;Standings!$Q$27,"",IF(OR($AK137=1,$AL137=1),"Conf Playoff Spot",COUNTIFS($AL$2:$AL$225,0,$AK$2:$AK$225,0,$C$2:$C$225,$C137,$D$2:$D$225,$D137,$AC$2:$AC$225,"&gt;"&amp;$AC137)+1))</f>
        <v>2</v>
      </c>
      <c r="AO137" s="172">
        <f t="array" aca="1" ref="AO137" ca="1">IF($D137&gt;Standings!$Q$27,"",IF(OR($AK137=1,$AL137=1),"Conf Playoff Spot",COUNTIFS($AK$2:$AK$225,0,$AL$2:$AL$225,0,$D$2:$D$225,$D137,$AH$2:$AH$225,"&gt;"&amp;$AH137)+1))</f>
        <v>5</v>
      </c>
      <c r="AP137" s="172">
        <f t="array" aca="1" ref="AP137" ca="1">IF($D137&gt;Standings!$Q$27,"",(COUNTIFS($D$2:$D$225,$D137,$J$2:$J$225,"&gt;"&amp;$J137)+1))</f>
        <v>16</v>
      </c>
      <c r="AQ137" s="172">
        <f ca="1">IF($D137&gt;Standings!$Q$27,"",(COUNTIFS($D$2:$D$225,$D137,$AC$2:$AC$225,"&gt;"&amp;$AC137)+1))</f>
        <v>10</v>
      </c>
      <c r="AR137" s="172">
        <f ca="1">IF($D137&gt;Standings!$Q$27,"",(COUNTIFS($D$2:$D$225,$D137,$K$2:$K$225,"&gt;"&amp;$K137)+1))</f>
        <v>2</v>
      </c>
      <c r="AS137" s="172">
        <f ca="1">IF($D137&gt;Standings!$Q$27,"",(COUNTIFS($D$2:$D$225,$D137,$AD$2:$AD$225,"&gt;"&amp;$AD137)+1))</f>
        <v>8</v>
      </c>
      <c r="AT137" s="354">
        <f ca="1">IF($D137&gt;Standings!$Q$27,"",SUMIFS($J$2:$J$225,$D$2:$D$225,$D137,$C$2:$C$225,$C137))</f>
        <v>737.32999999999993</v>
      </c>
      <c r="AU137" s="253">
        <f ca="1">IF($D137&gt;Standings!$Q$27,"",SUMIFS($AC$2:$AC$225,$D$2:$D$225,$D137,$C$2:$C$225,$C137))</f>
        <v>8114.7500000000009</v>
      </c>
    </row>
    <row r="138" spans="1:47">
      <c r="A138" s="190">
        <f t="shared" si="1"/>
        <v>169</v>
      </c>
      <c r="B138" s="5" t="str">
        <f>'ESPN Data'!$L$13</f>
        <v>Team 10</v>
      </c>
      <c r="C138" s="350" t="str">
        <f>VLOOKUP(B138,'ESPN Data'!$L$4:$M$19,2,FALSE)</f>
        <v>Wardo</v>
      </c>
      <c r="D138" s="400">
        <v>11</v>
      </c>
      <c r="E138" s="267" t="str">
        <f t="array" ref="E138">INDEX('ESPN Data'!$C$3:$C$226,MATCH(1,('ESPN Data'!$A$3:$A$226='Point Data'!$D138)*('ESPN Data'!$B$3:$B$226='Point Data'!$B138),0))</f>
        <v>Team 4</v>
      </c>
      <c r="F138" s="250" t="str">
        <f>IF(C138&lt;&gt;VLOOKUP($E138,'ESPN Data'!$L$4:$M$19,2,FALSE),"Non Conf", "Conf")</f>
        <v>Non Conf</v>
      </c>
      <c r="G138" s="246">
        <f t="array" aca="1" ref="G138" ca="1">IF('Point Data'!$D138&gt;Standings!$Q$27,"",(COUNTIFS($D$2:$D$225,$D138,$AM$2:$AM$225,"&gt;"&amp;$AM138)+1))</f>
        <v>11</v>
      </c>
      <c r="H138" s="172">
        <f ca="1">IF('Point Data'!$D138&gt;Standings!$Q$27,"",$G137)</f>
        <v>11</v>
      </c>
      <c r="I138" s="249">
        <f ca="1">IF('Point Data'!D138&gt;Standings!$Q$27,"",H138-G138)</f>
        <v>0</v>
      </c>
      <c r="J138" s="172">
        <f ca="1">IF('Point Data'!D138&gt;Standings!$Q$27,"",OFFSET('ESPN Data'!D$3,$A138,0,1,1))</f>
        <v>91.31</v>
      </c>
      <c r="K138" s="248">
        <f ca="1">IF('Point Data'!D138&gt;Standings!$Q$27,"",OFFSET('ESPN Data'!E$3,$A138,0,1,1))</f>
        <v>91.73</v>
      </c>
      <c r="L138" s="249">
        <f ca="1">IF('Point Data'!D138&gt;Standings!$Q$27,"",OFFSET('ESPN Data'!I$3,$A138,0,1,1))</f>
        <v>27</v>
      </c>
      <c r="M138" s="249">
        <f ca="1">IF('Point Data'!D138&gt;Standings!$Q$27,"",OFFSET('ESPN Data'!I$3,$A138,-2,1,1))</f>
        <v>0</v>
      </c>
      <c r="N138" s="249">
        <f ca="1">IF('Point Data'!D138&gt;Standings!$Q$27,"",SUMIFS($M$2:$M$225,$D$2:$D$225,D138,$C$2:$C$225,C138))</f>
        <v>10</v>
      </c>
      <c r="O138" s="249">
        <f ca="1">IF('Point Data'!D138&gt;Standings!$Q$27,"",SUMIFS($L$2:$L$225,$D$2:$D$225,$D138,$C$2:$C$225,$C138))</f>
        <v>217</v>
      </c>
      <c r="P138" s="249">
        <f ca="1">IF('Point Data'!D138&gt;Standings!$Q$27,"",SUMIFS($M$2:$M$225,$D$2:$D$225,D138))</f>
        <v>61</v>
      </c>
      <c r="Q138" s="249">
        <f ca="1">IF('Point Data'!D138&gt;Standings!$Q$27,"",SUMIFS($L$2:$L$225,$D$2:$D$225,D138))</f>
        <v>452</v>
      </c>
      <c r="R138" s="249">
        <f ca="1">IF($D138&gt;Standings!$Q$27,"",IF(U138="T",(Z138+0.5)/(D138)*100,(Z138/D138)*100))</f>
        <v>45.454545454545453</v>
      </c>
      <c r="S138" s="248">
        <f ca="1">IF($D138&gt;Standings!$Q$27,"",$J138-$K138)</f>
        <v>-0.42000000000000171</v>
      </c>
      <c r="T138" s="248">
        <f ca="1">IF($D138&gt;Standings!$Q$27,"",AVERAGE(OFFSET(S138,(-$D138+1),0,1,1):S138))</f>
        <v>-5.5954545454545475</v>
      </c>
      <c r="U138" s="172">
        <f ca="1">IF($D138&gt;Standings!$Q$27,"",IF(J138&gt;K138,1,IF(J138=K138,"T",0)))</f>
        <v>0</v>
      </c>
      <c r="V138" s="172">
        <f ca="1">IF($D138&gt;Standings!$Q$27,"",IF(F138="Conf",V137,SUMIFS($U$2:$U$225,$D$2:$D$225,"&lt;="&amp;$D138,$B$2:$B$225,$B138,$F$2:$F$225,"Non Conf")))</f>
        <v>2</v>
      </c>
      <c r="W138" s="172" t="str">
        <f ca="1">IF($D138&gt;Standings!$Q$27,"",$V138&amp;"-"&amp;COUNTIF(OFFSET($F138,(-$D138+1),0,1,1):$F138,"Non Conf")-$V138)</f>
        <v>2-4</v>
      </c>
      <c r="X138" s="172">
        <f ca="1">IF($D138&gt;Standings!$Q$27,"",SUMIFS($U$2:$U$225,$D$2:$D$225,"&lt;="&amp;$D138,$B$2:$B$225,$B138,$F$2:$F$225,"Conf"))</f>
        <v>3</v>
      </c>
      <c r="Y138" s="172" t="str">
        <f ca="1">IF($D138&gt;Standings!$Q$27,"",$X138&amp;"-"&amp;COUNTIF(OFFSET($F138,(-$D138+1),0,1,1):$F138,"Conf")-$X138)</f>
        <v>3-2</v>
      </c>
      <c r="Z138" s="172">
        <f ca="1">IF($D138&gt;Standings!$Q$27,"",SUM(OFFSET(U138,(-$D138+1),0,1,1):U138))</f>
        <v>5</v>
      </c>
      <c r="AA138" s="172">
        <f ca="1">IF($D138&gt;Standings!$Q$27,"",IF(U138=1,1+AA137,0))</f>
        <v>0</v>
      </c>
      <c r="AB138" s="267">
        <f ca="1">IF($D138&gt;Standings!$Q$27,"",IF(AA138=0,1+AB137,0))</f>
        <v>2</v>
      </c>
      <c r="AC138" s="251">
        <f ca="1">IF($D138&gt;Standings!$Q$27,"",SUM(OFFSET(J138,(-$D138+1),0,1,1):J138))</f>
        <v>1074.42</v>
      </c>
      <c r="AD138" s="248">
        <f ca="1">IF($D138&gt;Standings!$Q$27,"",SUM(OFFSET(K138,(-$D138+1),0,1,1):K138))</f>
        <v>1135.97</v>
      </c>
      <c r="AE138" s="248">
        <f ca="1">IF($D138&gt;Standings!$Q$27,"",$J138-$K138)</f>
        <v>-0.42000000000000171</v>
      </c>
      <c r="AF138" s="248">
        <f ca="1">IF($D138&gt;Standings!$Q$27,"",AC138-AD138)</f>
        <v>-61.549999999999955</v>
      </c>
      <c r="AG138" s="252">
        <f ca="1">IF($D138&gt;Standings!$Q$27,"",(COUNTIFS($D$2:$D$225,$D138,$C$2:$C$225,$C138,$AC$2:$AC$225,"&lt;"&amp;$AC138)+1)*0.01)</f>
        <v>0.05</v>
      </c>
      <c r="AH138" s="252">
        <f ca="1">IF($D138&gt;Standings!$Q$27,"",Z138+AG138)</f>
        <v>5.05</v>
      </c>
      <c r="AI138" s="252"/>
      <c r="AJ138" s="172">
        <f t="array" aca="1" ref="AJ138" ca="1">IF($D138&gt;Standings!$Q$27,"",(COUNTIFS($D$2:$D$225,$D138,$C$2:$C$225,$C138,$AM$2:$AM$225,"&gt;"&amp;$AM138)+1))</f>
        <v>5</v>
      </c>
      <c r="AK138" s="172">
        <f t="array" aca="1" ref="AK138" ca="1">IF($D138&gt;Standings!$Q$27,"",IF((COUNTIFS($D$2:$D$225,$D138,$C$2:$C$225,$C138,$AH$2:$AH$225,"&gt;"&amp;$AH138)+1)=2,1,0))</f>
        <v>0</v>
      </c>
      <c r="AL138" s="172">
        <f t="array" aca="1" ref="AL138" ca="1">IF($D138&gt;Standings!$Q$27,"",IF((COUNTIFS($D$2:$D$225,$D138,$C$2:$C$225,$C138,$AH$2:$AH$225,"&gt;"&amp;$AH138)+1)&lt;2,1,0))</f>
        <v>0</v>
      </c>
      <c r="AM138" s="172">
        <f ca="1">IF($D138&gt;Standings!$Q$27,"",IF(AL138=1,200+Z138+(16-AQ138)*0.01+AI138,IF(AK138=1,100+Z138+(16-AQ138)*0.01+AI138,IF(AN138=1,50+Z138+(16-AQ138)*0.01,IF(AO138=1,15+Z138+(16-AQ138)*0.01,Z138+(16-AQ138)*0.01+AI138)))))</f>
        <v>5.0599999999999996</v>
      </c>
      <c r="AN138" s="172">
        <f ca="1">IF($D138&gt;Standings!$Q$27,"",IF(OR($AK138=1,$AL138=1),"Conf Playoff Spot",COUNTIFS($AL$2:$AL$225,0,$AK$2:$AK$225,0,$C$2:$C$225,$C138,$D$2:$D$225,$D138,$AC$2:$AC$225,"&gt;"&amp;$AC138)+1))</f>
        <v>2</v>
      </c>
      <c r="AO138" s="172">
        <f t="array" aca="1" ref="AO138" ca="1">IF($D138&gt;Standings!$Q$27,"",IF(OR($AK138=1,$AL138=1),"Conf Playoff Spot",COUNTIFS($AK$2:$AK$225,0,$AL$2:$AL$225,0,$D$2:$D$225,$D138,$AH$2:$AH$225,"&gt;"&amp;$AH138)+1))</f>
        <v>6</v>
      </c>
      <c r="AP138" s="172">
        <f t="array" aca="1" ref="AP138" ca="1">IF($D138&gt;Standings!$Q$27,"",(COUNTIFS($D$2:$D$225,$D138,$J$2:$J$225,"&gt;"&amp;$J138)+1))</f>
        <v>12</v>
      </c>
      <c r="AQ138" s="172">
        <f ca="1">IF($D138&gt;Standings!$Q$27,"",(COUNTIFS($D$2:$D$225,$D138,$AC$2:$AC$225,"&gt;"&amp;$AC138)+1))</f>
        <v>10</v>
      </c>
      <c r="AR138" s="172">
        <f ca="1">IF($D138&gt;Standings!$Q$27,"",(COUNTIFS($D$2:$D$225,$D138,$K$2:$K$225,"&gt;"&amp;$K138)+1))</f>
        <v>11</v>
      </c>
      <c r="AS138" s="172">
        <f ca="1">IF($D138&gt;Standings!$Q$27,"",(COUNTIFS($D$2:$D$225,$D138,$AD$2:$AD$225,"&gt;"&amp;$AD138)+1))</f>
        <v>7</v>
      </c>
      <c r="AT138" s="354">
        <f ca="1">IF($D138&gt;Standings!$Q$27,"",SUMIFS($J$2:$J$225,$D$2:$D$225,$D138,$C$2:$C$225,$C138))</f>
        <v>790.16000000000008</v>
      </c>
      <c r="AU138" s="253">
        <f ca="1">IF($D138&gt;Standings!$Q$27,"",SUMIFS($AC$2:$AC$225,$D$2:$D$225,$D138,$C$2:$C$225,$C138))</f>
        <v>8904.91</v>
      </c>
    </row>
    <row r="139" spans="1:47">
      <c r="A139" s="190">
        <f t="shared" si="1"/>
        <v>185</v>
      </c>
      <c r="B139" s="5" t="str">
        <f>'ESPN Data'!$L$13</f>
        <v>Team 10</v>
      </c>
      <c r="C139" s="350" t="str">
        <f>VLOOKUP(B139,'ESPN Data'!$L$4:$M$19,2,FALSE)</f>
        <v>Wardo</v>
      </c>
      <c r="D139" s="400">
        <v>12</v>
      </c>
      <c r="E139" s="267" t="str">
        <f t="array" ref="E139">INDEX('ESPN Data'!$C$3:$C$226,MATCH(1,('ESPN Data'!$A$3:$A$226='Point Data'!$D139)*('ESPN Data'!$B$3:$B$226='Point Data'!$B139),0))</f>
        <v>Team 8</v>
      </c>
      <c r="F139" s="250" t="str">
        <f>IF(C139&lt;&gt;VLOOKUP($E139,'ESPN Data'!$L$4:$M$19,2,FALSE),"Non Conf", "Conf")</f>
        <v>Non Conf</v>
      </c>
      <c r="G139" s="246">
        <f t="array" aca="1" ref="G139" ca="1">IF('Point Data'!$D139&gt;Standings!$Q$27,"",(COUNTIFS($D$2:$D$225,$D139,$AM$2:$AM$225,"&gt;"&amp;$AM139)+1))</f>
        <v>10</v>
      </c>
      <c r="H139" s="172">
        <f ca="1">IF('Point Data'!$D139&gt;Standings!$Q$27,"",$G138)</f>
        <v>11</v>
      </c>
      <c r="I139" s="249">
        <f ca="1">IF('Point Data'!D139&gt;Standings!$Q$27,"",H139-G139)</f>
        <v>1</v>
      </c>
      <c r="J139" s="172">
        <f ca="1">IF('Point Data'!D139&gt;Standings!$Q$27,"",OFFSET('ESPN Data'!D$3,$A139,0,1,1))</f>
        <v>51.3</v>
      </c>
      <c r="K139" s="248">
        <f ca="1">IF('Point Data'!D139&gt;Standings!$Q$27,"",OFFSET('ESPN Data'!E$3,$A139,0,1,1))</f>
        <v>140.47999999999999</v>
      </c>
      <c r="L139" s="249">
        <f ca="1">IF('Point Data'!D139&gt;Standings!$Q$27,"",OFFSET('ESPN Data'!I$3,$A139,0,1,1))</f>
        <v>27</v>
      </c>
      <c r="M139" s="249">
        <f ca="1">IF('Point Data'!D139&gt;Standings!$Q$27,"",OFFSET('ESPN Data'!I$3,$A139,-2,1,1))</f>
        <v>0</v>
      </c>
      <c r="N139" s="249">
        <f ca="1">IF('Point Data'!D139&gt;Standings!$Q$27,"",SUMIFS($M$2:$M$225,$D$2:$D$225,D139,$C$2:$C$225,C139))</f>
        <v>35</v>
      </c>
      <c r="O139" s="249">
        <f ca="1">IF('Point Data'!D139&gt;Standings!$Q$27,"",SUMIFS($L$2:$L$225,$D$2:$D$225,$D139,$C$2:$C$225,$C139))</f>
        <v>182</v>
      </c>
      <c r="P139" s="249">
        <f ca="1">IF('Point Data'!D139&gt;Standings!$Q$27,"",SUMIFS($M$2:$M$225,$D$2:$D$225,D139))</f>
        <v>41</v>
      </c>
      <c r="Q139" s="249">
        <f ca="1">IF('Point Data'!D139&gt;Standings!$Q$27,"",SUMIFS($L$2:$L$225,$D$2:$D$225,D139))</f>
        <v>411</v>
      </c>
      <c r="R139" s="249">
        <f ca="1">IF($D139&gt;Standings!$Q$27,"",IF(U139="T",(Z139+0.5)/(D139)*100,(Z139/D139)*100))</f>
        <v>41.666666666666671</v>
      </c>
      <c r="S139" s="248">
        <f ca="1">IF($D139&gt;Standings!$Q$27,"",$J139-$K139)</f>
        <v>-89.179999999999993</v>
      </c>
      <c r="T139" s="248">
        <f ca="1">IF($D139&gt;Standings!$Q$27,"",AVERAGE(OFFSET(S139,(-$D139+1),0,1,1):S139))</f>
        <v>-12.560833333333335</v>
      </c>
      <c r="U139" s="172">
        <f ca="1">IF($D139&gt;Standings!$Q$27,"",IF(J139&gt;K139,1,IF(J139=K139,"T",0)))</f>
        <v>0</v>
      </c>
      <c r="V139" s="172">
        <f ca="1">IF($D139&gt;Standings!$Q$27,"",IF(F139="Conf",V138,SUMIFS($U$2:$U$225,$D$2:$D$225,"&lt;="&amp;$D139,$B$2:$B$225,$B139,$F$2:$F$225,"Non Conf")))</f>
        <v>2</v>
      </c>
      <c r="W139" s="172" t="str">
        <f ca="1">IF($D139&gt;Standings!$Q$27,"",$V139&amp;"-"&amp;COUNTIF(OFFSET($F139,(-$D139+1),0,1,1):$F139,"Non Conf")-$V139)</f>
        <v>2-5</v>
      </c>
      <c r="X139" s="172">
        <f ca="1">IF($D139&gt;Standings!$Q$27,"",SUMIFS($U$2:$U$225,$D$2:$D$225,"&lt;="&amp;$D139,$B$2:$B$225,$B139,$F$2:$F$225,"Conf"))</f>
        <v>3</v>
      </c>
      <c r="Y139" s="172" t="str">
        <f ca="1">IF($D139&gt;Standings!$Q$27,"",$X139&amp;"-"&amp;COUNTIF(OFFSET($F139,(-$D139+1),0,1,1):$F139,"Conf")-$X139)</f>
        <v>3-2</v>
      </c>
      <c r="Z139" s="172">
        <f ca="1">IF($D139&gt;Standings!$Q$27,"",SUM(OFFSET(U139,(-$D139+1),0,1,1):U139))</f>
        <v>5</v>
      </c>
      <c r="AA139" s="172">
        <f ca="1">IF($D139&gt;Standings!$Q$27,"",IF(U139=1,1+AA138,0))</f>
        <v>0</v>
      </c>
      <c r="AB139" s="267">
        <f ca="1">IF($D139&gt;Standings!$Q$27,"",IF(AA139=0,1+AB138,0))</f>
        <v>3</v>
      </c>
      <c r="AC139" s="251">
        <f ca="1">IF($D139&gt;Standings!$Q$27,"",SUM(OFFSET(J139,(-$D139+1),0,1,1):J139))</f>
        <v>1125.72</v>
      </c>
      <c r="AD139" s="248">
        <f ca="1">IF($D139&gt;Standings!$Q$27,"",SUM(OFFSET(K139,(-$D139+1),0,1,1):K139))</f>
        <v>1276.45</v>
      </c>
      <c r="AE139" s="248">
        <f ca="1">IF($D139&gt;Standings!$Q$27,"",$J139-$K139)</f>
        <v>-89.179999999999993</v>
      </c>
      <c r="AF139" s="248">
        <f ca="1">IF($D139&gt;Standings!$Q$27,"",AC139-AD139)</f>
        <v>-150.73000000000002</v>
      </c>
      <c r="AG139" s="252">
        <f ca="1">IF($D139&gt;Standings!$Q$27,"",(COUNTIFS($D$2:$D$225,$D139,$C$2:$C$225,$C139,$AC$2:$AC$225,"&lt;"&amp;$AC139)+1)*0.01)</f>
        <v>0.03</v>
      </c>
      <c r="AH139" s="252">
        <f ca="1">IF($D139&gt;Standings!$Q$27,"",Z139+AG139)</f>
        <v>5.03</v>
      </c>
      <c r="AI139" s="252"/>
      <c r="AJ139" s="172">
        <f t="array" aca="1" ref="AJ139" ca="1">IF($D139&gt;Standings!$Q$27,"",(COUNTIFS($D$2:$D$225,$D139,$C$2:$C$225,$C139,$AM$2:$AM$225,"&gt;"&amp;$AM139)+1))</f>
        <v>4</v>
      </c>
      <c r="AK139" s="172">
        <f t="array" aca="1" ref="AK139" ca="1">IF($D139&gt;Standings!$Q$27,"",IF((COUNTIFS($D$2:$D$225,$D139,$C$2:$C$225,$C139,$AH$2:$AH$225,"&gt;"&amp;$AH139)+1)=2,1,0))</f>
        <v>0</v>
      </c>
      <c r="AL139" s="172">
        <f t="array" aca="1" ref="AL139" ca="1">IF($D139&gt;Standings!$Q$27,"",IF((COUNTIFS($D$2:$D$225,$D139,$C$2:$C$225,$C139,$AH$2:$AH$225,"&gt;"&amp;$AH139)+1)&lt;2,1,0))</f>
        <v>0</v>
      </c>
      <c r="AM139" s="172">
        <f ca="1">IF($D139&gt;Standings!$Q$27,"",IF(AL139=1,200+Z139+(16-AQ139)*0.01+AI139,IF(AK139=1,100+Z139+(16-AQ139)*0.01+AI139,IF(AN139=1,50+Z139+(16-AQ139)*0.01,IF(AO139=1,15+Z139+(16-AQ139)*0.01,Z139+(16-AQ139)*0.01+AI139)))))</f>
        <v>5.03</v>
      </c>
      <c r="AN139" s="172">
        <f ca="1">IF($D139&gt;Standings!$Q$27,"",IF(OR($AK139=1,$AL139=1),"Conf Playoff Spot",COUNTIFS($AL$2:$AL$225,0,$AK$2:$AK$225,0,$C$2:$C$225,$C139,$D$2:$D$225,$D139,$AC$2:$AC$225,"&gt;"&amp;$AC139)+1))</f>
        <v>4</v>
      </c>
      <c r="AO139" s="172">
        <f t="array" aca="1" ref="AO139" ca="1">IF($D139&gt;Standings!$Q$27,"",IF(OR($AK139=1,$AL139=1),"Conf Playoff Spot",COUNTIFS($AK$2:$AK$225,0,$AL$2:$AL$225,0,$D$2:$D$225,$D139,$AH$2:$AH$225,"&gt;"&amp;$AH139)+1))</f>
        <v>6</v>
      </c>
      <c r="AP139" s="172">
        <f t="array" aca="1" ref="AP139" ca="1">IF($D139&gt;Standings!$Q$27,"",(COUNTIFS($D$2:$D$225,$D139,$J$2:$J$225,"&gt;"&amp;$J139)+1))</f>
        <v>16</v>
      </c>
      <c r="AQ139" s="172">
        <f ca="1">IF($D139&gt;Standings!$Q$27,"",(COUNTIFS($D$2:$D$225,$D139,$AC$2:$AC$225,"&gt;"&amp;$AC139)+1))</f>
        <v>13</v>
      </c>
      <c r="AR139" s="172">
        <f ca="1">IF($D139&gt;Standings!$Q$27,"",(COUNTIFS($D$2:$D$225,$D139,$K$2:$K$225,"&gt;"&amp;$K139)+1))</f>
        <v>1</v>
      </c>
      <c r="AS139" s="172">
        <f ca="1">IF($D139&gt;Standings!$Q$27,"",(COUNTIFS($D$2:$D$225,$D139,$AD$2:$AD$225,"&gt;"&amp;$AD139)+1))</f>
        <v>6</v>
      </c>
      <c r="AT139" s="354">
        <f ca="1">IF($D139&gt;Standings!$Q$27,"",SUMIFS($J$2:$J$225,$D$2:$D$225,$D139,$C$2:$C$225,$C139))</f>
        <v>746.43999999999994</v>
      </c>
      <c r="AU139" s="253">
        <f ca="1">IF($D139&gt;Standings!$Q$27,"",SUMIFS($AC$2:$AC$225,$D$2:$D$225,$D139,$C$2:$C$225,$C139))</f>
        <v>9651.35</v>
      </c>
    </row>
    <row r="140" spans="1:47" s="190" customFormat="1">
      <c r="A140" s="190">
        <f t="shared" si="1"/>
        <v>201</v>
      </c>
      <c r="B140" s="56" t="str">
        <f>'ESPN Data'!$L$13</f>
        <v>Team 10</v>
      </c>
      <c r="C140" s="352" t="str">
        <f>VLOOKUP(B140,'ESPN Data'!$L$4:$M$19,2,FALSE)</f>
        <v>Wardo</v>
      </c>
      <c r="D140" s="553">
        <v>13</v>
      </c>
      <c r="E140" s="275" t="str">
        <f t="array" ref="E140">INDEX('ESPN Data'!$C$3:$C$226,MATCH(1,('ESPN Data'!$A$3:$A$226='Point Data'!$D140)*('ESPN Data'!$B$3:$B$226='Point Data'!$B140),0))</f>
        <v>Team 15</v>
      </c>
      <c r="F140" s="274" t="str">
        <f>IF(C140&lt;&gt;VLOOKUP($E140,'ESPN Data'!$L$4:$M$19,2,FALSE),"Non Conf", "Conf")</f>
        <v>Conf</v>
      </c>
      <c r="G140" s="271">
        <f t="array" aca="1" ref="G140" ca="1">IF('Point Data'!$D140&gt;Standings!$Q$27,"",(COUNTIFS($D$2:$D$225,$D140,$AM$2:$AM$225,"&gt;"&amp;$AM140)+1))</f>
        <v>12</v>
      </c>
      <c r="H140" s="264">
        <f ca="1">IF('Point Data'!$D140&gt;Standings!$Q$27,"",$G139)</f>
        <v>10</v>
      </c>
      <c r="I140" s="265">
        <f ca="1">IF('Point Data'!D140&gt;Standings!$Q$27,"",H140-G140)</f>
        <v>-2</v>
      </c>
      <c r="J140" s="264">
        <f ca="1">IF('Point Data'!D140&gt;Standings!$Q$27,"",OFFSET('ESPN Data'!D$3,$A140,0,1,1))</f>
        <v>84.35</v>
      </c>
      <c r="K140" s="272">
        <f ca="1">IF('Point Data'!D140&gt;Standings!$Q$27,"",OFFSET('ESPN Data'!E$3,$A140,0,1,1))</f>
        <v>184.43</v>
      </c>
      <c r="L140" s="265">
        <f ca="1">IF('Point Data'!D140&gt;Standings!$Q$27,"",OFFSET('ESPN Data'!I$3,$A140,0,1,1))</f>
        <v>0</v>
      </c>
      <c r="M140" s="265">
        <f ca="1">IF('Point Data'!D140&gt;Standings!$Q$27,"",OFFSET('ESPN Data'!I$3,$A140,-2,1,1))</f>
        <v>27</v>
      </c>
      <c r="N140" s="265">
        <f ca="1">IF('Point Data'!D140&gt;Standings!$Q$27,"",SUMIFS($M$2:$M$225,$D$2:$D$225,D140,$C$2:$C$225,C140))</f>
        <v>36</v>
      </c>
      <c r="O140" s="265">
        <f ca="1">IF('Point Data'!D140&gt;Standings!$Q$27,"",SUMIFS($L$2:$L$225,$D$2:$D$225,$D140,$C$2:$C$225,$C140))</f>
        <v>146</v>
      </c>
      <c r="P140" s="265">
        <f ca="1">IF('Point Data'!D140&gt;Standings!$Q$27,"",SUMIFS($M$2:$M$225,$D$2:$D$225,D140))</f>
        <v>41</v>
      </c>
      <c r="Q140" s="265">
        <f ca="1">IF('Point Data'!D140&gt;Standings!$Q$27,"",SUMIFS($L$2:$L$225,$D$2:$D$225,D140))</f>
        <v>370</v>
      </c>
      <c r="R140" s="265">
        <f ca="1">IF($D140&gt;Standings!$Q$27,"",IF(U140="T",(Z140+0.5)/(D140)*100,(Z140/D140)*100))</f>
        <v>38.461538461538467</v>
      </c>
      <c r="S140" s="272">
        <f ca="1">IF($D140&gt;Standings!$Q$27,"",$J140-$K140)</f>
        <v>-100.08000000000001</v>
      </c>
      <c r="T140" s="272">
        <f ca="1">IF($D140&gt;Standings!$Q$27,"",AVERAGE(OFFSET(S140,(-$D140+1),0,1,1):S140))</f>
        <v>-19.293076923076924</v>
      </c>
      <c r="U140" s="264">
        <f ca="1">IF($D140&gt;Standings!$Q$27,"",IF(J140&gt;K140,1,IF(J140=K140,"T",0)))</f>
        <v>0</v>
      </c>
      <c r="V140" s="264">
        <f ca="1">IF($D140&gt;Standings!$Q$27,"",IF(F140="Conf",V139,SUMIFS($U$2:$U$225,$D$2:$D$225,"&lt;="&amp;$D140,$B$2:$B$225,$B140,$F$2:$F$225,"Non Conf")))</f>
        <v>2</v>
      </c>
      <c r="W140" s="264" t="str">
        <f ca="1">IF($D140&gt;Standings!$Q$27,"",$V140&amp;"-"&amp;COUNTIF(OFFSET($F140,(-$D140+1),0,1,1):$F140,"Non Conf")-$V140)</f>
        <v>2-5</v>
      </c>
      <c r="X140" s="264">
        <f ca="1">IF($D140&gt;Standings!$Q$27,"",SUMIFS($U$2:$U$225,$D$2:$D$225,"&lt;="&amp;$D140,$B$2:$B$225,$B140,$F$2:$F$225,"Conf"))</f>
        <v>3</v>
      </c>
      <c r="Y140" s="264" t="str">
        <f ca="1">IF($D140&gt;Standings!$Q$27,"",$X140&amp;"-"&amp;COUNTIF(OFFSET($F140,(-$D140+1),0,1,1):$F140,"Conf")-$X140)</f>
        <v>3-3</v>
      </c>
      <c r="Z140" s="264">
        <f ca="1">IF($D140&gt;Standings!$Q$27,"",SUM(OFFSET(U140,(-$D140+1),0,1,1):U140))</f>
        <v>5</v>
      </c>
      <c r="AA140" s="264">
        <f ca="1">IF($D140&gt;Standings!$Q$27,"",IF(U140=1,1+AA139,0))</f>
        <v>0</v>
      </c>
      <c r="AB140" s="275">
        <f ca="1">IF($D140&gt;Standings!$Q$27,"",IF(AA140=0,1+AB139,0))</f>
        <v>4</v>
      </c>
      <c r="AC140" s="273">
        <f ca="1">IF($D140&gt;Standings!$Q$27,"",SUM(OFFSET(J140,(-$D140+1),0,1,1):J140))</f>
        <v>1210.07</v>
      </c>
      <c r="AD140" s="272">
        <f ca="1">IF($D140&gt;Standings!$Q$27,"",SUM(OFFSET(K140,(-$D140+1),0,1,1):K140))</f>
        <v>1460.88</v>
      </c>
      <c r="AE140" s="272">
        <f ca="1">IF($D140&gt;Standings!$Q$27,"",$J140-$K140)</f>
        <v>-100.08000000000001</v>
      </c>
      <c r="AF140" s="272">
        <f ca="1">IF($D140&gt;Standings!$Q$27,"",AC140-AD140)</f>
        <v>-250.81000000000017</v>
      </c>
      <c r="AG140" s="263">
        <f ca="1">IF($D140&gt;Standings!$Q$27,"",(COUNTIFS($D$2:$D$225,$D140,$C$2:$C$225,$C140,$AC$2:$AC$225,"&lt;"&amp;$AC140)+1)*0.01)</f>
        <v>0.03</v>
      </c>
      <c r="AH140" s="263">
        <f ca="1">IF($D140&gt;Standings!$Q$27,"",Z140+AG140)</f>
        <v>5.03</v>
      </c>
      <c r="AI140" s="263"/>
      <c r="AJ140" s="264">
        <f t="array" aca="1" ref="AJ140" ca="1">IF($D140&gt;Standings!$Q$27,"",(COUNTIFS($D$2:$D$225,$D140,$C$2:$C$225,$C140,$AM$2:$AM$225,"&gt;"&amp;$AM140)+1))</f>
        <v>5</v>
      </c>
      <c r="AK140" s="264">
        <f t="array" aca="1" ref="AK140" ca="1">IF($D140&gt;Standings!$Q$27,"",IF((COUNTIFS($D$2:$D$225,$D140,$C$2:$C$225,$C140,$AH$2:$AH$225,"&gt;"&amp;$AH140)+1)=2,1,0))</f>
        <v>0</v>
      </c>
      <c r="AL140" s="264">
        <f t="array" aca="1" ref="AL140" ca="1">IF($D140&gt;Standings!$Q$27,"",IF((COUNTIFS($D$2:$D$225,$D140,$C$2:$C$225,$C140,$AH$2:$AH$225,"&gt;"&amp;$AH140)+1)&lt;2,1,0))</f>
        <v>0</v>
      </c>
      <c r="AM140" s="264">
        <f ca="1">IF($D140&gt;Standings!$Q$27,"",IF(AL140=1,200+Z140+(16-AQ140)*0.01+AI140,IF(AK140=1,100+Z140+(16-AQ140)*0.01+AI140,IF(AN140=1,50+Z140+(16-AQ140)*0.01,IF(AO140=1,15+Z140+(16-AQ140)*0.01,Z140+(16-AQ140)*0.01+AI140)))))</f>
        <v>5.03</v>
      </c>
      <c r="AN140" s="264">
        <f ca="1">IF($D140&gt;Standings!$Q$27,"",IF(OR($AK140=1,$AL140=1),"Conf Playoff Spot",COUNTIFS($AL$2:$AL$225,0,$AK$2:$AK$225,0,$C$2:$C$225,$C140,$D$2:$D$225,$D140,$AC$2:$AC$225,"&gt;"&amp;$AC140)+1))</f>
        <v>4</v>
      </c>
      <c r="AO140" s="264">
        <f t="array" aca="1" ref="AO140" ca="1">IF($D140&gt;Standings!$Q$27,"",IF(OR($AK140=1,$AL140=1),"Conf Playoff Spot",COUNTIFS($AK$2:$AK$225,0,$AL$2:$AL$225,0,$D$2:$D$225,$D140,$AH$2:$AH$225,"&gt;"&amp;$AH140)+1))</f>
        <v>7</v>
      </c>
      <c r="AP140" s="264">
        <f t="array" aca="1" ref="AP140" ca="1">IF($D140&gt;Standings!$Q$27,"",(COUNTIFS($D$2:$D$225,$D140,$J$2:$J$225,"&gt;"&amp;$J140)+1))</f>
        <v>13</v>
      </c>
      <c r="AQ140" s="264">
        <f ca="1">IF($D140&gt;Standings!$Q$27,"",(COUNTIFS($D$2:$D$225,$D140,$AC$2:$AC$225,"&gt;"&amp;$AC140)+1))</f>
        <v>13</v>
      </c>
      <c r="AR140" s="264">
        <f ca="1">IF($D140&gt;Standings!$Q$27,"",(COUNTIFS($D$2:$D$225,$D140,$K$2:$K$225,"&gt;"&amp;$K140)+1))</f>
        <v>1</v>
      </c>
      <c r="AS140" s="264">
        <f ca="1">IF($D140&gt;Standings!$Q$27,"",(COUNTIFS($D$2:$D$225,$D140,$AD$2:$AD$225,"&gt;"&amp;$AD140)+1))</f>
        <v>1</v>
      </c>
      <c r="AT140" s="356">
        <f ca="1">IF($D140&gt;Standings!$Q$27,"",SUMIFS($J$2:$J$225,$D$2:$D$225,$D140,$C$2:$C$225,$C140))</f>
        <v>885.58</v>
      </c>
      <c r="AU140" s="340">
        <f ca="1">IF($D140&gt;Standings!$Q$27,"",SUMIFS($AC$2:$AC$225,$D$2:$D$225,$D140,$C$2:$C$225,$C140))</f>
        <v>10536.93</v>
      </c>
    </row>
    <row r="141" spans="1:47" ht="16" thickBot="1">
      <c r="A141" s="190">
        <f t="shared" si="1"/>
        <v>217</v>
      </c>
      <c r="B141" s="10" t="str">
        <f>'ESPN Data'!$L$13</f>
        <v>Team 10</v>
      </c>
      <c r="C141" s="351" t="str">
        <f>VLOOKUP(B141,'ESPN Data'!$L$4:$M$19,2,FALSE)</f>
        <v>Wardo</v>
      </c>
      <c r="D141" s="401">
        <v>14</v>
      </c>
      <c r="E141" s="268" t="str">
        <f t="array" ref="E141">INDEX('ESPN Data'!$C$3:$C$226,MATCH(1,('ESPN Data'!$A$3:$A$226='Point Data'!$D141)*('ESPN Data'!$B$3:$B$226='Point Data'!$B141),0))</f>
        <v>Team 15</v>
      </c>
      <c r="F141" s="258" t="str">
        <f>IF(C141&lt;&gt;VLOOKUP($E141,'ESPN Data'!$L$4:$M$19,2,FALSE),"Non Conf", "Conf")</f>
        <v>Conf</v>
      </c>
      <c r="G141" s="262" t="str">
        <f t="array" ref="G141">IF('Point Data'!$D141&gt;Standings!$Q$27,"",(COUNTIFS($D$2:$D$225,$D141,$AM$2:$AM$225,"&gt;"&amp;$AM141)+1))</f>
        <v/>
      </c>
      <c r="H141" s="257" t="str">
        <f>IF('Point Data'!$D141&gt;Standings!$Q$27,"",$G139)</f>
        <v/>
      </c>
      <c r="I141" s="256" t="str">
        <f>IF('Point Data'!D141&gt;Standings!$Q$27,"",H141-G141)</f>
        <v/>
      </c>
      <c r="J141" s="257" t="str">
        <f ca="1">IF('Point Data'!D141&gt;Standings!$Q$27,"",OFFSET('ESPN Data'!D$3,$A141,0,1,1))</f>
        <v/>
      </c>
      <c r="K141" s="255" t="str">
        <f ca="1">IF('Point Data'!D141&gt;Standings!$Q$27,"",OFFSET('ESPN Data'!E$3,$A141,0,1,1))</f>
        <v/>
      </c>
      <c r="L141" s="256" t="str">
        <f ca="1">IF('Point Data'!D141&gt;Standings!$Q$27,"",OFFSET('ESPN Data'!I$3,$A141,0,1,1))</f>
        <v/>
      </c>
      <c r="M141" s="256" t="str">
        <f ca="1">IF('Point Data'!D141&gt;Standings!$Q$27,"",OFFSET('ESPN Data'!I$3,$A141,-2,1,1))</f>
        <v/>
      </c>
      <c r="N141" s="256" t="str">
        <f>IF('Point Data'!D141&gt;Standings!$Q$27,"",SUMIFS($M$2:$M$225,$D$2:$D$225,D141,$C$2:$C$225,C141))</f>
        <v/>
      </c>
      <c r="O141" s="256" t="str">
        <f>IF('Point Data'!D141&gt;Standings!$Q$27,"",SUMIFS($L$2:$L$225,$D$2:$D$225,$D141,$C$2:$C$225,$C141))</f>
        <v/>
      </c>
      <c r="P141" s="256" t="str">
        <f>IF('Point Data'!D141&gt;Standings!$Q$27,"",SUMIFS($M$2:$M$225,$D$2:$D$225,D141))</f>
        <v/>
      </c>
      <c r="Q141" s="256" t="str">
        <f>IF('Point Data'!D141&gt;Standings!$Q$27,"",SUMIFS($L$2:$L$225,$D$2:$D$225,D141))</f>
        <v/>
      </c>
      <c r="R141" s="256" t="str">
        <f>IF($D141&gt;Standings!$Q$27,"",IF(U141="T",(Z141+0.5)/(D141)*100,(Z141/D141)*100))</f>
        <v/>
      </c>
      <c r="S141" s="255" t="str">
        <f>IF($D141&gt;Standings!$Q$27,"",$J141-$K141)</f>
        <v/>
      </c>
      <c r="T141" s="255" t="str">
        <f ca="1">IF($D141&gt;Standings!$Q$27,"",AVERAGE(OFFSET(S141,(-$D141+1),0,1,1):S141))</f>
        <v/>
      </c>
      <c r="U141" s="257" t="str">
        <f>IF($D141&gt;Standings!$Q$27,"",IF(J141&gt;K141,1,IF(J141=K141,"T",0)))</f>
        <v/>
      </c>
      <c r="V141" s="257" t="str">
        <f>IF($D141&gt;Standings!$Q$27,"",SUMIFS($U$2:$U$225,$D$2:$D$225,"&lt;="&amp;$D141,$B$2:$B$225,$B141,$F$2:$F$225,"Non Conf"))</f>
        <v/>
      </c>
      <c r="W141" s="257" t="str">
        <f ca="1">IF($D141&gt;Standings!$Q$27,"",$V141&amp;"-"&amp;COUNTIF(OFFSET($F141,(-$D141+1),0,1,1):$F141,"Non Conf")-$V141)</f>
        <v/>
      </c>
      <c r="X141" s="257" t="str">
        <f>IF($D141&gt;Standings!$Q$27,"",SUMIFS($U$2:$U$225,$D$2:$D$225,"&lt;="&amp;$D141,$B$2:$B$225,$B141,$F$2:$F$225,"Conf"))</f>
        <v/>
      </c>
      <c r="Y141" s="257" t="str">
        <f ca="1">IF($D141&gt;Standings!$Q$27,"",$X141&amp;"-"&amp;COUNTIF(OFFSET($F141,(-$D141+1),0,1,1):$F141,"Conf")-$X141)</f>
        <v/>
      </c>
      <c r="Z141" s="257" t="str">
        <f ca="1">IF($D141&gt;Standings!$Q$27,"",SUM(OFFSET(U141,(-$D141+1),0,1,1):U141))</f>
        <v/>
      </c>
      <c r="AA141" s="257" t="str">
        <f>IF($D141&gt;Standings!$Q$27,"",IF(U141=1,1+AA139,0))</f>
        <v/>
      </c>
      <c r="AB141" s="268" t="str">
        <f>IF($D141&gt;Standings!$Q$27,"",IF(AA141=0,1+AB139,0))</f>
        <v/>
      </c>
      <c r="AC141" s="259" t="str">
        <f ca="1">IF($D141&gt;Standings!$Q$27,"",SUM(OFFSET(J141,(-$D141+1),0,1,1):J141))</f>
        <v/>
      </c>
      <c r="AD141" s="255" t="str">
        <f ca="1">IF($D141&gt;Standings!$Q$27,"",SUM(OFFSET(K141,(-$D141+1),0,1,1):K141))</f>
        <v/>
      </c>
      <c r="AE141" s="255" t="str">
        <f>IF($D141&gt;Standings!$Q$27,"",$J141-$K141)</f>
        <v/>
      </c>
      <c r="AF141" s="255" t="str">
        <f>IF($D141&gt;Standings!$Q$27,"",AC141-AD141)</f>
        <v/>
      </c>
      <c r="AG141" s="260" t="str">
        <f>IF($D141&gt;Standings!$Q$27,"",(COUNTIFS($D$2:$D$225,$D141,$C$2:$C$225,$C141,$AC$2:$AC$225,"&lt;"&amp;$AC141)+1)*0.01)</f>
        <v/>
      </c>
      <c r="AH141" s="260" t="str">
        <f>IF($D141&gt;Standings!$Q$27,"",Z141+AG141)</f>
        <v/>
      </c>
      <c r="AI141" s="260"/>
      <c r="AJ141" s="257" t="str">
        <f t="array" ref="AJ141">IF($D141&gt;Standings!$Q$27,"",(COUNTIFS($D$2:$D$225,$D141,$C$2:$C$225,$C141,$AM$2:$AM$225,"&gt;"&amp;$AM141)+1))</f>
        <v/>
      </c>
      <c r="AK141" s="257" t="str">
        <f t="array" ref="AK141">IF($D141&gt;Standings!$Q$27,"",IF((COUNTIFS($D$2:$D$225,$D141,$C$2:$C$225,$C141,$AH$2:$AH$225,"&gt;"&amp;$AH141)+1)=2,1,0))</f>
        <v/>
      </c>
      <c r="AL141" s="257" t="str">
        <f t="array" ref="AL141">IF($D141&gt;Standings!$Q$27,"",IF((COUNTIFS($D$2:$D$225,$D141,$C$2:$C$225,$C141,$AH$2:$AH$225,"&gt;"&amp;$AH141)+1)&lt;2,1,0))</f>
        <v/>
      </c>
      <c r="AM141" s="257" t="str">
        <f>IF($D141&gt;Standings!$Q$27,"",IF(AL141=1,200+Z141+(16-AQ141)*0.01+AI141,IF(AK141=1,100+Z141+(16-AQ141)*0.01+AI141,IF(AN141=1,50+Z141+(16-AQ141)*0.01,IF(AO141=1,15+Z141+(16-AQ141)*0.01,Z141+(16-AQ141)*0.01+AI141)))))</f>
        <v/>
      </c>
      <c r="AN141" s="257" t="str">
        <f>IF($D141&gt;Standings!$Q$27,"",IF(OR($AK141=1,$AL141=1),"Conf Playoff Spot",COUNTIFS($AL$2:$AL$225,0,$AK$2:$AK$225,0,$C$2:$C$225,$C141,$D$2:$D$225,$D141,$AC$2:$AC$225,"&gt;"&amp;$AC141)+1))</f>
        <v/>
      </c>
      <c r="AO141" s="257" t="str">
        <f t="array" ref="AO141">IF($D141&gt;Standings!$Q$27,"",IF(OR($AK141=1,$AL141=1),"Conf Playoff Spot",COUNTIFS($AK$2:$AK$225,0,$AL$2:$AL$225,0,$D$2:$D$225,$D141,$AH$2:$AH$225,"&gt;"&amp;$AH141)+1))</f>
        <v/>
      </c>
      <c r="AP141" s="257" t="str">
        <f t="array" ref="AP141">IF($D141&gt;Standings!$Q$27,"",(COUNTIFS($D$2:$D$225,$D141,$J$2:$J$225,"&gt;"&amp;$J141)+1))</f>
        <v/>
      </c>
      <c r="AQ141" s="257" t="str">
        <f>IF($D141&gt;Standings!$Q$27,"",(COUNTIFS($D$2:$D$225,$D141,$AC$2:$AC$225,"&gt;"&amp;$AC141)+1))</f>
        <v/>
      </c>
      <c r="AR141" s="257" t="str">
        <f>IF($D141&gt;Standings!$Q$27,"",(COUNTIFS($D$2:$D$225,$D141,$K$2:$K$225,"&gt;"&amp;$K141)+1))</f>
        <v/>
      </c>
      <c r="AS141" s="257" t="str">
        <f>IF($D141&gt;Standings!$Q$27,"",(COUNTIFS($D$2:$D$225,$D141,$AD$2:$AD$225,"&gt;"&amp;$AD141)+1))</f>
        <v/>
      </c>
      <c r="AT141" s="355" t="str">
        <f>IF($D141&gt;Standings!$Q$27,"",SUMIFS($J$2:$J$225,$D$2:$D$225,$D141,$C$2:$C$225,$C141))</f>
        <v/>
      </c>
      <c r="AU141" s="261" t="str">
        <f>IF($D141&gt;Standings!$Q$27,"",SUMIFS($AC$2:$AC$225,$D$2:$D$225,$D141,$C$2:$C$225,$C141))</f>
        <v/>
      </c>
    </row>
    <row r="142" spans="1:47">
      <c r="A142" s="190">
        <f t="shared" si="1"/>
        <v>10</v>
      </c>
      <c r="B142" s="3" t="str">
        <f>'ESPN Data'!$L$14</f>
        <v>Team 11</v>
      </c>
      <c r="C142" s="349" t="str">
        <f>VLOOKUP(B142,'ESPN Data'!$L$4:$M$19,2,FALSE)</f>
        <v>Wardo</v>
      </c>
      <c r="D142" s="399">
        <v>1</v>
      </c>
      <c r="E142" s="266" t="str">
        <f t="array" ref="E142">INDEX('ESPN Data'!$C$3:$C$226,MATCH(1,('ESPN Data'!$A$3:$A$226='Point Data'!$D142)*('ESPN Data'!$B$3:$B$226='Point Data'!$B142),0))</f>
        <v>Team 5</v>
      </c>
      <c r="F142" s="242" t="str">
        <f>IF(C142&lt;&gt;VLOOKUP($E142,'ESPN Data'!$L$4:$M$19,2,FALSE),"Non Conf", "Conf")</f>
        <v>Non Conf</v>
      </c>
      <c r="G142" s="237">
        <f t="array" aca="1" ref="G142" ca="1">IF('Point Data'!$D142&gt;Standings!$Q$27,"",(COUNTIFS($D$2:$D$225,$D142,$AM$2:$AM$225,"&gt;"&amp;$AM142)+1))</f>
        <v>3</v>
      </c>
      <c r="H142" s="241">
        <f>IF('Point Data'!$D142&gt;Standings!$Q$27,"",VLOOKUP($B142,'ESPN Data'!$L$4:$N$19,3,FALSE))</f>
        <v>4</v>
      </c>
      <c r="I142" s="240">
        <f ca="1">IF('Point Data'!$D142&gt;Standings!$Q$27,"",H142-G142)</f>
        <v>1</v>
      </c>
      <c r="J142" s="241">
        <f ca="1">IF('Point Data'!D142&gt;Standings!$Q$27,"",OFFSET('ESPN Data'!D$3,$A142,0,1,1))</f>
        <v>123.72</v>
      </c>
      <c r="K142" s="239">
        <f ca="1">IF('Point Data'!D142&gt;Standings!$Q$27,"",OFFSET('ESPN Data'!E$3,$A142,0,1,1))</f>
        <v>96.78</v>
      </c>
      <c r="L142" s="240">
        <f ca="1">IF('Point Data'!D142&gt;Standings!$Q$27,"",OFFSET('ESPN Data'!I$3,$A142,0,1,1))</f>
        <v>100</v>
      </c>
      <c r="M142" s="240">
        <f ca="1">IF('Point Data'!D142&gt;Standings!$Q$27,"",OFFSET('ESPN Data'!I$3,$A142,-2,1,1))</f>
        <v>0</v>
      </c>
      <c r="N142" s="240">
        <f ca="1">IF('Point Data'!D142&gt;Standings!$Q$27,"",SUMIFS($M$2:$M$225,$D$2:$D$225,D142,$C$2:$C$225,C142))</f>
        <v>0</v>
      </c>
      <c r="O142" s="240">
        <f ca="1">IF('Point Data'!D142&gt;Standings!$Q$27,"",SUMIFS($L$2:$L$225,$D$2:$D$225,$D142,$C$2:$C$225,$C142))</f>
        <v>800</v>
      </c>
      <c r="P142" s="240">
        <f ca="1">IF('Point Data'!D142&gt;Standings!$Q$27,"",SUMIFS($M$2:$M$225,$D$2:$D$225,D142))</f>
        <v>3</v>
      </c>
      <c r="Q142" s="240">
        <f ca="1">IF('Point Data'!D142&gt;Standings!$Q$27,"",SUMIFS($L$2:$L$225,$D$2:$D$225,$D142))</f>
        <v>1597</v>
      </c>
      <c r="R142" s="240">
        <f ca="1">IF($D142&gt;Standings!$Q$27,"",IF(U142="T",(Z142+0.5)/(D142)*100,(Z142/D142)*100))</f>
        <v>100</v>
      </c>
      <c r="S142" s="239">
        <f ca="1">IF($D142&gt;Standings!$Q$27,"",$J142-$K142)</f>
        <v>26.939999999999998</v>
      </c>
      <c r="T142" s="239">
        <f ca="1">IF($D142&gt;Standings!$Q$27,"",AVERAGE(OFFSET(S142,(-$D142+1),0,1,1):S142))</f>
        <v>26.939999999999998</v>
      </c>
      <c r="U142" s="241">
        <f ca="1">IF($D142&gt;Standings!$Q$27,"",IF(J142&gt;K142,1,IF(J142=K142,"T",0)))</f>
        <v>1</v>
      </c>
      <c r="V142" s="241">
        <f ca="1">IF($D142&gt;Standings!$Q$27,"",IF(F142="Conf",0,SUMIFS($U$2:$U$225,$D$2:$D$225,"&lt;="&amp;$D142,$B$2:$B$225,$B142,$F$2:$F$225,"Non Conf")))</f>
        <v>1</v>
      </c>
      <c r="W142" s="241" t="str">
        <f ca="1">IF($D142&gt;Standings!$Q$27,"",$V142&amp;"-"&amp;COUNTIF(OFFSET($F142,(-$D142+1),0,1,1):$F142,"Non Conf")-$V142)</f>
        <v>1-0</v>
      </c>
      <c r="X142" s="241">
        <f>IF($D142&gt;Standings!$Q$27,"",SUMIFS($U$2:$U$225,$D$2:$D$225,"&lt;="&amp;$D142,$B$2:$B$225,$B142,$F$2:$F$225,"Conf"))</f>
        <v>0</v>
      </c>
      <c r="Y142" s="241" t="str">
        <f ca="1">IF($D142&gt;Standings!$Q$27,"",$X142&amp;"-"&amp;COUNTIF(OFFSET($F142,(-$D142+1),0,1,1):$F142,"Conf")-$X142)</f>
        <v>0-0</v>
      </c>
      <c r="Z142" s="241">
        <f ca="1">IF($D142&gt;Standings!$Q$27,"",SUM(OFFSET(U142,(-$D142+1),0,1,1):U142))</f>
        <v>1</v>
      </c>
      <c r="AA142" s="241">
        <f ca="1">IF($D142&gt;Standings!$Q$27,"",IF(U142=1,1,0))</f>
        <v>1</v>
      </c>
      <c r="AB142" s="266">
        <f ca="1">IF($D142&gt;Standings!$Q$27,"",IF(AA142=0,1,0))</f>
        <v>0</v>
      </c>
      <c r="AC142" s="243">
        <f ca="1">IF($D142&gt;Standings!$Q$27,"",SUM(OFFSET(J142,(-$D142+1),0,1,1):J142))</f>
        <v>123.72</v>
      </c>
      <c r="AD142" s="239">
        <f ca="1">IF($D142&gt;Standings!$Q$27,"",SUM(OFFSET(K142,(-$D142+1),0,1,1):K142))</f>
        <v>96.78</v>
      </c>
      <c r="AE142" s="239">
        <f ca="1">IF($D142&gt;Standings!$Q$27,"",$J142-$K142)</f>
        <v>26.939999999999998</v>
      </c>
      <c r="AF142" s="239">
        <f ca="1">IF($D142&gt;Standings!$Q$27,"",AC142-AD142)</f>
        <v>26.939999999999998</v>
      </c>
      <c r="AG142" s="244">
        <f ca="1">IF($D142&gt;Standings!$Q$27,"",(COUNTIFS($D$2:$D$225,$D142,$C$2:$C$225,$C142,$AC$2:$AC$225,"&lt;"&amp;$AC142)+1)*0.01)</f>
        <v>7.0000000000000007E-2</v>
      </c>
      <c r="AH142" s="244">
        <f ca="1">IF($D142&gt;Standings!$Q$27,"",Z142+AG142)</f>
        <v>1.07</v>
      </c>
      <c r="AI142" s="244"/>
      <c r="AJ142" s="241">
        <f t="array" aca="1" ref="AJ142" ca="1">IF($D142&gt;Standings!$Q$27,"",(COUNTIFS($D$2:$D$225,$D142,$C$2:$C$225,$C142,$AM$2:$AM$225,"&gt;"&amp;$AM142)+1))</f>
        <v>2</v>
      </c>
      <c r="AK142" s="241">
        <f t="array" aca="1" ref="AK142" ca="1">IF($D142&gt;Standings!$Q$27,"",IF((COUNTIFS($D$2:$D$225,$D142,$C$2:$C$225,$C142,$AH$2:$AH$225,"&gt;"&amp;$AH142)+1)=2,1,0))</f>
        <v>1</v>
      </c>
      <c r="AL142" s="241">
        <f t="array" aca="1" ref="AL142" ca="1">IF($D142&gt;Standings!$Q$27,"",IF((COUNTIFS($D$2:$D$225,$D142,$C$2:$C$225,$C142,$AH$2:$AH$225,"&gt;"&amp;$AH142)+1)&lt;2,1,0))</f>
        <v>0</v>
      </c>
      <c r="AM142" s="241">
        <f ca="1">IF($D142&gt;Standings!$Q$27,"",IF(AL142=1,200+Z142+(16-AQ142)*0.01+AI142,IF(AK142=1,100+Z142+(16-AQ142)*0.01+AI142,IF(AN142=1,50+Z142+(16-AQ142)*0.01,IF(AO142=1,15+Z142+(16-AQ142)*0.01,Z142+(16-AQ142)*0.01+AI142)))))</f>
        <v>101.14</v>
      </c>
      <c r="AN142" s="241" t="str">
        <f ca="1">IF($D142&gt;Standings!$Q$27,"",IF(OR($AK142=1,$AL142=1),"Conf Playoff Spot",COUNTIFS($AL$2:$AL$225,0,$AK$2:$AK$225,0,$C$2:$C$225,$C142,$D$2:$D$225,$D142,$AC$2:$AC$225,"&gt;"&amp;$AC142)+1))</f>
        <v>Conf Playoff Spot</v>
      </c>
      <c r="AO142" s="241" t="str">
        <f t="array" aca="1" ref="AO142" ca="1">IF($D142&gt;Standings!$Q$27,"",IF(OR($AK142=1,$AL142=1),"Conf Playoff Spot",COUNTIFS($AK$2:$AK$225,0,$AL$2:$AL$225,0,$D$2:$D$225,$D142,$AH$2:$AH$225,"&gt;"&amp;$AH142)+1))</f>
        <v>Conf Playoff Spot</v>
      </c>
      <c r="AP142" s="241">
        <f t="array" aca="1" ref="AP142" ca="1">IF($D142&gt;Standings!$Q$27,"",(COUNTIFS($D$2:$D$225,$D142,$J$2:$J$225,"&gt;"&amp;$J142)+1))</f>
        <v>2</v>
      </c>
      <c r="AQ142" s="241">
        <f ca="1">IF($D142&gt;Standings!$Q$27,"",(COUNTIFS($D$2:$D$225,$D142,$AC$2:$AC$225,"&gt;"&amp;$AC142)+1))</f>
        <v>2</v>
      </c>
      <c r="AR142" s="241">
        <f ca="1">IF($D142&gt;Standings!$Q$27,"",(COUNTIFS($D$2:$D$225,$D142,$K$2:$K$225,"&gt;"&amp;$K142)+1))</f>
        <v>12</v>
      </c>
      <c r="AS142" s="241">
        <f ca="1">IF($D142&gt;Standings!$Q$27,"",(COUNTIFS($D$2:$D$225,$D142,$AD$2:$AD$225,"&gt;"&amp;$AD142)+1))</f>
        <v>12</v>
      </c>
      <c r="AT142" s="357">
        <f ca="1">IF($D142&gt;Standings!$Q$27,"",SUMIFS($J$2:$J$225,$D$2:$D$225,$D142,$C$2:$C$225,$C142))</f>
        <v>872.36000000000013</v>
      </c>
      <c r="AU142" s="245">
        <f ca="1">IF($D142&gt;Standings!$Q$27,"",SUMIFS($AC$2:$AC$225,$D$2:$D$225,$D142,$C$2:$C$225,$C142))</f>
        <v>872.36000000000013</v>
      </c>
    </row>
    <row r="143" spans="1:47">
      <c r="A143" s="190">
        <f t="shared" si="1"/>
        <v>26</v>
      </c>
      <c r="B143" s="5" t="str">
        <f>'ESPN Data'!$L$14</f>
        <v>Team 11</v>
      </c>
      <c r="C143" s="350" t="str">
        <f>VLOOKUP(B143,'ESPN Data'!$L$4:$M$19,2,FALSE)</f>
        <v>Wardo</v>
      </c>
      <c r="D143" s="400">
        <v>2</v>
      </c>
      <c r="E143" s="267" t="str">
        <f t="array" ref="E143">INDEX('ESPN Data'!$C$3:$C$226,MATCH(1,('ESPN Data'!$A$3:$A$226='Point Data'!$D143)*('ESPN Data'!$B$3:$B$226='Point Data'!$B143),0))</f>
        <v>Team 1</v>
      </c>
      <c r="F143" s="250" t="str">
        <f>IF(C143&lt;&gt;VLOOKUP($E143,'ESPN Data'!$L$4:$M$19,2,FALSE),"Non Conf", "Conf")</f>
        <v>Non Conf</v>
      </c>
      <c r="G143" s="246">
        <f t="array" aca="1" ref="G143" ca="1">IF('Point Data'!$D143&gt;Standings!$Q$27,"",(COUNTIFS($D$2:$D$225,$D143,$AM$2:$AM$225,"&gt;"&amp;$AM143)+1))</f>
        <v>7</v>
      </c>
      <c r="H143" s="172">
        <f ca="1">IF('Point Data'!$D143&gt;Standings!$Q$27,"",$G142)</f>
        <v>3</v>
      </c>
      <c r="I143" s="249">
        <f ca="1">IF('Point Data'!D143&gt;Standings!$Q$27,"",H143-G143)</f>
        <v>-4</v>
      </c>
      <c r="J143" s="172">
        <f ca="1">IF('Point Data'!D143&gt;Standings!$Q$27,"",OFFSET('ESPN Data'!D$3,$A143,0,1,1))</f>
        <v>101.32</v>
      </c>
      <c r="K143" s="248">
        <f ca="1">IF('Point Data'!D143&gt;Standings!$Q$27,"",OFFSET('ESPN Data'!E$3,$A143,0,1,1))</f>
        <v>94.86</v>
      </c>
      <c r="L143" s="249">
        <f ca="1">IF('Point Data'!D143&gt;Standings!$Q$27,"",OFFSET('ESPN Data'!I$3,$A143,0,1,1))</f>
        <v>80</v>
      </c>
      <c r="M143" s="249">
        <f ca="1">IF('Point Data'!D143&gt;Standings!$Q$27,"",OFFSET('ESPN Data'!I$3,$A143,-2,1,1))</f>
        <v>20</v>
      </c>
      <c r="N143" s="249">
        <f ca="1">IF('Point Data'!D143&gt;Standings!$Q$27,"",SUMIFS($M$2:$M$225,$D$2:$D$225,D143,$C$2:$C$225,C143))</f>
        <v>29</v>
      </c>
      <c r="O143" s="249">
        <f ca="1">IF('Point Data'!D143&gt;Standings!$Q$27,"",SUMIFS($L$2:$L$225,$D$2:$D$225,$D143,$C$2:$C$225,$C143))</f>
        <v>771</v>
      </c>
      <c r="P143" s="249">
        <f ca="1">IF('Point Data'!D143&gt;Standings!$Q$27,"",SUMIFS($M$2:$M$225,$D$2:$D$225,D143))</f>
        <v>73</v>
      </c>
      <c r="Q143" s="249">
        <f ca="1">IF('Point Data'!D143&gt;Standings!$Q$27,"",SUMIFS($L$2:$L$225,$D$2:$D$225,D143))</f>
        <v>1524</v>
      </c>
      <c r="R143" s="249">
        <f ca="1">IF($D143&gt;Standings!$Q$27,"",IF(U143="T",(Z143+0.5)/(D143)*100,(Z143/D143)*100))</f>
        <v>100</v>
      </c>
      <c r="S143" s="248">
        <f ca="1">IF($D143&gt;Standings!$Q$27,"",$J143-$K143)</f>
        <v>6.4599999999999937</v>
      </c>
      <c r="T143" s="248">
        <f ca="1">IF($D143&gt;Standings!$Q$27,"",AVERAGE(OFFSET(S143,(-$D143+1),0,1,1):S143))</f>
        <v>16.699999999999996</v>
      </c>
      <c r="U143" s="172">
        <f ca="1">IF($D143&gt;Standings!$Q$27,"",IF(J143&gt;K143,1,IF(J143=K143,"T",0)))</f>
        <v>1</v>
      </c>
      <c r="V143" s="172">
        <f ca="1">IF($D143&gt;Standings!$Q$27,"",IF(F143="Conf",V142,SUMIFS($U$2:$U$225,$D$2:$D$225,"&lt;="&amp;$D143,$B$2:$B$225,$B143,$F$2:$F$225,"Non Conf")))</f>
        <v>2</v>
      </c>
      <c r="W143" s="172" t="str">
        <f ca="1">IF($D143&gt;Standings!$Q$27,"",$V143&amp;"-"&amp;COUNTIF(OFFSET($F143,(-$D143+1),0,1,1):$F143,"Non Conf")-$V143)</f>
        <v>2-0</v>
      </c>
      <c r="X143" s="172">
        <f>IF($D143&gt;Standings!$Q$27,"",SUMIFS($U$2:$U$225,$D$2:$D$225,"&lt;="&amp;$D143,$B$2:$B$225,$B143,$F$2:$F$225,"Conf"))</f>
        <v>0</v>
      </c>
      <c r="Y143" s="172" t="str">
        <f ca="1">IF($D143&gt;Standings!$Q$27,"",$X143&amp;"-"&amp;COUNTIF(OFFSET($F143,(-$D143+1),0,1,1):$F143,"Conf")-$X143)</f>
        <v>0-0</v>
      </c>
      <c r="Z143" s="172">
        <f ca="1">IF($D143&gt;Standings!$Q$27,"",SUM(OFFSET(U143,(-$D143+1),0,1,1):U143))</f>
        <v>2</v>
      </c>
      <c r="AA143" s="172">
        <f ca="1">IF($D143&gt;Standings!$Q$27,"",IF(U143=1,1+AA142,0))</f>
        <v>2</v>
      </c>
      <c r="AB143" s="267">
        <f ca="1">IF($D143&gt;Standings!$Q$27,"",IF(AA143=0,1+AB142,0))</f>
        <v>0</v>
      </c>
      <c r="AC143" s="251">
        <f ca="1">IF($D143&gt;Standings!$Q$27,"",SUM(OFFSET(J143,(-$D143+1),0,1,1):J143))</f>
        <v>225.04</v>
      </c>
      <c r="AD143" s="248">
        <f ca="1">IF($D143&gt;Standings!$Q$27,"",SUM(OFFSET(K143,(-$D143+1),0,1,1):K143))</f>
        <v>191.64</v>
      </c>
      <c r="AE143" s="248">
        <f ca="1">IF($D143&gt;Standings!$Q$27,"",$J143-$K143)</f>
        <v>6.4599999999999937</v>
      </c>
      <c r="AF143" s="248">
        <f ca="1">IF($D143&gt;Standings!$Q$27,"",AC143-AD143)</f>
        <v>33.400000000000006</v>
      </c>
      <c r="AG143" s="252">
        <f ca="1">IF($D143&gt;Standings!$Q$27,"",(COUNTIFS($D$2:$D$225,$D143,$C$2:$C$225,$C143,$AC$2:$AC$225,"&lt;"&amp;$AC143)+1)*0.01)</f>
        <v>0.05</v>
      </c>
      <c r="AH143" s="252">
        <f ca="1">IF($D143&gt;Standings!$Q$27,"",Z143+AG143)</f>
        <v>2.0499999999999998</v>
      </c>
      <c r="AI143" s="252"/>
      <c r="AJ143" s="172">
        <f t="array" aca="1" ref="AJ143" ca="1">IF($D143&gt;Standings!$Q$27,"",(COUNTIFS($D$2:$D$225,$D143,$C$2:$C$225,$C143,$AM$2:$AM$225,"&gt;"&amp;$AM143)+1))</f>
        <v>4</v>
      </c>
      <c r="AK143" s="172">
        <f t="array" aca="1" ref="AK143" ca="1">IF($D143&gt;Standings!$Q$27,"",IF((COUNTIFS($D$2:$D$225,$D143,$C$2:$C$225,$C143,$AH$2:$AH$225,"&gt;"&amp;$AH143)+1)=2,1,0))</f>
        <v>0</v>
      </c>
      <c r="AL143" s="172">
        <f t="array" aca="1" ref="AL143" ca="1">IF($D143&gt;Standings!$Q$27,"",IF((COUNTIFS($D$2:$D$225,$D143,$C$2:$C$225,$C143,$AH$2:$AH$225,"&gt;"&amp;$AH143)+1)&lt;2,1,0))</f>
        <v>0</v>
      </c>
      <c r="AM143" s="172">
        <f ca="1">IF($D143&gt;Standings!$Q$27,"",IF(AL143=1,200+Z143+(16-AQ143)*0.01+AI143,IF(AK143=1,100+Z143+(16-AQ143)*0.01+AI143,IF(AN143=1,50+Z143+(16-AQ143)*0.01,IF(AO143=1,15+Z143+(16-AQ143)*0.01,Z143+(16-AQ143)*0.01+AI143)))))</f>
        <v>17.11</v>
      </c>
      <c r="AN143" s="172">
        <f ca="1">IF($D143&gt;Standings!$Q$27,"",IF(OR($AK143=1,$AL143=1),"Conf Playoff Spot",COUNTIFS($AL$2:$AL$225,0,$AK$2:$AK$225,0,$C$2:$C$225,$C143,$D$2:$D$225,$D143,$AC$2:$AC$225,"&gt;"&amp;$AC143)+1))</f>
        <v>2</v>
      </c>
      <c r="AO143" s="172">
        <f t="array" aca="1" ref="AO143" ca="1">IF($D143&gt;Standings!$Q$27,"",IF(OR($AK143=1,$AL143=1),"Conf Playoff Spot",COUNTIFS($AK$2:$AK$225,0,$AL$2:$AL$225,0,$D$2:$D$225,$D143,$AH$2:$AH$225,"&gt;"&amp;$AH143)+1))</f>
        <v>1</v>
      </c>
      <c r="AP143" s="172">
        <f t="array" aca="1" ref="AP143" ca="1">IF($D143&gt;Standings!$Q$27,"",(COUNTIFS($D$2:$D$225,$D143,$J$2:$J$225,"&gt;"&amp;$J143)+1))</f>
        <v>11</v>
      </c>
      <c r="AQ143" s="172">
        <f ca="1">IF($D143&gt;Standings!$Q$27,"",(COUNTIFS($D$2:$D$225,$D143,$AC$2:$AC$225,"&gt;"&amp;$AC143)+1))</f>
        <v>5</v>
      </c>
      <c r="AR143" s="172">
        <f ca="1">IF($D143&gt;Standings!$Q$27,"",(COUNTIFS($D$2:$D$225,$D143,$K$2:$K$225,"&gt;"&amp;$K143)+1))</f>
        <v>14</v>
      </c>
      <c r="AS143" s="172">
        <f ca="1">IF($D143&gt;Standings!$Q$27,"",(COUNTIFS($D$2:$D$225,$D143,$AD$2:$AD$225,"&gt;"&amp;$AD143)+1))</f>
        <v>15</v>
      </c>
      <c r="AT143" s="354">
        <f ca="1">IF($D143&gt;Standings!$Q$27,"",SUMIFS($J$2:$J$225,$D$2:$D$225,$D143,$C$2:$C$225,$C143))</f>
        <v>937.28000000000009</v>
      </c>
      <c r="AU143" s="253">
        <f ca="1">IF($D143&gt;Standings!$Q$27,"",SUMIFS($AC$2:$AC$225,$D$2:$D$225,$D143,$C$2:$C$225,$C143))</f>
        <v>1809.64</v>
      </c>
    </row>
    <row r="144" spans="1:47">
      <c r="A144" s="190">
        <f t="shared" ref="A144:A207" si="2">A130+1</f>
        <v>42</v>
      </c>
      <c r="B144" s="5" t="str">
        <f>'ESPN Data'!$L$14</f>
        <v>Team 11</v>
      </c>
      <c r="C144" s="350" t="str">
        <f>VLOOKUP(B144,'ESPN Data'!$L$4:$M$19,2,FALSE)</f>
        <v>Wardo</v>
      </c>
      <c r="D144" s="400">
        <v>3</v>
      </c>
      <c r="E144" s="267" t="str">
        <f t="array" ref="E144">INDEX('ESPN Data'!$C$3:$C$226,MATCH(1,('ESPN Data'!$A$3:$A$226='Point Data'!$D144)*('ESPN Data'!$B$3:$B$226='Point Data'!$B144),0))</f>
        <v>Team 3</v>
      </c>
      <c r="F144" s="250" t="str">
        <f>IF(C144&lt;&gt;VLOOKUP($E144,'ESPN Data'!$L$4:$M$19,2,FALSE),"Non Conf", "Conf")</f>
        <v>Non Conf</v>
      </c>
      <c r="G144" s="246">
        <f t="array" aca="1" ref="G144" ca="1">IF('Point Data'!$D144&gt;Standings!$Q$27,"",(COUNTIFS($D$2:$D$225,$D144,$AM$2:$AM$225,"&gt;"&amp;$AM144)+1))</f>
        <v>3</v>
      </c>
      <c r="H144" s="172">
        <f ca="1">IF('Point Data'!$D144&gt;Standings!$Q$27,"",$G143)</f>
        <v>7</v>
      </c>
      <c r="I144" s="249">
        <f ca="1">IF('Point Data'!D144&gt;Standings!$Q$27,"",H144-G144)</f>
        <v>4</v>
      </c>
      <c r="J144" s="172">
        <f ca="1">IF('Point Data'!D144&gt;Standings!$Q$27,"",OFFSET('ESPN Data'!D$3,$A144,0,1,1))</f>
        <v>107.92</v>
      </c>
      <c r="K144" s="248">
        <f ca="1">IF('Point Data'!D144&gt;Standings!$Q$27,"",OFFSET('ESPN Data'!E$3,$A144,0,1,1))</f>
        <v>75.260000000000005</v>
      </c>
      <c r="L144" s="249">
        <f ca="1">IF('Point Data'!D144&gt;Standings!$Q$27,"",OFFSET('ESPN Data'!I$3,$A144,0,1,1))</f>
        <v>74</v>
      </c>
      <c r="M144" s="249">
        <f ca="1">IF('Point Data'!D144&gt;Standings!$Q$27,"",OFFSET('ESPN Data'!I$3,$A144,-2,1,1))</f>
        <v>6</v>
      </c>
      <c r="N144" s="249">
        <f ca="1">IF('Point Data'!D144&gt;Standings!$Q$27,"",SUMIFS($M$2:$M$225,$D$2:$D$225,D144,$C$2:$C$225,C144))</f>
        <v>185</v>
      </c>
      <c r="O144" s="249">
        <f ca="1">IF('Point Data'!D144&gt;Standings!$Q$27,"",SUMIFS($L$2:$L$225,$D$2:$D$225,$D144,$C$2:$C$225,$C144))</f>
        <v>586</v>
      </c>
      <c r="P144" s="249">
        <f ca="1">IF('Point Data'!D144&gt;Standings!$Q$27,"",SUMIFS($M$2:$M$225,$D$2:$D$225,D144))</f>
        <v>210</v>
      </c>
      <c r="Q144" s="249">
        <f ca="1">IF('Point Data'!D144&gt;Standings!$Q$27,"",SUMIFS($L$2:$L$225,$D$2:$D$225,D144))</f>
        <v>1314</v>
      </c>
      <c r="R144" s="249">
        <f ca="1">IF($D144&gt;Standings!$Q$27,"",IF(U144="T",(Z144+0.5)/(D144)*100,(Z144/D144)*100))</f>
        <v>100</v>
      </c>
      <c r="S144" s="248">
        <f ca="1">IF($D144&gt;Standings!$Q$27,"",$J144-$K144)</f>
        <v>32.659999999999997</v>
      </c>
      <c r="T144" s="248">
        <f ca="1">IF($D144&gt;Standings!$Q$27,"",AVERAGE(OFFSET(S144,(-$D144+1),0,1,1):S144))</f>
        <v>22.019999999999996</v>
      </c>
      <c r="U144" s="172">
        <f ca="1">IF($D144&gt;Standings!$Q$27,"",IF(J144&gt;K144,1,IF(J144=K144,"T",0)))</f>
        <v>1</v>
      </c>
      <c r="V144" s="172">
        <f ca="1">IF($D144&gt;Standings!$Q$27,"",IF(F144="Conf",V143,SUMIFS($U$2:$U$225,$D$2:$D$225,"&lt;="&amp;$D144,$B$2:$B$225,$B144,$F$2:$F$225,"Non Conf")))</f>
        <v>3</v>
      </c>
      <c r="W144" s="172" t="str">
        <f ca="1">IF($D144&gt;Standings!$Q$27,"",$V144&amp;"-"&amp;COUNTIF(OFFSET($F144,(-$D144+1),0,1,1):$F144,"Non Conf")-$V144)</f>
        <v>3-0</v>
      </c>
      <c r="X144" s="172">
        <f>IF($D144&gt;Standings!$Q$27,"",SUMIFS($U$2:$U$225,$D$2:$D$225,"&lt;="&amp;$D144,$B$2:$B$225,$B144,$F$2:$F$225,"Conf"))</f>
        <v>0</v>
      </c>
      <c r="Y144" s="172" t="str">
        <f ca="1">IF($D144&gt;Standings!$Q$27,"",$X144&amp;"-"&amp;COUNTIF(OFFSET($F144,(-$D144+1),0,1,1):$F144,"Conf")-$X144)</f>
        <v>0-0</v>
      </c>
      <c r="Z144" s="172">
        <f ca="1">IF($D144&gt;Standings!$Q$27,"",SUM(OFFSET(U144,(-$D144+1),0,1,1):U144))</f>
        <v>3</v>
      </c>
      <c r="AA144" s="172">
        <f ca="1">IF($D144&gt;Standings!$Q$27,"",IF(U144=1,1+AA143,0))</f>
        <v>3</v>
      </c>
      <c r="AB144" s="267">
        <f ca="1">IF($D144&gt;Standings!$Q$27,"",IF(AA144=0,1+AB143,0))</f>
        <v>0</v>
      </c>
      <c r="AC144" s="251">
        <f ca="1">IF($D144&gt;Standings!$Q$27,"",SUM(OFFSET(J144,(-$D144+1),0,1,1):J144))</f>
        <v>332.96</v>
      </c>
      <c r="AD144" s="248">
        <f ca="1">IF($D144&gt;Standings!$Q$27,"",SUM(OFFSET(K144,(-$D144+1),0,1,1):K144))</f>
        <v>266.89999999999998</v>
      </c>
      <c r="AE144" s="248">
        <f ca="1">IF($D144&gt;Standings!$Q$27,"",$J144-$K144)</f>
        <v>32.659999999999997</v>
      </c>
      <c r="AF144" s="248">
        <f ca="1">IF($D144&gt;Standings!$Q$27,"",AC144-AD144)</f>
        <v>66.06</v>
      </c>
      <c r="AG144" s="252">
        <f ca="1">IF($D144&gt;Standings!$Q$27,"",(COUNTIFS($D$2:$D$225,$D144,$C$2:$C$225,$C144,$AC$2:$AC$225,"&lt;"&amp;$AC144)+1)*0.01)</f>
        <v>0.05</v>
      </c>
      <c r="AH144" s="252">
        <f ca="1">IF($D144&gt;Standings!$Q$27,"",Z144+AG144)</f>
        <v>3.05</v>
      </c>
      <c r="AI144" s="252"/>
      <c r="AJ144" s="172">
        <f t="array" aca="1" ref="AJ144" ca="1">IF($D144&gt;Standings!$Q$27,"",(COUNTIFS($D$2:$D$225,$D144,$C$2:$C$225,$C144,$AM$2:$AM$225,"&gt;"&amp;$AM144)+1))</f>
        <v>2</v>
      </c>
      <c r="AK144" s="172">
        <f t="array" aca="1" ref="AK144" ca="1">IF($D144&gt;Standings!$Q$27,"",IF((COUNTIFS($D$2:$D$225,$D144,$C$2:$C$225,$C144,$AH$2:$AH$225,"&gt;"&amp;$AH144)+1)=2,1,0))</f>
        <v>1</v>
      </c>
      <c r="AL144" s="172">
        <f t="array" aca="1" ref="AL144" ca="1">IF($D144&gt;Standings!$Q$27,"",IF((COUNTIFS($D$2:$D$225,$D144,$C$2:$C$225,$C144,$AH$2:$AH$225,"&gt;"&amp;$AH144)+1)&lt;2,1,0))</f>
        <v>0</v>
      </c>
      <c r="AM144" s="172">
        <f ca="1">IF($D144&gt;Standings!$Q$27,"",IF(AL144=1,200+Z144+(16-AQ144)*0.01+AI144,IF(AK144=1,100+Z144+(16-AQ144)*0.01+AI144,IF(AN144=1,50+Z144+(16-AQ144)*0.01,IF(AO144=1,15+Z144+(16-AQ144)*0.01,Z144+(16-AQ144)*0.01+AI144)))))</f>
        <v>103.09</v>
      </c>
      <c r="AN144" s="172" t="str">
        <f ca="1">IF($D144&gt;Standings!$Q$27,"",IF(OR($AK144=1,$AL144=1),"Conf Playoff Spot",COUNTIFS($AL$2:$AL$225,0,$AK$2:$AK$225,0,$C$2:$C$225,$C144,$D$2:$D$225,$D144,$AC$2:$AC$225,"&gt;"&amp;$AC144)+1))</f>
        <v>Conf Playoff Spot</v>
      </c>
      <c r="AO144" s="172" t="str">
        <f t="array" aca="1" ref="AO144" ca="1">IF($D144&gt;Standings!$Q$27,"",IF(OR($AK144=1,$AL144=1),"Conf Playoff Spot",COUNTIFS($AK$2:$AK$225,0,$AL$2:$AL$225,0,$D$2:$D$225,$D144,$AH$2:$AH$225,"&gt;"&amp;$AH144)+1))</f>
        <v>Conf Playoff Spot</v>
      </c>
      <c r="AP144" s="172">
        <f t="array" aca="1" ref="AP144" ca="1">IF($D144&gt;Standings!$Q$27,"",(COUNTIFS($D$2:$D$225,$D144,$J$2:$J$225,"&gt;"&amp;$J144)+1))</f>
        <v>9</v>
      </c>
      <c r="AQ144" s="172">
        <f ca="1">IF($D144&gt;Standings!$Q$27,"",(COUNTIFS($D$2:$D$225,$D144,$AC$2:$AC$225,"&gt;"&amp;$AC144)+1))</f>
        <v>7</v>
      </c>
      <c r="AR144" s="172">
        <f ca="1">IF($D144&gt;Standings!$Q$27,"",(COUNTIFS($D$2:$D$225,$D144,$K$2:$K$225,"&gt;"&amp;$K144)+1))</f>
        <v>16</v>
      </c>
      <c r="AS144" s="172">
        <f ca="1">IF($D144&gt;Standings!$Q$27,"",(COUNTIFS($D$2:$D$225,$D144,$AD$2:$AD$225,"&gt;"&amp;$AD144)+1))</f>
        <v>16</v>
      </c>
      <c r="AT144" s="354">
        <f ca="1">IF($D144&gt;Standings!$Q$27,"",SUMIFS($J$2:$J$225,$D$2:$D$225,$D144,$C$2:$C$225,$C144))</f>
        <v>832.04000000000008</v>
      </c>
      <c r="AU144" s="253">
        <f ca="1">IF($D144&gt;Standings!$Q$27,"",SUMIFS($AC$2:$AC$225,$D$2:$D$225,$D144,$C$2:$C$225,$C144))</f>
        <v>2641.68</v>
      </c>
    </row>
    <row r="145" spans="1:47">
      <c r="A145" s="190">
        <f t="shared" si="2"/>
        <v>58</v>
      </c>
      <c r="B145" s="5" t="str">
        <f>'ESPN Data'!$L$14</f>
        <v>Team 11</v>
      </c>
      <c r="C145" s="350" t="str">
        <f>VLOOKUP(B145,'ESPN Data'!$L$4:$M$19,2,FALSE)</f>
        <v>Wardo</v>
      </c>
      <c r="D145" s="400">
        <v>4</v>
      </c>
      <c r="E145" s="267" t="str">
        <f t="array" ref="E145">INDEX('ESPN Data'!$C$3:$C$226,MATCH(1,('ESPN Data'!$A$3:$A$226='Point Data'!$D145)*('ESPN Data'!$B$3:$B$226='Point Data'!$B145),0))</f>
        <v>Team 16</v>
      </c>
      <c r="F145" s="250" t="str">
        <f>IF(C145&lt;&gt;VLOOKUP($E145,'ESPN Data'!$L$4:$M$19,2,FALSE),"Non Conf", "Conf")</f>
        <v>Conf</v>
      </c>
      <c r="G145" s="246">
        <f t="array" aca="1" ref="G145" ca="1">IF('Point Data'!$D145&gt;Standings!$Q$27,"",(COUNTIFS($D$2:$D$225,$D145,$AM$2:$AM$225,"&gt;"&amp;$AM145)+1))</f>
        <v>8</v>
      </c>
      <c r="H145" s="172">
        <f ca="1">IF('Point Data'!$D145&gt;Standings!$Q$27,"",$G144)</f>
        <v>3</v>
      </c>
      <c r="I145" s="249">
        <f ca="1">IF('Point Data'!D145&gt;Standings!$Q$27,"",H145-G145)</f>
        <v>-5</v>
      </c>
      <c r="J145" s="172">
        <f ca="1">IF('Point Data'!D145&gt;Standings!$Q$27,"",OFFSET('ESPN Data'!D$3,$A145,0,1,1))</f>
        <v>53.05</v>
      </c>
      <c r="K145" s="248">
        <f ca="1">IF('Point Data'!D145&gt;Standings!$Q$27,"",OFFSET('ESPN Data'!E$3,$A145,0,1,1))</f>
        <v>99.49</v>
      </c>
      <c r="L145" s="249">
        <f ca="1">IF('Point Data'!D145&gt;Standings!$Q$27,"",OFFSET('ESPN Data'!I$3,$A145,0,1,1))</f>
        <v>74</v>
      </c>
      <c r="M145" s="249">
        <f ca="1">IF('Point Data'!D145&gt;Standings!$Q$27,"",OFFSET('ESPN Data'!I$3,$A145,-2,1,1))</f>
        <v>0</v>
      </c>
      <c r="N145" s="249">
        <f ca="1">IF('Point Data'!D145&gt;Standings!$Q$27,"",SUMIFS($M$2:$M$225,$D$2:$D$225,D145,$C$2:$C$225,C145))</f>
        <v>10</v>
      </c>
      <c r="O145" s="249">
        <f ca="1">IF('Point Data'!D145&gt;Standings!$Q$27,"",SUMIFS($L$2:$L$225,$D$2:$D$225,$D145,$C$2:$C$225,$C145))</f>
        <v>576</v>
      </c>
      <c r="P145" s="249">
        <f ca="1">IF('Point Data'!D145&gt;Standings!$Q$27,"",SUMIFS($M$2:$M$225,$D$2:$D$225,D145))</f>
        <v>171</v>
      </c>
      <c r="Q145" s="249">
        <f ca="1">IF('Point Data'!D145&gt;Standings!$Q$27,"",SUMIFS($L$2:$L$225,$D$2:$D$225,D145))</f>
        <v>1143</v>
      </c>
      <c r="R145" s="249">
        <f ca="1">IF($D145&gt;Standings!$Q$27,"",IF(U145="T",(Z145+0.5)/(D145)*100,(Z145/D145)*100))</f>
        <v>75</v>
      </c>
      <c r="S145" s="248">
        <f ca="1">IF($D145&gt;Standings!$Q$27,"",$J145-$K145)</f>
        <v>-46.44</v>
      </c>
      <c r="T145" s="248">
        <f ca="1">IF($D145&gt;Standings!$Q$27,"",AVERAGE(OFFSET(S145,(-$D145+1),0,1,1):S145))</f>
        <v>4.9049999999999976</v>
      </c>
      <c r="U145" s="172">
        <f ca="1">IF($D145&gt;Standings!$Q$27,"",IF(J145&gt;K145,1,IF(J145=K145,"T",0)))</f>
        <v>0</v>
      </c>
      <c r="V145" s="172">
        <f ca="1">IF($D145&gt;Standings!$Q$27,"",IF(F145="Conf",V144,SUMIFS($U$2:$U$225,$D$2:$D$225,"&lt;="&amp;$D145,$B$2:$B$225,$B145,$F$2:$F$225,"Non Conf")))</f>
        <v>3</v>
      </c>
      <c r="W145" s="172" t="str">
        <f ca="1">IF($D145&gt;Standings!$Q$27,"",$V145&amp;"-"&amp;COUNTIF(OFFSET($F145,(-$D145+1),0,1,1):$F145,"Non Conf")-$V145)</f>
        <v>3-0</v>
      </c>
      <c r="X145" s="172">
        <f ca="1">IF($D145&gt;Standings!$Q$27,"",SUMIFS($U$2:$U$225,$D$2:$D$225,"&lt;="&amp;$D145,$B$2:$B$225,$B145,$F$2:$F$225,"Conf"))</f>
        <v>0</v>
      </c>
      <c r="Y145" s="172" t="str">
        <f ca="1">IF($D145&gt;Standings!$Q$27,"",$X145&amp;"-"&amp;COUNTIF(OFFSET($F145,(-$D145+1),0,1,1):$F145,"Conf")-$X145)</f>
        <v>0-1</v>
      </c>
      <c r="Z145" s="172">
        <f ca="1">IF($D145&gt;Standings!$Q$27,"",SUM(OFFSET(U145,(-$D145+1),0,1,1):U145))</f>
        <v>3</v>
      </c>
      <c r="AA145" s="172">
        <f ca="1">IF($D145&gt;Standings!$Q$27,"",IF(U145=1,1+AA144,0))</f>
        <v>0</v>
      </c>
      <c r="AB145" s="267">
        <f ca="1">IF($D145&gt;Standings!$Q$27,"",IF(AA145=0,1+AB144,0))</f>
        <v>1</v>
      </c>
      <c r="AC145" s="251">
        <f ca="1">IF($D145&gt;Standings!$Q$27,"",SUM(OFFSET(J145,(-$D145+1),0,1,1):J145))</f>
        <v>386.01</v>
      </c>
      <c r="AD145" s="248">
        <f ca="1">IF($D145&gt;Standings!$Q$27,"",SUM(OFFSET(K145,(-$D145+1),0,1,1):K145))</f>
        <v>366.39</v>
      </c>
      <c r="AE145" s="248">
        <f ca="1">IF($D145&gt;Standings!$Q$27,"",$J145-$K145)</f>
        <v>-46.44</v>
      </c>
      <c r="AF145" s="248">
        <f ca="1">IF($D145&gt;Standings!$Q$27,"",AC145-AD145)</f>
        <v>19.620000000000005</v>
      </c>
      <c r="AG145" s="252">
        <f ca="1">IF($D145&gt;Standings!$Q$27,"",(COUNTIFS($D$2:$D$225,$D145,$C$2:$C$225,$C145,$AC$2:$AC$225,"&lt;"&amp;$AC145)+1)*0.01)</f>
        <v>0.02</v>
      </c>
      <c r="AH145" s="252">
        <f ca="1">IF($D145&gt;Standings!$Q$27,"",Z145+AG145)</f>
        <v>3.02</v>
      </c>
      <c r="AI145" s="252"/>
      <c r="AJ145" s="172">
        <f t="array" aca="1" ref="AJ145" ca="1">IF($D145&gt;Standings!$Q$27,"",(COUNTIFS($D$2:$D$225,$D145,$C$2:$C$225,$C145,$AM$2:$AM$225,"&gt;"&amp;$AM145)+1))</f>
        <v>4</v>
      </c>
      <c r="AK145" s="172">
        <f t="array" aca="1" ref="AK145" ca="1">IF($D145&gt;Standings!$Q$27,"",IF((COUNTIFS($D$2:$D$225,$D145,$C$2:$C$225,$C145,$AH$2:$AH$225,"&gt;"&amp;$AH145)+1)=2,1,0))</f>
        <v>0</v>
      </c>
      <c r="AL145" s="172">
        <f t="array" aca="1" ref="AL145" ca="1">IF($D145&gt;Standings!$Q$27,"",IF((COUNTIFS($D$2:$D$225,$D145,$C$2:$C$225,$C145,$AH$2:$AH$225,"&gt;"&amp;$AH145)+1)&lt;2,1,0))</f>
        <v>0</v>
      </c>
      <c r="AM145" s="172">
        <f ca="1">IF($D145&gt;Standings!$Q$27,"",IF(AL145=1,200+Z145+(16-AQ145)*0.01+AI145,IF(AK145=1,100+Z145+(16-AQ145)*0.01+AI145,IF(AN145=1,50+Z145+(16-AQ145)*0.01,IF(AO145=1,15+Z145+(16-AQ145)*0.01,Z145+(16-AQ145)*0.01+AI145)))))</f>
        <v>3.03</v>
      </c>
      <c r="AN145" s="172">
        <f ca="1">IF($D145&gt;Standings!$Q$27,"",IF(OR($AK145=1,$AL145=1),"Conf Playoff Spot",COUNTIFS($AL$2:$AL$225,0,$AK$2:$AK$225,0,$C$2:$C$225,$C145,$D$2:$D$225,$D145,$AC$2:$AC$225,"&gt;"&amp;$AC145)+1))</f>
        <v>5</v>
      </c>
      <c r="AO145" s="172">
        <f t="array" aca="1" ref="AO145" ca="1">IF($D145&gt;Standings!$Q$27,"",IF(OR($AK145=1,$AL145=1),"Conf Playoff Spot",COUNTIFS($AK$2:$AK$225,0,$AL$2:$AL$225,0,$D$2:$D$225,$D145,$AH$2:$AH$225,"&gt;"&amp;$AH145)+1))</f>
        <v>2</v>
      </c>
      <c r="AP145" s="172">
        <f t="array" aca="1" ref="AP145" ca="1">IF($D145&gt;Standings!$Q$27,"",(COUNTIFS($D$2:$D$225,$D145,$J$2:$J$225,"&gt;"&amp;$J145)+1))</f>
        <v>16</v>
      </c>
      <c r="AQ145" s="172">
        <f ca="1">IF($D145&gt;Standings!$Q$27,"",(COUNTIFS($D$2:$D$225,$D145,$AC$2:$AC$225,"&gt;"&amp;$AC145)+1))</f>
        <v>13</v>
      </c>
      <c r="AR145" s="172">
        <f ca="1">IF($D145&gt;Standings!$Q$27,"",(COUNTIFS($D$2:$D$225,$D145,$K$2:$K$225,"&gt;"&amp;$K145)+1))</f>
        <v>10</v>
      </c>
      <c r="AS145" s="172">
        <f ca="1">IF($D145&gt;Standings!$Q$27,"",(COUNTIFS($D$2:$D$225,$D145,$AD$2:$AD$225,"&gt;"&amp;$AD145)+1))</f>
        <v>16</v>
      </c>
      <c r="AT145" s="354">
        <f ca="1">IF($D145&gt;Standings!$Q$27,"",SUMIFS($J$2:$J$225,$D$2:$D$225,$D145,$C$2:$C$225,$C145))</f>
        <v>827.84</v>
      </c>
      <c r="AU145" s="253">
        <f ca="1">IF($D145&gt;Standings!$Q$27,"",SUMIFS($AC$2:$AC$225,$D$2:$D$225,$D145,$C$2:$C$225,$C145))</f>
        <v>3469.52</v>
      </c>
    </row>
    <row r="146" spans="1:47">
      <c r="A146" s="190">
        <f t="shared" si="2"/>
        <v>74</v>
      </c>
      <c r="B146" s="5" t="str">
        <f>'ESPN Data'!$L$14</f>
        <v>Team 11</v>
      </c>
      <c r="C146" s="350" t="str">
        <f>VLOOKUP(B146,'ESPN Data'!$L$4:$M$19,2,FALSE)</f>
        <v>Wardo</v>
      </c>
      <c r="D146" s="400">
        <v>5</v>
      </c>
      <c r="E146" s="267" t="str">
        <f t="array" ref="E146">INDEX('ESPN Data'!$C$3:$C$226,MATCH(1,('ESPN Data'!$A$3:$A$226='Point Data'!$D146)*('ESPN Data'!$B$3:$B$226='Point Data'!$B146),0))</f>
        <v>Team 2</v>
      </c>
      <c r="F146" s="250" t="str">
        <f>IF(C146&lt;&gt;VLOOKUP($E146,'ESPN Data'!$L$4:$M$19,2,FALSE),"Non Conf", "Conf")</f>
        <v>Non Conf</v>
      </c>
      <c r="G146" s="246">
        <f t="array" aca="1" ref="G146" ca="1">IF('Point Data'!$D146&gt;Standings!$Q$27,"",(COUNTIFS($D$2:$D$225,$D146,$AM$2:$AM$225,"&gt;"&amp;$AM146)+1))</f>
        <v>8</v>
      </c>
      <c r="H146" s="172">
        <f ca="1">IF('Point Data'!$D146&gt;Standings!$Q$27,"",$G145)</f>
        <v>8</v>
      </c>
      <c r="I146" s="249">
        <f ca="1">IF('Point Data'!D146&gt;Standings!$Q$27,"",H146-G146)</f>
        <v>0</v>
      </c>
      <c r="J146" s="172">
        <f ca="1">IF('Point Data'!D146&gt;Standings!$Q$27,"",OFFSET('ESPN Data'!D$3,$A146,0,1,1))</f>
        <v>137.59</v>
      </c>
      <c r="K146" s="248">
        <f ca="1">IF('Point Data'!D146&gt;Standings!$Q$27,"",OFFSET('ESPN Data'!E$3,$A146,0,1,1))</f>
        <v>138.77000000000001</v>
      </c>
      <c r="L146" s="249">
        <f ca="1">IF('Point Data'!D146&gt;Standings!$Q$27,"",OFFSET('ESPN Data'!I$3,$A146,0,1,1))</f>
        <v>59</v>
      </c>
      <c r="M146" s="249">
        <f ca="1">IF('Point Data'!D146&gt;Standings!$Q$27,"",OFFSET('ESPN Data'!I$3,$A146,-2,1,1))</f>
        <v>15</v>
      </c>
      <c r="N146" s="249">
        <f ca="1">IF('Point Data'!D146&gt;Standings!$Q$27,"",SUMIFS($M$2:$M$225,$D$2:$D$225,D146,$C$2:$C$225,C146))</f>
        <v>39</v>
      </c>
      <c r="O146" s="249">
        <f ca="1">IF('Point Data'!D146&gt;Standings!$Q$27,"",SUMIFS($L$2:$L$225,$D$2:$D$225,$D146,$C$2:$C$225,$C146))</f>
        <v>537</v>
      </c>
      <c r="P146" s="249">
        <f ca="1">IF('Point Data'!D146&gt;Standings!$Q$27,"",SUMIFS($M$2:$M$225,$D$2:$D$225,D146))</f>
        <v>104</v>
      </c>
      <c r="Q146" s="249">
        <f ca="1">IF('Point Data'!D146&gt;Standings!$Q$27,"",SUMIFS($L$2:$L$225,$D$2:$D$225,D146))</f>
        <v>1039</v>
      </c>
      <c r="R146" s="249">
        <f ca="1">IF($D146&gt;Standings!$Q$27,"",IF(U146="T",(Z146+0.5)/(D146)*100,(Z146/D146)*100))</f>
        <v>60</v>
      </c>
      <c r="S146" s="248">
        <f ca="1">IF($D146&gt;Standings!$Q$27,"",$J146-$K146)</f>
        <v>-1.1800000000000068</v>
      </c>
      <c r="T146" s="248">
        <f ca="1">IF($D146&gt;Standings!$Q$27,"",AVERAGE(OFFSET(S146,(-$D146+1),0,1,1):S146))</f>
        <v>3.6879999999999966</v>
      </c>
      <c r="U146" s="172">
        <f ca="1">IF($D146&gt;Standings!$Q$27,"",IF(J146&gt;K146,1,IF(J146=K146,"T",0)))</f>
        <v>0</v>
      </c>
      <c r="V146" s="172">
        <f ca="1">IF($D146&gt;Standings!$Q$27,"",IF(F146="Conf",V145,SUMIFS($U$2:$U$225,$D$2:$D$225,"&lt;="&amp;$D146,$B$2:$B$225,$B146,$F$2:$F$225,"Non Conf")))</f>
        <v>3</v>
      </c>
      <c r="W146" s="172" t="str">
        <f ca="1">IF($D146&gt;Standings!$Q$27,"",$V146&amp;"-"&amp;COUNTIF(OFFSET($F146,(-$D146+1),0,1,1):$F146,"Non Conf")-$V146)</f>
        <v>3-1</v>
      </c>
      <c r="X146" s="172">
        <f ca="1">IF($D146&gt;Standings!$Q$27,"",SUMIFS($U$2:$U$225,$D$2:$D$225,"&lt;="&amp;$D146,$B$2:$B$225,$B146,$F$2:$F$225,"Conf"))</f>
        <v>0</v>
      </c>
      <c r="Y146" s="172" t="str">
        <f ca="1">IF($D146&gt;Standings!$Q$27,"",$X146&amp;"-"&amp;COUNTIF(OFFSET($F146,(-$D146+1),0,1,1):$F146,"Conf")-$X146)</f>
        <v>0-1</v>
      </c>
      <c r="Z146" s="172">
        <f ca="1">IF($D146&gt;Standings!$Q$27,"",SUM(OFFSET(U146,(-$D146+1),0,1,1):U146))</f>
        <v>3</v>
      </c>
      <c r="AA146" s="172">
        <f ca="1">IF($D146&gt;Standings!$Q$27,"",IF(U146=1,1+AA145,0))</f>
        <v>0</v>
      </c>
      <c r="AB146" s="267">
        <f ca="1">IF($D146&gt;Standings!$Q$27,"",IF(AA146=0,1+AB145,0))</f>
        <v>2</v>
      </c>
      <c r="AC146" s="251">
        <f ca="1">IF($D146&gt;Standings!$Q$27,"",SUM(OFFSET(J146,(-$D146+1),0,1,1):J146))</f>
        <v>523.6</v>
      </c>
      <c r="AD146" s="248">
        <f ca="1">IF($D146&gt;Standings!$Q$27,"",SUM(OFFSET(K146,(-$D146+1),0,1,1):K146))</f>
        <v>505.15999999999997</v>
      </c>
      <c r="AE146" s="248">
        <f ca="1">IF($D146&gt;Standings!$Q$27,"",$J146-$K146)</f>
        <v>-1.1800000000000068</v>
      </c>
      <c r="AF146" s="248">
        <f ca="1">IF($D146&gt;Standings!$Q$27,"",AC146-AD146)</f>
        <v>18.440000000000055</v>
      </c>
      <c r="AG146" s="252">
        <f ca="1">IF($D146&gt;Standings!$Q$27,"",(COUNTIFS($D$2:$D$225,$D146,$C$2:$C$225,$C146,$AC$2:$AC$225,"&lt;"&amp;$AC146)+1)*0.01)</f>
        <v>0.03</v>
      </c>
      <c r="AH146" s="252">
        <f ca="1">IF($D146&gt;Standings!$Q$27,"",Z146+AG146)</f>
        <v>3.03</v>
      </c>
      <c r="AI146" s="252"/>
      <c r="AJ146" s="172">
        <f t="array" aca="1" ref="AJ146" ca="1">IF($D146&gt;Standings!$Q$27,"",(COUNTIFS($D$2:$D$225,$D146,$C$2:$C$225,$C146,$AM$2:$AM$225,"&gt;"&amp;$AM146)+1))</f>
        <v>4</v>
      </c>
      <c r="AK146" s="172">
        <f t="array" aca="1" ref="AK146" ca="1">IF($D146&gt;Standings!$Q$27,"",IF((COUNTIFS($D$2:$D$225,$D146,$C$2:$C$225,$C146,$AH$2:$AH$225,"&gt;"&amp;$AH146)+1)=2,1,0))</f>
        <v>0</v>
      </c>
      <c r="AL146" s="172">
        <f t="array" aca="1" ref="AL146" ca="1">IF($D146&gt;Standings!$Q$27,"",IF((COUNTIFS($D$2:$D$225,$D146,$C$2:$C$225,$C146,$AH$2:$AH$225,"&gt;"&amp;$AH146)+1)&lt;2,1,0))</f>
        <v>0</v>
      </c>
      <c r="AM146" s="172">
        <f ca="1">IF($D146&gt;Standings!$Q$27,"",IF(AL146=1,200+Z146+(16-AQ146)*0.01+AI146,IF(AK146=1,100+Z146+(16-AQ146)*0.01+AI146,IF(AN146=1,50+Z146+(16-AQ146)*0.01,IF(AO146=1,15+Z146+(16-AQ146)*0.01,Z146+(16-AQ146)*0.01+AI146)))))</f>
        <v>3.06</v>
      </c>
      <c r="AN146" s="172">
        <f ca="1">IF($D146&gt;Standings!$Q$27,"",IF(OR($AK146=1,$AL146=1),"Conf Playoff Spot",COUNTIFS($AL$2:$AL$225,0,$AK$2:$AK$225,0,$C$2:$C$225,$C146,$D$2:$D$225,$D146,$AC$2:$AC$225,"&gt;"&amp;$AC146)+1))</f>
        <v>4</v>
      </c>
      <c r="AO146" s="172">
        <f t="array" aca="1" ref="AO146" ca="1">IF($D146&gt;Standings!$Q$27,"",IF(OR($AK146=1,$AL146=1),"Conf Playoff Spot",COUNTIFS($AK$2:$AK$225,0,$AL$2:$AL$225,0,$D$2:$D$225,$D146,$AH$2:$AH$225,"&gt;"&amp;$AH146)+1))</f>
        <v>4</v>
      </c>
      <c r="AP146" s="172">
        <f t="array" aca="1" ref="AP146" ca="1">IF($D146&gt;Standings!$Q$27,"",(COUNTIFS($D$2:$D$225,$D146,$J$2:$J$225,"&gt;"&amp;$J146)+1))</f>
        <v>3</v>
      </c>
      <c r="AQ146" s="172">
        <f ca="1">IF($D146&gt;Standings!$Q$27,"",(COUNTIFS($D$2:$D$225,$D146,$AC$2:$AC$225,"&gt;"&amp;$AC146)+1))</f>
        <v>10</v>
      </c>
      <c r="AR146" s="172">
        <f ca="1">IF($D146&gt;Standings!$Q$27,"",(COUNTIFS($D$2:$D$225,$D146,$K$2:$K$225,"&gt;"&amp;$K146)+1))</f>
        <v>1</v>
      </c>
      <c r="AS146" s="172">
        <f ca="1">IF($D146&gt;Standings!$Q$27,"",(COUNTIFS($D$2:$D$225,$D146,$AD$2:$AD$225,"&gt;"&amp;$AD146)+1))</f>
        <v>14</v>
      </c>
      <c r="AT146" s="354">
        <f ca="1">IF($D146&gt;Standings!$Q$27,"",SUMIFS($J$2:$J$225,$D$2:$D$225,$D146,$C$2:$C$225,$C146))</f>
        <v>855.19</v>
      </c>
      <c r="AU146" s="253">
        <f ca="1">IF($D146&gt;Standings!$Q$27,"",SUMIFS($AC$2:$AC$225,$D$2:$D$225,$D146,$C$2:$C$225,$C146))</f>
        <v>4324.71</v>
      </c>
    </row>
    <row r="147" spans="1:47">
      <c r="A147" s="190">
        <f t="shared" si="2"/>
        <v>90</v>
      </c>
      <c r="B147" s="5" t="str">
        <f>'ESPN Data'!$L$14</f>
        <v>Team 11</v>
      </c>
      <c r="C147" s="350" t="str">
        <f>VLOOKUP(B147,'ESPN Data'!$L$4:$M$19,2,FALSE)</f>
        <v>Wardo</v>
      </c>
      <c r="D147" s="400">
        <v>6</v>
      </c>
      <c r="E147" s="267" t="str">
        <f t="array" ref="E147">INDEX('ESPN Data'!$C$3:$C$226,MATCH(1,('ESPN Data'!$A$3:$A$226='Point Data'!$D147)*('ESPN Data'!$B$3:$B$226='Point Data'!$B147),0))</f>
        <v>Team 9</v>
      </c>
      <c r="F147" s="250" t="str">
        <f>IF(C147&lt;&gt;VLOOKUP($E147,'ESPN Data'!$L$4:$M$19,2,FALSE),"Non Conf", "Conf")</f>
        <v>Conf</v>
      </c>
      <c r="G147" s="246">
        <f t="array" aca="1" ref="G147" ca="1">IF('Point Data'!$D147&gt;Standings!$Q$27,"",(COUNTIFS($D$2:$D$225,$D147,$AM$2:$AM$225,"&gt;"&amp;$AM147)+1))</f>
        <v>4</v>
      </c>
      <c r="H147" s="172">
        <f ca="1">IF('Point Data'!$D147&gt;Standings!$Q$27,"",$G146)</f>
        <v>8</v>
      </c>
      <c r="I147" s="249">
        <f ca="1">IF('Point Data'!D147&gt;Standings!$Q$27,"",H147-G147)</f>
        <v>4</v>
      </c>
      <c r="J147" s="172">
        <f ca="1">IF('Point Data'!D147&gt;Standings!$Q$27,"",OFFSET('ESPN Data'!D$3,$A147,0,1,1))</f>
        <v>113.54</v>
      </c>
      <c r="K147" s="248">
        <f ca="1">IF('Point Data'!D147&gt;Standings!$Q$27,"",OFFSET('ESPN Data'!E$3,$A147,0,1,1))</f>
        <v>98.25</v>
      </c>
      <c r="L147" s="249">
        <f ca="1">IF('Point Data'!D147&gt;Standings!$Q$27,"",OFFSET('ESPN Data'!I$3,$A147,0,1,1))</f>
        <v>24</v>
      </c>
      <c r="M147" s="249">
        <f ca="1">IF('Point Data'!D147&gt;Standings!$Q$27,"",OFFSET('ESPN Data'!I$3,$A147,-2,1,1))</f>
        <v>35</v>
      </c>
      <c r="N147" s="249">
        <f ca="1">IF('Point Data'!D147&gt;Standings!$Q$27,"",SUMIFS($M$2:$M$225,$D$2:$D$225,D147,$C$2:$C$225,C147))</f>
        <v>67</v>
      </c>
      <c r="O147" s="249">
        <f ca="1">IF('Point Data'!D147&gt;Standings!$Q$27,"",SUMIFS($L$2:$L$225,$D$2:$D$225,$D147,$C$2:$C$225,$C147))</f>
        <v>470</v>
      </c>
      <c r="P147" s="249">
        <f ca="1">IF('Point Data'!D147&gt;Standings!$Q$27,"",SUMIFS($M$2:$M$225,$D$2:$D$225,D147))</f>
        <v>183</v>
      </c>
      <c r="Q147" s="249">
        <f ca="1">IF('Point Data'!D147&gt;Standings!$Q$27,"",SUMIFS($L$2:$L$225,$D$2:$D$225,D147))</f>
        <v>856</v>
      </c>
      <c r="R147" s="249">
        <f ca="1">IF($D147&gt;Standings!$Q$27,"",IF(U147="T",(Z147+0.5)/(D147)*100,(Z147/D147)*100))</f>
        <v>66.666666666666657</v>
      </c>
      <c r="S147" s="248">
        <f ca="1">IF($D147&gt;Standings!$Q$27,"",$J147-$K147)</f>
        <v>15.290000000000006</v>
      </c>
      <c r="T147" s="248">
        <f ca="1">IF($D147&gt;Standings!$Q$27,"",AVERAGE(OFFSET(S147,(-$D147+1),0,1,1):S147))</f>
        <v>5.6216666666666653</v>
      </c>
      <c r="U147" s="172">
        <f ca="1">IF($D147&gt;Standings!$Q$27,"",IF(J147&gt;K147,1,IF(J147=K147,"T",0)))</f>
        <v>1</v>
      </c>
      <c r="V147" s="172">
        <f ca="1">IF($D147&gt;Standings!$Q$27,"",IF(F147="Conf",V146,SUMIFS($U$2:$U$225,$D$2:$D$225,"&lt;="&amp;$D147,$B$2:$B$225,$B147,$F$2:$F$225,"Non Conf")))</f>
        <v>3</v>
      </c>
      <c r="W147" s="172" t="str">
        <f ca="1">IF($D147&gt;Standings!$Q$27,"",$V147&amp;"-"&amp;COUNTIF(OFFSET($F147,(-$D147+1),0,1,1):$F147,"Non Conf")-$V147)</f>
        <v>3-1</v>
      </c>
      <c r="X147" s="172">
        <f ca="1">IF($D147&gt;Standings!$Q$27,"",SUMIFS($U$2:$U$225,$D$2:$D$225,"&lt;="&amp;$D147,$B$2:$B$225,$B147,$F$2:$F$225,"Conf"))</f>
        <v>1</v>
      </c>
      <c r="Y147" s="172" t="str">
        <f ca="1">IF($D147&gt;Standings!$Q$27,"",$X147&amp;"-"&amp;COUNTIF(OFFSET($F147,(-$D147+1),0,1,1):$F147,"Conf")-$X147)</f>
        <v>1-1</v>
      </c>
      <c r="Z147" s="172">
        <f ca="1">IF($D147&gt;Standings!$Q$27,"",SUM(OFFSET(U147,(-$D147+1),0,1,1):U147))</f>
        <v>4</v>
      </c>
      <c r="AA147" s="172">
        <f ca="1">IF($D147&gt;Standings!$Q$27,"",IF(U147=1,1+AA146,0))</f>
        <v>1</v>
      </c>
      <c r="AB147" s="267">
        <f ca="1">IF($D147&gt;Standings!$Q$27,"",IF(AA147=0,1+AB146,0))</f>
        <v>0</v>
      </c>
      <c r="AC147" s="251">
        <f ca="1">IF($D147&gt;Standings!$Q$27,"",SUM(OFFSET(J147,(-$D147+1),0,1,1):J147))</f>
        <v>637.14</v>
      </c>
      <c r="AD147" s="248">
        <f ca="1">IF($D147&gt;Standings!$Q$27,"",SUM(OFFSET(K147,(-$D147+1),0,1,1):K147))</f>
        <v>603.41</v>
      </c>
      <c r="AE147" s="248">
        <f ca="1">IF($D147&gt;Standings!$Q$27,"",$J147-$K147)</f>
        <v>15.290000000000006</v>
      </c>
      <c r="AF147" s="248">
        <f ca="1">IF($D147&gt;Standings!$Q$27,"",AC147-AD147)</f>
        <v>33.730000000000018</v>
      </c>
      <c r="AG147" s="252">
        <f ca="1">IF($D147&gt;Standings!$Q$27,"",(COUNTIFS($D$2:$D$225,$D147,$C$2:$C$225,$C147,$AC$2:$AC$225,"&lt;"&amp;$AC147)+1)*0.01)</f>
        <v>0.04</v>
      </c>
      <c r="AH147" s="252">
        <f ca="1">IF($D147&gt;Standings!$Q$27,"",Z147+AG147)</f>
        <v>4.04</v>
      </c>
      <c r="AI147" s="252"/>
      <c r="AJ147" s="172">
        <f t="array" aca="1" ref="AJ147" ca="1">IF($D147&gt;Standings!$Q$27,"",(COUNTIFS($D$2:$D$225,$D147,$C$2:$C$225,$C147,$AM$2:$AM$225,"&gt;"&amp;$AM147)+1))</f>
        <v>2</v>
      </c>
      <c r="AK147" s="172">
        <f t="array" aca="1" ref="AK147" ca="1">IF($D147&gt;Standings!$Q$27,"",IF((COUNTIFS($D$2:$D$225,$D147,$C$2:$C$225,$C147,$AH$2:$AH$225,"&gt;"&amp;$AH147)+1)=2,1,0))</f>
        <v>1</v>
      </c>
      <c r="AL147" s="172">
        <f t="array" aca="1" ref="AL147" ca="1">IF($D147&gt;Standings!$Q$27,"",IF((COUNTIFS($D$2:$D$225,$D147,$C$2:$C$225,$C147,$AH$2:$AH$225,"&gt;"&amp;$AH147)+1)&lt;2,1,0))</f>
        <v>0</v>
      </c>
      <c r="AM147" s="172">
        <f ca="1">IF($D147&gt;Standings!$Q$27,"",IF(AL147=1,200+Z147+(16-AQ147)*0.01+AI147,IF(AK147=1,100+Z147+(16-AQ147)*0.01+AI147,IF(AN147=1,50+Z147+(16-AQ147)*0.01,IF(AO147=1,15+Z147+(16-AQ147)*0.01,Z147+(16-AQ147)*0.01+AI147)))))</f>
        <v>104.07</v>
      </c>
      <c r="AN147" s="172" t="str">
        <f ca="1">IF($D147&gt;Standings!$Q$27,"",IF(OR($AK147=1,$AL147=1),"Conf Playoff Spot",COUNTIFS($AL$2:$AL$225,0,$AK$2:$AK$225,0,$C$2:$C$225,$C147,$D$2:$D$225,$D147,$AC$2:$AC$225,"&gt;"&amp;$AC147)+1))</f>
        <v>Conf Playoff Spot</v>
      </c>
      <c r="AO147" s="172" t="str">
        <f t="array" aca="1" ref="AO147" ca="1">IF($D147&gt;Standings!$Q$27,"",IF(OR($AK147=1,$AL147=1),"Conf Playoff Spot",COUNTIFS($AK$2:$AK$225,0,$AL$2:$AL$225,0,$D$2:$D$225,$D147,$AH$2:$AH$225,"&gt;"&amp;$AH147)+1))</f>
        <v>Conf Playoff Spot</v>
      </c>
      <c r="AP147" s="172">
        <f t="array" aca="1" ref="AP147" ca="1">IF($D147&gt;Standings!$Q$27,"",(COUNTIFS($D$2:$D$225,$D147,$J$2:$J$225,"&gt;"&amp;$J147)+1))</f>
        <v>3</v>
      </c>
      <c r="AQ147" s="172">
        <f ca="1">IF($D147&gt;Standings!$Q$27,"",(COUNTIFS($D$2:$D$225,$D147,$AC$2:$AC$225,"&gt;"&amp;$AC147)+1))</f>
        <v>9</v>
      </c>
      <c r="AR147" s="172">
        <f ca="1">IF($D147&gt;Standings!$Q$27,"",(COUNTIFS($D$2:$D$225,$D147,$K$2:$K$225,"&gt;"&amp;$K147)+1))</f>
        <v>8</v>
      </c>
      <c r="AS147" s="172">
        <f ca="1">IF($D147&gt;Standings!$Q$27,"",(COUNTIFS($D$2:$D$225,$D147,$AD$2:$AD$225,"&gt;"&amp;$AD147)+1))</f>
        <v>13</v>
      </c>
      <c r="AT147" s="354">
        <f ca="1">IF($D147&gt;Standings!$Q$27,"",SUMIFS($J$2:$J$225,$D$2:$D$225,$D147,$C$2:$C$225,$C147))</f>
        <v>768.68000000000006</v>
      </c>
      <c r="AU147" s="253">
        <f ca="1">IF($D147&gt;Standings!$Q$27,"",SUMIFS($AC$2:$AC$225,$D$2:$D$225,$D147,$C$2:$C$225,$C147))</f>
        <v>5093.3900000000003</v>
      </c>
    </row>
    <row r="148" spans="1:47">
      <c r="A148" s="190">
        <f t="shared" si="2"/>
        <v>106</v>
      </c>
      <c r="B148" s="5" t="str">
        <f>'ESPN Data'!$L$14</f>
        <v>Team 11</v>
      </c>
      <c r="C148" s="350" t="str">
        <f>VLOOKUP(B148,'ESPN Data'!$L$4:$M$19,2,FALSE)</f>
        <v>Wardo</v>
      </c>
      <c r="D148" s="400">
        <v>7</v>
      </c>
      <c r="E148" s="267" t="str">
        <f t="array" ref="E148">INDEX('ESPN Data'!$C$3:$C$226,MATCH(1,('ESPN Data'!$A$3:$A$226='Point Data'!$D148)*('ESPN Data'!$B$3:$B$226='Point Data'!$B148),0))</f>
        <v>Team 15</v>
      </c>
      <c r="F148" s="250" t="str">
        <f>IF(C148&lt;&gt;VLOOKUP($E148,'ESPN Data'!$L$4:$M$19,2,FALSE),"Non Conf", "Conf")</f>
        <v>Conf</v>
      </c>
      <c r="G148" s="246">
        <f t="array" aca="1" ref="G148" ca="1">IF('Point Data'!$D148&gt;Standings!$Q$27,"",(COUNTIFS($D$2:$D$225,$D148,$AM$2:$AM$225,"&gt;"&amp;$AM148)+1))</f>
        <v>2</v>
      </c>
      <c r="H148" s="172">
        <f ca="1">IF('Point Data'!$D148&gt;Standings!$Q$27,"",$G147)</f>
        <v>4</v>
      </c>
      <c r="I148" s="249">
        <f ca="1">IF('Point Data'!D148&gt;Standings!$Q$27,"",H148-G148)</f>
        <v>2</v>
      </c>
      <c r="J148" s="172">
        <f ca="1">IF('Point Data'!D148&gt;Standings!$Q$27,"",OFFSET('ESPN Data'!D$3,$A148,0,1,1))</f>
        <v>96.92</v>
      </c>
      <c r="K148" s="248">
        <f ca="1">IF('Point Data'!D148&gt;Standings!$Q$27,"",OFFSET('ESPN Data'!E$3,$A148,0,1,1))</f>
        <v>93.71</v>
      </c>
      <c r="L148" s="249">
        <f ca="1">IF('Point Data'!D148&gt;Standings!$Q$27,"",OFFSET('ESPN Data'!I$3,$A148,0,1,1))</f>
        <v>16</v>
      </c>
      <c r="M148" s="249">
        <f ca="1">IF('Point Data'!D148&gt;Standings!$Q$27,"",OFFSET('ESPN Data'!I$3,$A148,-2,1,1))</f>
        <v>8</v>
      </c>
      <c r="N148" s="249">
        <f ca="1">IF('Point Data'!D148&gt;Standings!$Q$27,"",SUMIFS($M$2:$M$225,$D$2:$D$225,D148,$C$2:$C$225,C148))</f>
        <v>140</v>
      </c>
      <c r="O148" s="249">
        <f ca="1">IF('Point Data'!D148&gt;Standings!$Q$27,"",SUMIFS($L$2:$L$225,$D$2:$D$225,$D148,$C$2:$C$225,$C148))</f>
        <v>330</v>
      </c>
      <c r="P148" s="249">
        <f ca="1">IF('Point Data'!D148&gt;Standings!$Q$27,"",SUMIFS($M$2:$M$225,$D$2:$D$225,D148))</f>
        <v>168</v>
      </c>
      <c r="Q148" s="249">
        <f ca="1">IF('Point Data'!D148&gt;Standings!$Q$27,"",SUMIFS($L$2:$L$225,$D$2:$D$225,D148))</f>
        <v>688</v>
      </c>
      <c r="R148" s="249">
        <f ca="1">IF($D148&gt;Standings!$Q$27,"",IF(U148="T",(Z148+0.5)/(D148)*100,(Z148/D148)*100))</f>
        <v>71.428571428571431</v>
      </c>
      <c r="S148" s="248">
        <f ca="1">IF($D148&gt;Standings!$Q$27,"",$J148-$K148)</f>
        <v>3.210000000000008</v>
      </c>
      <c r="T148" s="248">
        <f ca="1">IF($D148&gt;Standings!$Q$27,"",AVERAGE(OFFSET(S148,(-$D148+1),0,1,1):S148))</f>
        <v>5.2771428571428567</v>
      </c>
      <c r="U148" s="172">
        <f ca="1">IF($D148&gt;Standings!$Q$27,"",IF(J148&gt;K148,1,IF(J148=K148,"T",0)))</f>
        <v>1</v>
      </c>
      <c r="V148" s="172">
        <f ca="1">IF($D148&gt;Standings!$Q$27,"",IF(F148="Conf",V147,SUMIFS($U$2:$U$225,$D$2:$D$225,"&lt;="&amp;$D148,$B$2:$B$225,$B148,$F$2:$F$225,"Non Conf")))</f>
        <v>3</v>
      </c>
      <c r="W148" s="172" t="str">
        <f ca="1">IF($D148&gt;Standings!$Q$27,"",$V148&amp;"-"&amp;COUNTIF(OFFSET($F148,(-$D148+1),0,1,1):$F148,"Non Conf")-$V148)</f>
        <v>3-1</v>
      </c>
      <c r="X148" s="172">
        <f ca="1">IF($D148&gt;Standings!$Q$27,"",SUMIFS($U$2:$U$225,$D$2:$D$225,"&lt;="&amp;$D148,$B$2:$B$225,$B148,$F$2:$F$225,"Conf"))</f>
        <v>2</v>
      </c>
      <c r="Y148" s="172" t="str">
        <f ca="1">IF($D148&gt;Standings!$Q$27,"",$X148&amp;"-"&amp;COUNTIF(OFFSET($F148,(-$D148+1),0,1,1):$F148,"Conf")-$X148)</f>
        <v>2-1</v>
      </c>
      <c r="Z148" s="172">
        <f ca="1">IF($D148&gt;Standings!$Q$27,"",SUM(OFFSET(U148,(-$D148+1),0,1,1):U148))</f>
        <v>5</v>
      </c>
      <c r="AA148" s="172">
        <f ca="1">IF($D148&gt;Standings!$Q$27,"",IF(U148=1,1+AA147,0))</f>
        <v>2</v>
      </c>
      <c r="AB148" s="267">
        <f ca="1">IF($D148&gt;Standings!$Q$27,"",IF(AA148=0,1+AB147,0))</f>
        <v>0</v>
      </c>
      <c r="AC148" s="251">
        <f ca="1">IF($D148&gt;Standings!$Q$27,"",SUM(OFFSET(J148,(-$D148+1),0,1,1):J148))</f>
        <v>734.06</v>
      </c>
      <c r="AD148" s="248">
        <f ca="1">IF($D148&gt;Standings!$Q$27,"",SUM(OFFSET(K148,(-$D148+1),0,1,1):K148))</f>
        <v>697.12</v>
      </c>
      <c r="AE148" s="248">
        <f ca="1">IF($D148&gt;Standings!$Q$27,"",$J148-$K148)</f>
        <v>3.210000000000008</v>
      </c>
      <c r="AF148" s="248">
        <f ca="1">IF($D148&gt;Standings!$Q$27,"",AC148-AD148)</f>
        <v>36.939999999999941</v>
      </c>
      <c r="AG148" s="252">
        <f ca="1">IF($D148&gt;Standings!$Q$27,"",(COUNTIFS($D$2:$D$225,$D148,$C$2:$C$225,$C148,$AC$2:$AC$225,"&lt;"&amp;$AC148)+1)*0.01)</f>
        <v>0.06</v>
      </c>
      <c r="AH148" s="252">
        <f ca="1">IF($D148&gt;Standings!$Q$27,"",Z148+AG148)</f>
        <v>5.0599999999999996</v>
      </c>
      <c r="AI148" s="252"/>
      <c r="AJ148" s="172">
        <f t="array" aca="1" ref="AJ148" ca="1">IF($D148&gt;Standings!$Q$27,"",(COUNTIFS($D$2:$D$225,$D148,$C$2:$C$225,$C148,$AM$2:$AM$225,"&gt;"&amp;$AM148)+1))</f>
        <v>1</v>
      </c>
      <c r="AK148" s="172">
        <f t="array" aca="1" ref="AK148" ca="1">IF($D148&gt;Standings!$Q$27,"",IF((COUNTIFS($D$2:$D$225,$D148,$C$2:$C$225,$C148,$AH$2:$AH$225,"&gt;"&amp;$AH148)+1)=2,1,0))</f>
        <v>0</v>
      </c>
      <c r="AL148" s="172">
        <f t="array" aca="1" ref="AL148" ca="1">IF($D148&gt;Standings!$Q$27,"",IF((COUNTIFS($D$2:$D$225,$D148,$C$2:$C$225,$C148,$AH$2:$AH$225,"&gt;"&amp;$AH148)+1)&lt;2,1,0))</f>
        <v>1</v>
      </c>
      <c r="AM148" s="172">
        <f ca="1">IF($D148&gt;Standings!$Q$27,"",IF(AL148=1,200+Z148+(16-AQ148)*0.01+AI148,IF(AK148=1,100+Z148+(16-AQ148)*0.01+AI148,IF(AN148=1,50+Z148+(16-AQ148)*0.01,IF(AO148=1,15+Z148+(16-AQ148)*0.01,Z148+(16-AQ148)*0.01+AI148)))))</f>
        <v>205.08</v>
      </c>
      <c r="AN148" s="172" t="str">
        <f ca="1">IF($D148&gt;Standings!$Q$27,"",IF(OR($AK148=1,$AL148=1),"Conf Playoff Spot",COUNTIFS($AL$2:$AL$225,0,$AK$2:$AK$225,0,$C$2:$C$225,$C148,$D$2:$D$225,$D148,$AC$2:$AC$225,"&gt;"&amp;$AC148)+1))</f>
        <v>Conf Playoff Spot</v>
      </c>
      <c r="AO148" s="172" t="str">
        <f t="array" aca="1" ref="AO148" ca="1">IF($D148&gt;Standings!$Q$27,"",IF(OR($AK148=1,$AL148=1),"Conf Playoff Spot",COUNTIFS($AK$2:$AK$225,0,$AL$2:$AL$225,0,$D$2:$D$225,$D148,$AH$2:$AH$225,"&gt;"&amp;$AH148)+1))</f>
        <v>Conf Playoff Spot</v>
      </c>
      <c r="AP148" s="172">
        <f t="array" aca="1" ref="AP148" ca="1">IF($D148&gt;Standings!$Q$27,"",(COUNTIFS($D$2:$D$225,$D148,$J$2:$J$225,"&gt;"&amp;$J148)+1))</f>
        <v>8</v>
      </c>
      <c r="AQ148" s="172">
        <f ca="1">IF($D148&gt;Standings!$Q$27,"",(COUNTIFS($D$2:$D$225,$D148,$AC$2:$AC$225,"&gt;"&amp;$AC148)+1))</f>
        <v>8</v>
      </c>
      <c r="AR148" s="172">
        <f ca="1">IF($D148&gt;Standings!$Q$27,"",(COUNTIFS($D$2:$D$225,$D148,$K$2:$K$225,"&gt;"&amp;$K148)+1))</f>
        <v>11</v>
      </c>
      <c r="AS148" s="172">
        <f ca="1">IF($D148&gt;Standings!$Q$27,"",(COUNTIFS($D$2:$D$225,$D148,$AD$2:$AD$225,"&gt;"&amp;$AD148)+1))</f>
        <v>14</v>
      </c>
      <c r="AT148" s="354">
        <f ca="1">IF($D148&gt;Standings!$Q$27,"",SUMIFS($J$2:$J$225,$D$2:$D$225,$D148,$C$2:$C$225,$C148))</f>
        <v>714.95</v>
      </c>
      <c r="AU148" s="253">
        <f ca="1">IF($D148&gt;Standings!$Q$27,"",SUMIFS($AC$2:$AC$225,$D$2:$D$225,$D148,$C$2:$C$225,$C148))</f>
        <v>5808.34</v>
      </c>
    </row>
    <row r="149" spans="1:47">
      <c r="A149" s="190">
        <f t="shared" si="2"/>
        <v>122</v>
      </c>
      <c r="B149" s="5" t="str">
        <f>'ESPN Data'!$L$14</f>
        <v>Team 11</v>
      </c>
      <c r="C149" s="350" t="str">
        <f>VLOOKUP(B149,'ESPN Data'!$L$4:$M$19,2,FALSE)</f>
        <v>Wardo</v>
      </c>
      <c r="D149" s="400">
        <v>8</v>
      </c>
      <c r="E149" s="267" t="str">
        <f t="array" ref="E149">INDEX('ESPN Data'!$C$3:$C$226,MATCH(1,('ESPN Data'!$A$3:$A$226='Point Data'!$D149)*('ESPN Data'!$B$3:$B$226='Point Data'!$B149),0))</f>
        <v>Team 10</v>
      </c>
      <c r="F149" s="250" t="str">
        <f>IF(C149&lt;&gt;VLOOKUP($E149,'ESPN Data'!$L$4:$M$19,2,FALSE),"Non Conf", "Conf")</f>
        <v>Conf</v>
      </c>
      <c r="G149" s="246">
        <f t="array" aca="1" ref="G149" ca="1">IF('Point Data'!$D149&gt;Standings!$Q$27,"",(COUNTIFS($D$2:$D$225,$D149,$AM$2:$AM$225,"&gt;"&amp;$AM149)+1))</f>
        <v>2</v>
      </c>
      <c r="H149" s="172">
        <f ca="1">IF('Point Data'!$D149&gt;Standings!$Q$27,"",$G148)</f>
        <v>2</v>
      </c>
      <c r="I149" s="249">
        <f ca="1">IF('Point Data'!D149&gt;Standings!$Q$27,"",H149-G149)</f>
        <v>0</v>
      </c>
      <c r="J149" s="172">
        <f ca="1">IF('Point Data'!D149&gt;Standings!$Q$27,"",OFFSET('ESPN Data'!D$3,$A149,0,1,1))</f>
        <v>70.75</v>
      </c>
      <c r="K149" s="248">
        <f ca="1">IF('Point Data'!D149&gt;Standings!$Q$27,"",OFFSET('ESPN Data'!E$3,$A149,0,1,1))</f>
        <v>81.650000000000006</v>
      </c>
      <c r="L149" s="249">
        <f ca="1">IF('Point Data'!D149&gt;Standings!$Q$27,"",OFFSET('ESPN Data'!I$3,$A149,0,1,1))</f>
        <v>9</v>
      </c>
      <c r="M149" s="249">
        <f ca="1">IF('Point Data'!D149&gt;Standings!$Q$27,"",OFFSET('ESPN Data'!I$3,$A149,-2,1,1))</f>
        <v>7</v>
      </c>
      <c r="N149" s="249">
        <f ca="1">IF('Point Data'!D149&gt;Standings!$Q$27,"",SUMIFS($M$2:$M$225,$D$2:$D$225,D149,$C$2:$C$225,C149))</f>
        <v>62</v>
      </c>
      <c r="O149" s="249">
        <f ca="1">IF('Point Data'!D149&gt;Standings!$Q$27,"",SUMIFS($L$2:$L$225,$D$2:$D$225,$D149,$C$2:$C$225,$C149))</f>
        <v>268</v>
      </c>
      <c r="P149" s="249">
        <f ca="1">IF('Point Data'!D149&gt;Standings!$Q$27,"",SUMIFS($M$2:$M$225,$D$2:$D$225,D149))</f>
        <v>80</v>
      </c>
      <c r="Q149" s="249">
        <f ca="1">IF('Point Data'!D149&gt;Standings!$Q$27,"",SUMIFS($L$2:$L$225,$D$2:$D$225,D149))</f>
        <v>608</v>
      </c>
      <c r="R149" s="249">
        <f ca="1">IF($D149&gt;Standings!$Q$27,"",IF(U149="T",(Z149+0.5)/(D149)*100,(Z149/D149)*100))</f>
        <v>62.5</v>
      </c>
      <c r="S149" s="248">
        <f ca="1">IF($D149&gt;Standings!$Q$27,"",$J149-$K149)</f>
        <v>-10.900000000000006</v>
      </c>
      <c r="T149" s="248">
        <f ca="1">IF($D149&gt;Standings!$Q$27,"",AVERAGE(OFFSET(S149,(-$D149+1),0,1,1):S149))</f>
        <v>3.254999999999999</v>
      </c>
      <c r="U149" s="172">
        <f ca="1">IF($D149&gt;Standings!$Q$27,"",IF(J149&gt;K149,1,IF(J149=K149,"T",0)))</f>
        <v>0</v>
      </c>
      <c r="V149" s="172">
        <f ca="1">IF($D149&gt;Standings!$Q$27,"",IF(F149="Conf",V148,SUMIFS($U$2:$U$225,$D$2:$D$225,"&lt;="&amp;$D149,$B$2:$B$225,$B149,$F$2:$F$225,"Non Conf")))</f>
        <v>3</v>
      </c>
      <c r="W149" s="172" t="str">
        <f ca="1">IF($D149&gt;Standings!$Q$27,"",$V149&amp;"-"&amp;COUNTIF(OFFSET($F149,(-$D149+1),0,1,1):$F149,"Non Conf")-$V149)</f>
        <v>3-1</v>
      </c>
      <c r="X149" s="172">
        <f ca="1">IF($D149&gt;Standings!$Q$27,"",SUMIFS($U$2:$U$225,$D$2:$D$225,"&lt;="&amp;$D149,$B$2:$B$225,$B149,$F$2:$F$225,"Conf"))</f>
        <v>2</v>
      </c>
      <c r="Y149" s="172" t="str">
        <f ca="1">IF($D149&gt;Standings!$Q$27,"",$X149&amp;"-"&amp;COUNTIF(OFFSET($F149,(-$D149+1),0,1,1):$F149,"Conf")-$X149)</f>
        <v>2-2</v>
      </c>
      <c r="Z149" s="172">
        <f ca="1">IF($D149&gt;Standings!$Q$27,"",SUM(OFFSET(U149,(-$D149+1),0,1,1):U149))</f>
        <v>5</v>
      </c>
      <c r="AA149" s="172">
        <f ca="1">IF($D149&gt;Standings!$Q$27,"",IF(U149=1,1+AA148,0))</f>
        <v>0</v>
      </c>
      <c r="AB149" s="267">
        <f ca="1">IF($D149&gt;Standings!$Q$27,"",IF(AA149=0,1+AB148,0))</f>
        <v>1</v>
      </c>
      <c r="AC149" s="251">
        <f ca="1">IF($D149&gt;Standings!$Q$27,"",SUM(OFFSET(J149,(-$D149+1),0,1,1):J149))</f>
        <v>804.81</v>
      </c>
      <c r="AD149" s="248">
        <f ca="1">IF($D149&gt;Standings!$Q$27,"",SUM(OFFSET(K149,(-$D149+1),0,1,1):K149))</f>
        <v>778.77</v>
      </c>
      <c r="AE149" s="248">
        <f ca="1">IF($D149&gt;Standings!$Q$27,"",$J149-$K149)</f>
        <v>-10.900000000000006</v>
      </c>
      <c r="AF149" s="248">
        <f ca="1">IF($D149&gt;Standings!$Q$27,"",AC149-AD149)</f>
        <v>26.039999999999964</v>
      </c>
      <c r="AG149" s="252">
        <f ca="1">IF($D149&gt;Standings!$Q$27,"",(COUNTIFS($D$2:$D$225,$D149,$C$2:$C$225,$C149,$AC$2:$AC$225,"&lt;"&amp;$AC149)+1)*0.01)</f>
        <v>0.04</v>
      </c>
      <c r="AH149" s="252">
        <f ca="1">IF($D149&gt;Standings!$Q$27,"",Z149+AG149)</f>
        <v>5.04</v>
      </c>
      <c r="AI149" s="252"/>
      <c r="AJ149" s="172">
        <f t="array" aca="1" ref="AJ149" ca="1">IF($D149&gt;Standings!$Q$27,"",(COUNTIFS($D$2:$D$225,$D149,$C$2:$C$225,$C149,$AM$2:$AM$225,"&gt;"&amp;$AM149)+1))</f>
        <v>1</v>
      </c>
      <c r="AK149" s="172">
        <f t="array" aca="1" ref="AK149" ca="1">IF($D149&gt;Standings!$Q$27,"",IF((COUNTIFS($D$2:$D$225,$D149,$C$2:$C$225,$C149,$AH$2:$AH$225,"&gt;"&amp;$AH149)+1)=2,1,0))</f>
        <v>0</v>
      </c>
      <c r="AL149" s="172">
        <f t="array" aca="1" ref="AL149" ca="1">IF($D149&gt;Standings!$Q$27,"",IF((COUNTIFS($D$2:$D$225,$D149,$C$2:$C$225,$C149,$AH$2:$AH$225,"&gt;"&amp;$AH149)+1)&lt;2,1,0))</f>
        <v>1</v>
      </c>
      <c r="AM149" s="172">
        <f ca="1">IF($D149&gt;Standings!$Q$27,"",IF(AL149=1,200+Z149+(16-AQ149)*0.01+AI149,IF(AK149=1,100+Z149+(16-AQ149)*0.01+AI149,IF(AN149=1,50+Z149+(16-AQ149)*0.01,IF(AO149=1,15+Z149+(16-AQ149)*0.01,Z149+(16-AQ149)*0.01+AI149)))))</f>
        <v>205.05</v>
      </c>
      <c r="AN149" s="172" t="str">
        <f ca="1">IF($D149&gt;Standings!$Q$27,"",IF(OR($AK149=1,$AL149=1),"Conf Playoff Spot",COUNTIFS($AL$2:$AL$225,0,$AK$2:$AK$225,0,$C$2:$C$225,$C149,$D$2:$D$225,$D149,$AC$2:$AC$225,"&gt;"&amp;$AC149)+1))</f>
        <v>Conf Playoff Spot</v>
      </c>
      <c r="AO149" s="172" t="str">
        <f t="array" aca="1" ref="AO149" ca="1">IF($D149&gt;Standings!$Q$27,"",IF(OR($AK149=1,$AL149=1),"Conf Playoff Spot",COUNTIFS($AK$2:$AK$225,0,$AL$2:$AL$225,0,$D$2:$D$225,$D149,$AH$2:$AH$225,"&gt;"&amp;$AH149)+1))</f>
        <v>Conf Playoff Spot</v>
      </c>
      <c r="AP149" s="172">
        <f t="array" aca="1" ref="AP149" ca="1">IF($D149&gt;Standings!$Q$27,"",(COUNTIFS($D$2:$D$225,$D149,$J$2:$J$225,"&gt;"&amp;$J149)+1))</f>
        <v>14</v>
      </c>
      <c r="AQ149" s="172">
        <f ca="1">IF($D149&gt;Standings!$Q$27,"",(COUNTIFS($D$2:$D$225,$D149,$AC$2:$AC$225,"&gt;"&amp;$AC149)+1))</f>
        <v>11</v>
      </c>
      <c r="AR149" s="172">
        <f ca="1">IF($D149&gt;Standings!$Q$27,"",(COUNTIFS($D$2:$D$225,$D149,$K$2:$K$225,"&gt;"&amp;$K149)+1))</f>
        <v>11</v>
      </c>
      <c r="AS149" s="172">
        <f ca="1">IF($D149&gt;Standings!$Q$27,"",(COUNTIFS($D$2:$D$225,$D149,$AD$2:$AD$225,"&gt;"&amp;$AD149)+1))</f>
        <v>14</v>
      </c>
      <c r="AT149" s="354">
        <f ca="1">IF($D149&gt;Standings!$Q$27,"",SUMIFS($J$2:$J$225,$D$2:$D$225,$D149,$C$2:$C$225,$C149))</f>
        <v>755.84</v>
      </c>
      <c r="AU149" s="253">
        <f ca="1">IF($D149&gt;Standings!$Q$27,"",SUMIFS($AC$2:$AC$225,$D$2:$D$225,$D149,$C$2:$C$225,$C149))</f>
        <v>6564.1799999999994</v>
      </c>
    </row>
    <row r="150" spans="1:47">
      <c r="A150" s="190">
        <f t="shared" si="2"/>
        <v>138</v>
      </c>
      <c r="B150" s="5" t="str">
        <f>'ESPN Data'!$L$14</f>
        <v>Team 11</v>
      </c>
      <c r="C150" s="350" t="str">
        <f>VLOOKUP(B150,'ESPN Data'!$L$4:$M$19,2,FALSE)</f>
        <v>Wardo</v>
      </c>
      <c r="D150" s="400">
        <v>9</v>
      </c>
      <c r="E150" s="267" t="str">
        <f t="array" ref="E150">INDEX('ESPN Data'!$C$3:$C$226,MATCH(1,('ESPN Data'!$A$3:$A$226='Point Data'!$D150)*('ESPN Data'!$B$3:$B$226='Point Data'!$B150),0))</f>
        <v>Team 4</v>
      </c>
      <c r="F150" s="250" t="str">
        <f>IF(C150&lt;&gt;VLOOKUP($E150,'ESPN Data'!$L$4:$M$19,2,FALSE),"Non Conf", "Conf")</f>
        <v>Non Conf</v>
      </c>
      <c r="G150" s="246">
        <f t="array" aca="1" ref="G150" ca="1">IF('Point Data'!$D150&gt;Standings!$Q$27,"",(COUNTIFS($D$2:$D$225,$D150,$AM$2:$AM$225,"&gt;"&amp;$AM150)+1))</f>
        <v>2</v>
      </c>
      <c r="H150" s="172">
        <f ca="1">IF('Point Data'!$D150&gt;Standings!$Q$27,"",$G149)</f>
        <v>2</v>
      </c>
      <c r="I150" s="249">
        <f ca="1">IF('Point Data'!D150&gt;Standings!$Q$27,"",H150-G150)</f>
        <v>0</v>
      </c>
      <c r="J150" s="172">
        <f ca="1">IF('Point Data'!D150&gt;Standings!$Q$27,"",OFFSET('ESPN Data'!D$3,$A150,0,1,1))</f>
        <v>95.29</v>
      </c>
      <c r="K150" s="248">
        <f ca="1">IF('Point Data'!D150&gt;Standings!$Q$27,"",OFFSET('ESPN Data'!E$3,$A150,0,1,1))</f>
        <v>56.32</v>
      </c>
      <c r="L150" s="249">
        <f ca="1">IF('Point Data'!D150&gt;Standings!$Q$27,"",OFFSET('ESPN Data'!I$3,$A150,0,1,1))</f>
        <v>0</v>
      </c>
      <c r="M150" s="249">
        <f ca="1">IF('Point Data'!D150&gt;Standings!$Q$27,"",OFFSET('ESPN Data'!I$3,$A150,-2,1,1))</f>
        <v>9</v>
      </c>
      <c r="N150" s="249">
        <f ca="1">IF('Point Data'!D150&gt;Standings!$Q$27,"",SUMIFS($M$2:$M$225,$D$2:$D$225,D150,$C$2:$C$225,C150))</f>
        <v>28</v>
      </c>
      <c r="O150" s="249">
        <f ca="1">IF('Point Data'!D150&gt;Standings!$Q$27,"",SUMIFS($L$2:$L$225,$D$2:$D$225,$D150,$C$2:$C$225,$C150))</f>
        <v>240</v>
      </c>
      <c r="P150" s="249">
        <f ca="1">IF('Point Data'!D150&gt;Standings!$Q$27,"",SUMIFS($M$2:$M$225,$D$2:$D$225,D150))</f>
        <v>63</v>
      </c>
      <c r="Q150" s="249">
        <f ca="1">IF('Point Data'!D150&gt;Standings!$Q$27,"",SUMIFS($L$2:$L$225,$D$2:$D$225,D150))</f>
        <v>545</v>
      </c>
      <c r="R150" s="249">
        <f ca="1">IF($D150&gt;Standings!$Q$27,"",IF(U150="T",(Z150+0.5)/(D150)*100,(Z150/D150)*100))</f>
        <v>66.666666666666657</v>
      </c>
      <c r="S150" s="248">
        <f ca="1">IF($D150&gt;Standings!$Q$27,"",$J150-$K150)</f>
        <v>38.970000000000006</v>
      </c>
      <c r="T150" s="248">
        <f ca="1">IF($D150&gt;Standings!$Q$27,"",AVERAGE(OFFSET(S150,(-$D150+1),0,1,1):S150))</f>
        <v>7.2233333333333327</v>
      </c>
      <c r="U150" s="172">
        <f ca="1">IF($D150&gt;Standings!$Q$27,"",IF(J150&gt;K150,1,IF(J150=K150,"T",0)))</f>
        <v>1</v>
      </c>
      <c r="V150" s="172">
        <f ca="1">IF($D150&gt;Standings!$Q$27,"",IF(F150="Conf",V149,SUMIFS($U$2:$U$225,$D$2:$D$225,"&lt;="&amp;$D150,$B$2:$B$225,$B150,$F$2:$F$225,"Non Conf")))</f>
        <v>4</v>
      </c>
      <c r="W150" s="172" t="str">
        <f ca="1">IF($D150&gt;Standings!$Q$27,"",$V150&amp;"-"&amp;COUNTIF(OFFSET($F150,(-$D150+1),0,1,1):$F150,"Non Conf")-$V150)</f>
        <v>4-1</v>
      </c>
      <c r="X150" s="172">
        <f ca="1">IF($D150&gt;Standings!$Q$27,"",SUMIFS($U$2:$U$225,$D$2:$D$225,"&lt;="&amp;$D150,$B$2:$B$225,$B150,$F$2:$F$225,"Conf"))</f>
        <v>2</v>
      </c>
      <c r="Y150" s="172" t="str">
        <f ca="1">IF($D150&gt;Standings!$Q$27,"",$X150&amp;"-"&amp;COUNTIF(OFFSET($F150,(-$D150+1),0,1,1):$F150,"Conf")-$X150)</f>
        <v>2-2</v>
      </c>
      <c r="Z150" s="172">
        <f ca="1">IF($D150&gt;Standings!$Q$27,"",SUM(OFFSET(U150,(-$D150+1),0,1,1):U150))</f>
        <v>6</v>
      </c>
      <c r="AA150" s="172">
        <f ca="1">IF($D150&gt;Standings!$Q$27,"",IF(U150=1,1+AA149,0))</f>
        <v>1</v>
      </c>
      <c r="AB150" s="267">
        <f ca="1">IF($D150&gt;Standings!$Q$27,"",IF(AA150=0,1+AB149,0))</f>
        <v>0</v>
      </c>
      <c r="AC150" s="251">
        <f ca="1">IF($D150&gt;Standings!$Q$27,"",SUM(OFFSET(J150,(-$D150+1),0,1,1):J150))</f>
        <v>900.09999999999991</v>
      </c>
      <c r="AD150" s="248">
        <f ca="1">IF($D150&gt;Standings!$Q$27,"",SUM(OFFSET(K150,(-$D150+1),0,1,1):K150))</f>
        <v>835.09</v>
      </c>
      <c r="AE150" s="248">
        <f ca="1">IF($D150&gt;Standings!$Q$27,"",$J150-$K150)</f>
        <v>38.970000000000006</v>
      </c>
      <c r="AF150" s="248">
        <f ca="1">IF($D150&gt;Standings!$Q$27,"",AC150-AD150)</f>
        <v>65.009999999999877</v>
      </c>
      <c r="AG150" s="252">
        <f ca="1">IF($D150&gt;Standings!$Q$27,"",(COUNTIFS($D$2:$D$225,$D150,$C$2:$C$225,$C150,$AC$2:$AC$225,"&lt;"&amp;$AC150)+1)*0.01)</f>
        <v>0.04</v>
      </c>
      <c r="AH150" s="252">
        <f ca="1">IF($D150&gt;Standings!$Q$27,"",Z150+AG150)</f>
        <v>6.04</v>
      </c>
      <c r="AI150" s="252"/>
      <c r="AJ150" s="172">
        <f t="array" aca="1" ref="AJ150" ca="1">IF($D150&gt;Standings!$Q$27,"",(COUNTIFS($D$2:$D$225,$D150,$C$2:$C$225,$C150,$AM$2:$AM$225,"&gt;"&amp;$AM150)+1))</f>
        <v>1</v>
      </c>
      <c r="AK150" s="172">
        <f t="array" aca="1" ref="AK150" ca="1">IF($D150&gt;Standings!$Q$27,"",IF((COUNTIFS($D$2:$D$225,$D150,$C$2:$C$225,$C150,$AH$2:$AH$225,"&gt;"&amp;$AH150)+1)=2,1,0))</f>
        <v>0</v>
      </c>
      <c r="AL150" s="172">
        <f t="array" aca="1" ref="AL150" ca="1">IF($D150&gt;Standings!$Q$27,"",IF((COUNTIFS($D$2:$D$225,$D150,$C$2:$C$225,$C150,$AH$2:$AH$225,"&gt;"&amp;$AH150)+1)&lt;2,1,0))</f>
        <v>1</v>
      </c>
      <c r="AM150" s="172">
        <f ca="1">IF($D150&gt;Standings!$Q$27,"",IF(AL150=1,200+Z150+(16-AQ150)*0.01+AI150,IF(AK150=1,100+Z150+(16-AQ150)*0.01+AI150,IF(AN150=1,50+Z150+(16-AQ150)*0.01,IF(AO150=1,15+Z150+(16-AQ150)*0.01,Z150+(16-AQ150)*0.01+AI150)))))</f>
        <v>206.07</v>
      </c>
      <c r="AN150" s="172" t="str">
        <f ca="1">IF($D150&gt;Standings!$Q$27,"",IF(OR($AK150=1,$AL150=1),"Conf Playoff Spot",COUNTIFS($AL$2:$AL$225,0,$AK$2:$AK$225,0,$C$2:$C$225,$C150,$D$2:$D$225,$D150,$AC$2:$AC$225,"&gt;"&amp;$AC150)+1))</f>
        <v>Conf Playoff Spot</v>
      </c>
      <c r="AO150" s="172" t="str">
        <f t="array" aca="1" ref="AO150" ca="1">IF($D150&gt;Standings!$Q$27,"",IF(OR($AK150=1,$AL150=1),"Conf Playoff Spot",COUNTIFS($AK$2:$AK$225,0,$AL$2:$AL$225,0,$D$2:$D$225,$D150,$AH$2:$AH$225,"&gt;"&amp;$AH150)+1))</f>
        <v>Conf Playoff Spot</v>
      </c>
      <c r="AP150" s="172">
        <f t="array" aca="1" ref="AP150" ca="1">IF($D150&gt;Standings!$Q$27,"",(COUNTIFS($D$2:$D$225,$D150,$J$2:$J$225,"&gt;"&amp;$J150)+1))</f>
        <v>7</v>
      </c>
      <c r="AQ150" s="172">
        <f ca="1">IF($D150&gt;Standings!$Q$27,"",(COUNTIFS($D$2:$D$225,$D150,$AC$2:$AC$225,"&gt;"&amp;$AC150)+1))</f>
        <v>9</v>
      </c>
      <c r="AR150" s="172">
        <f ca="1">IF($D150&gt;Standings!$Q$27,"",(COUNTIFS($D$2:$D$225,$D150,$K$2:$K$225,"&gt;"&amp;$K150)+1))</f>
        <v>16</v>
      </c>
      <c r="AS150" s="172">
        <f ca="1">IF($D150&gt;Standings!$Q$27,"",(COUNTIFS($D$2:$D$225,$D150,$AD$2:$AD$225,"&gt;"&amp;$AD150)+1))</f>
        <v>15</v>
      </c>
      <c r="AT150" s="354">
        <f ca="1">IF($D150&gt;Standings!$Q$27,"",SUMIFS($J$2:$J$225,$D$2:$D$225,$D150,$C$2:$C$225,$C150))</f>
        <v>813.24</v>
      </c>
      <c r="AU150" s="253">
        <f ca="1">IF($D150&gt;Standings!$Q$27,"",SUMIFS($AC$2:$AC$225,$D$2:$D$225,$D150,$C$2:$C$225,$C150))</f>
        <v>7377.42</v>
      </c>
    </row>
    <row r="151" spans="1:47">
      <c r="A151" s="190">
        <f t="shared" si="2"/>
        <v>154</v>
      </c>
      <c r="B151" s="5" t="str">
        <f>'ESPN Data'!$L$14</f>
        <v>Team 11</v>
      </c>
      <c r="C151" s="350" t="str">
        <f>VLOOKUP(B151,'ESPN Data'!$L$4:$M$19,2,FALSE)</f>
        <v>Wardo</v>
      </c>
      <c r="D151" s="400">
        <v>10</v>
      </c>
      <c r="E151" s="267" t="str">
        <f t="array" ref="E151">INDEX('ESPN Data'!$C$3:$C$226,MATCH(1,('ESPN Data'!$A$3:$A$226='Point Data'!$D151)*('ESPN Data'!$B$3:$B$226='Point Data'!$B151),0))</f>
        <v>Team 8</v>
      </c>
      <c r="F151" s="250" t="str">
        <f>IF(C151&lt;&gt;VLOOKUP($E151,'ESPN Data'!$L$4:$M$19,2,FALSE),"Non Conf", "Conf")</f>
        <v>Non Conf</v>
      </c>
      <c r="G151" s="246">
        <f t="array" aca="1" ref="G151" ca="1">IF('Point Data'!$D151&gt;Standings!$Q$27,"",(COUNTIFS($D$2:$D$225,$D151,$AM$2:$AM$225,"&gt;"&amp;$AM151)+1))</f>
        <v>9</v>
      </c>
      <c r="H151" s="172">
        <f ca="1">IF('Point Data'!$D151&gt;Standings!$Q$27,"",$G150)</f>
        <v>2</v>
      </c>
      <c r="I151" s="249">
        <f ca="1">IF('Point Data'!D151&gt;Standings!$Q$27,"",H151-G151)</f>
        <v>-7</v>
      </c>
      <c r="J151" s="172">
        <f ca="1">IF('Point Data'!D151&gt;Standings!$Q$27,"",OFFSET('ESPN Data'!D$3,$A151,0,1,1))</f>
        <v>75.64</v>
      </c>
      <c r="K151" s="248">
        <f ca="1">IF('Point Data'!D151&gt;Standings!$Q$27,"",OFFSET('ESPN Data'!E$3,$A151,0,1,1))</f>
        <v>89.63</v>
      </c>
      <c r="L151" s="249">
        <f ca="1">IF('Point Data'!D151&gt;Standings!$Q$27,"",OFFSET('ESPN Data'!I$3,$A151,0,1,1))</f>
        <v>0</v>
      </c>
      <c r="M151" s="249">
        <f ca="1">IF('Point Data'!D151&gt;Standings!$Q$27,"",OFFSET('ESPN Data'!I$3,$A151,-2,1,1))</f>
        <v>0</v>
      </c>
      <c r="N151" s="249">
        <f ca="1">IF('Point Data'!D151&gt;Standings!$Q$27,"",SUMIFS($M$2:$M$225,$D$2:$D$225,D151,$C$2:$C$225,C151))</f>
        <v>13</v>
      </c>
      <c r="O151" s="249">
        <f ca="1">IF('Point Data'!D151&gt;Standings!$Q$27,"",SUMIFS($L$2:$L$225,$D$2:$D$225,$D151,$C$2:$C$225,$C151))</f>
        <v>227</v>
      </c>
      <c r="P151" s="249">
        <f ca="1">IF('Point Data'!D151&gt;Standings!$Q$27,"",SUMIFS($M$2:$M$225,$D$2:$D$225,D151))</f>
        <v>32</v>
      </c>
      <c r="Q151" s="249">
        <f ca="1">IF('Point Data'!D151&gt;Standings!$Q$27,"",SUMIFS($L$2:$L$225,$D$2:$D$225,D151))</f>
        <v>513</v>
      </c>
      <c r="R151" s="249">
        <f ca="1">IF($D151&gt;Standings!$Q$27,"",IF(U151="T",(Z151+0.5)/(D151)*100,(Z151/D151)*100))</f>
        <v>60</v>
      </c>
      <c r="S151" s="248">
        <f ca="1">IF($D151&gt;Standings!$Q$27,"",$J151-$K151)</f>
        <v>-13.989999999999995</v>
      </c>
      <c r="T151" s="248">
        <f ca="1">IF($D151&gt;Standings!$Q$27,"",AVERAGE(OFFSET(S151,(-$D151+1),0,1,1):S151))</f>
        <v>5.1019999999999994</v>
      </c>
      <c r="U151" s="172">
        <f ca="1">IF($D151&gt;Standings!$Q$27,"",IF(J151&gt;K151,1,IF(J151=K151,"T",0)))</f>
        <v>0</v>
      </c>
      <c r="V151" s="172">
        <f ca="1">IF($D151&gt;Standings!$Q$27,"",IF(F151="Conf",V150,SUMIFS($U$2:$U$225,$D$2:$D$225,"&lt;="&amp;$D151,$B$2:$B$225,$B151,$F$2:$F$225,"Non Conf")))</f>
        <v>4</v>
      </c>
      <c r="W151" s="172" t="str">
        <f ca="1">IF($D151&gt;Standings!$Q$27,"",$V151&amp;"-"&amp;COUNTIF(OFFSET($F151,(-$D151+1),0,1,1):$F151,"Non Conf")-$V151)</f>
        <v>4-2</v>
      </c>
      <c r="X151" s="172">
        <f ca="1">IF($D151&gt;Standings!$Q$27,"",SUMIFS($U$2:$U$225,$D$2:$D$225,"&lt;="&amp;$D151,$B$2:$B$225,$B151,$F$2:$F$225,"Conf"))</f>
        <v>2</v>
      </c>
      <c r="Y151" s="172" t="str">
        <f ca="1">IF($D151&gt;Standings!$Q$27,"",$X151&amp;"-"&amp;COUNTIF(OFFSET($F151,(-$D151+1),0,1,1):$F151,"Conf")-$X151)</f>
        <v>2-2</v>
      </c>
      <c r="Z151" s="172">
        <f ca="1">IF($D151&gt;Standings!$Q$27,"",SUM(OFFSET(U151,(-$D151+1),0,1,1):U151))</f>
        <v>6</v>
      </c>
      <c r="AA151" s="172">
        <f ca="1">IF($D151&gt;Standings!$Q$27,"",IF(U151=1,1+AA150,0))</f>
        <v>0</v>
      </c>
      <c r="AB151" s="267">
        <f ca="1">IF($D151&gt;Standings!$Q$27,"",IF(AA151=0,1+AB150,0))</f>
        <v>1</v>
      </c>
      <c r="AC151" s="251">
        <f ca="1">IF($D151&gt;Standings!$Q$27,"",SUM(OFFSET(J151,(-$D151+1),0,1,1):J151))</f>
        <v>975.7399999999999</v>
      </c>
      <c r="AD151" s="248">
        <f ca="1">IF($D151&gt;Standings!$Q$27,"",SUM(OFFSET(K151,(-$D151+1),0,1,1):K151))</f>
        <v>924.72</v>
      </c>
      <c r="AE151" s="248">
        <f ca="1">IF($D151&gt;Standings!$Q$27,"",$J151-$K151)</f>
        <v>-13.989999999999995</v>
      </c>
      <c r="AF151" s="248">
        <f ca="1">IF($D151&gt;Standings!$Q$27,"",AC151-AD151)</f>
        <v>51.019999999999868</v>
      </c>
      <c r="AG151" s="252">
        <f ca="1">IF($D151&gt;Standings!$Q$27,"",(COUNTIFS($D$2:$D$225,$D151,$C$2:$C$225,$C151,$AC$2:$AC$225,"&lt;"&amp;$AC151)+1)*0.01)</f>
        <v>0.04</v>
      </c>
      <c r="AH151" s="252">
        <f ca="1">IF($D151&gt;Standings!$Q$27,"",Z151+AG151)</f>
        <v>6.04</v>
      </c>
      <c r="AI151" s="252"/>
      <c r="AJ151" s="172">
        <f t="array" aca="1" ref="AJ151" ca="1">IF($D151&gt;Standings!$Q$27,"",(COUNTIFS($D$2:$D$225,$D151,$C$2:$C$225,$C151,$AM$2:$AM$225,"&gt;"&amp;$AM151)+1))</f>
        <v>4</v>
      </c>
      <c r="AK151" s="172">
        <f t="array" aca="1" ref="AK151" ca="1">IF($D151&gt;Standings!$Q$27,"",IF((COUNTIFS($D$2:$D$225,$D151,$C$2:$C$225,$C151,$AH$2:$AH$225,"&gt;"&amp;$AH151)+1)=2,1,0))</f>
        <v>0</v>
      </c>
      <c r="AL151" s="172">
        <f t="array" aca="1" ref="AL151" ca="1">IF($D151&gt;Standings!$Q$27,"",IF((COUNTIFS($D$2:$D$225,$D151,$C$2:$C$225,$C151,$AH$2:$AH$225,"&gt;"&amp;$AH151)+1)&lt;2,1,0))</f>
        <v>0</v>
      </c>
      <c r="AM151" s="172">
        <f ca="1">IF($D151&gt;Standings!$Q$27,"",IF(AL151=1,200+Z151+(16-AQ151)*0.01+AI151,IF(AK151=1,100+Z151+(16-AQ151)*0.01+AI151,IF(AN151=1,50+Z151+(16-AQ151)*0.01,IF(AO151=1,15+Z151+(16-AQ151)*0.01,Z151+(16-AQ151)*0.01+AI151)))))</f>
        <v>6.05</v>
      </c>
      <c r="AN151" s="172">
        <f ca="1">IF($D151&gt;Standings!$Q$27,"",IF(OR($AK151=1,$AL151=1),"Conf Playoff Spot",COUNTIFS($AL$2:$AL$225,0,$AK$2:$AK$225,0,$C$2:$C$225,$C151,$D$2:$D$225,$D151,$AC$2:$AC$225,"&gt;"&amp;$AC151)+1))</f>
        <v>3</v>
      </c>
      <c r="AO151" s="172">
        <f t="array" aca="1" ref="AO151" ca="1">IF($D151&gt;Standings!$Q$27,"",IF(OR($AK151=1,$AL151=1),"Conf Playoff Spot",COUNTIFS($AK$2:$AK$225,0,$AL$2:$AL$225,0,$D$2:$D$225,$D151,$AH$2:$AH$225,"&gt;"&amp;$AH151)+1))</f>
        <v>3</v>
      </c>
      <c r="AP151" s="172">
        <f t="array" aca="1" ref="AP151" ca="1">IF($D151&gt;Standings!$Q$27,"",(COUNTIFS($D$2:$D$225,$D151,$J$2:$J$225,"&gt;"&amp;$J151)+1))</f>
        <v>12</v>
      </c>
      <c r="AQ151" s="172">
        <f ca="1">IF($D151&gt;Standings!$Q$27,"",(COUNTIFS($D$2:$D$225,$D151,$AC$2:$AC$225,"&gt;"&amp;$AC151)+1))</f>
        <v>11</v>
      </c>
      <c r="AR151" s="172">
        <f ca="1">IF($D151&gt;Standings!$Q$27,"",(COUNTIFS($D$2:$D$225,$D151,$K$2:$K$225,"&gt;"&amp;$K151)+1))</f>
        <v>8</v>
      </c>
      <c r="AS151" s="172">
        <f ca="1">IF($D151&gt;Standings!$Q$27,"",(COUNTIFS($D$2:$D$225,$D151,$AD$2:$AD$225,"&gt;"&amp;$AD151)+1))</f>
        <v>15</v>
      </c>
      <c r="AT151" s="354">
        <f ca="1">IF($D151&gt;Standings!$Q$27,"",SUMIFS($J$2:$J$225,$D$2:$D$225,$D151,$C$2:$C$225,$C151))</f>
        <v>737.32999999999993</v>
      </c>
      <c r="AU151" s="253">
        <f ca="1">IF($D151&gt;Standings!$Q$27,"",SUMIFS($AC$2:$AC$225,$D$2:$D$225,$D151,$C$2:$C$225,$C151))</f>
        <v>8114.7500000000009</v>
      </c>
    </row>
    <row r="152" spans="1:47">
      <c r="A152" s="190">
        <f t="shared" si="2"/>
        <v>170</v>
      </c>
      <c r="B152" s="5" t="str">
        <f>'ESPN Data'!$L$14</f>
        <v>Team 11</v>
      </c>
      <c r="C152" s="350" t="str">
        <f>VLOOKUP(B152,'ESPN Data'!$L$4:$M$19,2,FALSE)</f>
        <v>Wardo</v>
      </c>
      <c r="D152" s="400">
        <v>11</v>
      </c>
      <c r="E152" s="267" t="str">
        <f t="array" ref="E152">INDEX('ESPN Data'!$C$3:$C$226,MATCH(1,('ESPN Data'!$A$3:$A$226='Point Data'!$D152)*('ESPN Data'!$B$3:$B$226='Point Data'!$B152),0))</f>
        <v>Team 6</v>
      </c>
      <c r="F152" s="250" t="str">
        <f>IF(C152&lt;&gt;VLOOKUP($E152,'ESPN Data'!$L$4:$M$19,2,FALSE),"Non Conf", "Conf")</f>
        <v>Non Conf</v>
      </c>
      <c r="G152" s="246">
        <f t="array" aca="1" ref="G152" ca="1">IF('Point Data'!$D152&gt;Standings!$Q$27,"",(COUNTIFS($D$2:$D$225,$D152,$AM$2:$AM$225,"&gt;"&amp;$AM152)+1))</f>
        <v>10</v>
      </c>
      <c r="H152" s="172">
        <f ca="1">IF('Point Data'!$D152&gt;Standings!$Q$27,"",$G151)</f>
        <v>9</v>
      </c>
      <c r="I152" s="249">
        <f ca="1">IF('Point Data'!D152&gt;Standings!$Q$27,"",H152-G152)</f>
        <v>-1</v>
      </c>
      <c r="J152" s="172">
        <f ca="1">IF('Point Data'!D152&gt;Standings!$Q$27,"",OFFSET('ESPN Data'!D$3,$A152,0,1,1))</f>
        <v>79.53</v>
      </c>
      <c r="K152" s="248">
        <f ca="1">IF('Point Data'!D152&gt;Standings!$Q$27,"",OFFSET('ESPN Data'!E$3,$A152,0,1,1))</f>
        <v>83.37</v>
      </c>
      <c r="L152" s="249">
        <f ca="1">IF('Point Data'!D152&gt;Standings!$Q$27,"",OFFSET('ESPN Data'!I$3,$A152,0,1,1))</f>
        <v>0</v>
      </c>
      <c r="M152" s="249">
        <f ca="1">IF('Point Data'!D152&gt;Standings!$Q$27,"",OFFSET('ESPN Data'!I$3,$A152,-2,1,1))</f>
        <v>0</v>
      </c>
      <c r="N152" s="249">
        <f ca="1">IF('Point Data'!D152&gt;Standings!$Q$27,"",SUMIFS($M$2:$M$225,$D$2:$D$225,D152,$C$2:$C$225,C152))</f>
        <v>10</v>
      </c>
      <c r="O152" s="249">
        <f ca="1">IF('Point Data'!D152&gt;Standings!$Q$27,"",SUMIFS($L$2:$L$225,$D$2:$D$225,$D152,$C$2:$C$225,$C152))</f>
        <v>217</v>
      </c>
      <c r="P152" s="249">
        <f ca="1">IF('Point Data'!D152&gt;Standings!$Q$27,"",SUMIFS($M$2:$M$225,$D$2:$D$225,D152))</f>
        <v>61</v>
      </c>
      <c r="Q152" s="249">
        <f ca="1">IF('Point Data'!D152&gt;Standings!$Q$27,"",SUMIFS($L$2:$L$225,$D$2:$D$225,D152))</f>
        <v>452</v>
      </c>
      <c r="R152" s="249">
        <f ca="1">IF($D152&gt;Standings!$Q$27,"",IF(U152="T",(Z152+0.5)/(D152)*100,(Z152/D152)*100))</f>
        <v>54.54545454545454</v>
      </c>
      <c r="S152" s="248">
        <f ca="1">IF($D152&gt;Standings!$Q$27,"",$J152-$K152)</f>
        <v>-3.8400000000000034</v>
      </c>
      <c r="T152" s="248">
        <f ca="1">IF($D152&gt;Standings!$Q$27,"",AVERAGE(OFFSET(S152,(-$D152+1),0,1,1):S152))</f>
        <v>4.2890909090909082</v>
      </c>
      <c r="U152" s="172">
        <f ca="1">IF($D152&gt;Standings!$Q$27,"",IF(J152&gt;K152,1,IF(J152=K152,"T",0)))</f>
        <v>0</v>
      </c>
      <c r="V152" s="172">
        <f ca="1">IF($D152&gt;Standings!$Q$27,"",IF(F152="Conf",V151,SUMIFS($U$2:$U$225,$D$2:$D$225,"&lt;="&amp;$D152,$B$2:$B$225,$B152,$F$2:$F$225,"Non Conf")))</f>
        <v>4</v>
      </c>
      <c r="W152" s="172" t="str">
        <f ca="1">IF($D152&gt;Standings!$Q$27,"",$V152&amp;"-"&amp;COUNTIF(OFFSET($F152,(-$D152+1),0,1,1):$F152,"Non Conf")-$V152)</f>
        <v>4-3</v>
      </c>
      <c r="X152" s="172">
        <f ca="1">IF($D152&gt;Standings!$Q$27,"",SUMIFS($U$2:$U$225,$D$2:$D$225,"&lt;="&amp;$D152,$B$2:$B$225,$B152,$F$2:$F$225,"Conf"))</f>
        <v>2</v>
      </c>
      <c r="Y152" s="172" t="str">
        <f ca="1">IF($D152&gt;Standings!$Q$27,"",$X152&amp;"-"&amp;COUNTIF(OFFSET($F152,(-$D152+1),0,1,1):$F152,"Conf")-$X152)</f>
        <v>2-2</v>
      </c>
      <c r="Z152" s="172">
        <f ca="1">IF($D152&gt;Standings!$Q$27,"",SUM(OFFSET(U152,(-$D152+1),0,1,1):U152))</f>
        <v>6</v>
      </c>
      <c r="AA152" s="172">
        <f ca="1">IF($D152&gt;Standings!$Q$27,"",IF(U152=1,1+AA151,0))</f>
        <v>0</v>
      </c>
      <c r="AB152" s="267">
        <f ca="1">IF($D152&gt;Standings!$Q$27,"",IF(AA152=0,1+AB151,0))</f>
        <v>2</v>
      </c>
      <c r="AC152" s="251">
        <f ca="1">IF($D152&gt;Standings!$Q$27,"",SUM(OFFSET(J152,(-$D152+1),0,1,1):J152))</f>
        <v>1055.27</v>
      </c>
      <c r="AD152" s="248">
        <f ca="1">IF($D152&gt;Standings!$Q$27,"",SUM(OFFSET(K152,(-$D152+1),0,1,1):K152))</f>
        <v>1008.09</v>
      </c>
      <c r="AE152" s="248">
        <f ca="1">IF($D152&gt;Standings!$Q$27,"",$J152-$K152)</f>
        <v>-3.8400000000000034</v>
      </c>
      <c r="AF152" s="248">
        <f ca="1">IF($D152&gt;Standings!$Q$27,"",AC152-AD152)</f>
        <v>47.17999999999995</v>
      </c>
      <c r="AG152" s="252">
        <f ca="1">IF($D152&gt;Standings!$Q$27,"",(COUNTIFS($D$2:$D$225,$D152,$C$2:$C$225,$C152,$AC$2:$AC$225,"&lt;"&amp;$AC152)+1)*0.01)</f>
        <v>0.04</v>
      </c>
      <c r="AH152" s="252">
        <f ca="1">IF($D152&gt;Standings!$Q$27,"",Z152+AG152)</f>
        <v>6.04</v>
      </c>
      <c r="AI152" s="252"/>
      <c r="AJ152" s="172">
        <f t="array" aca="1" ref="AJ152" ca="1">IF($D152&gt;Standings!$Q$27,"",(COUNTIFS($D$2:$D$225,$D152,$C$2:$C$225,$C152,$AM$2:$AM$225,"&gt;"&amp;$AM152)+1))</f>
        <v>4</v>
      </c>
      <c r="AK152" s="172">
        <f t="array" aca="1" ref="AK152" ca="1">IF($D152&gt;Standings!$Q$27,"",IF((COUNTIFS($D$2:$D$225,$D152,$C$2:$C$225,$C152,$AH$2:$AH$225,"&gt;"&amp;$AH152)+1)=2,1,0))</f>
        <v>0</v>
      </c>
      <c r="AL152" s="172">
        <f t="array" aca="1" ref="AL152" ca="1">IF($D152&gt;Standings!$Q$27,"",IF((COUNTIFS($D$2:$D$225,$D152,$C$2:$C$225,$C152,$AH$2:$AH$225,"&gt;"&amp;$AH152)+1)&lt;2,1,0))</f>
        <v>0</v>
      </c>
      <c r="AM152" s="172">
        <f ca="1">IF($D152&gt;Standings!$Q$27,"",IF(AL152=1,200+Z152+(16-AQ152)*0.01+AI152,IF(AK152=1,100+Z152+(16-AQ152)*0.01+AI152,IF(AN152=1,50+Z152+(16-AQ152)*0.01,IF(AO152=1,15+Z152+(16-AQ152)*0.01,Z152+(16-AQ152)*0.01+AI152)))))</f>
        <v>6.05</v>
      </c>
      <c r="AN152" s="172">
        <f ca="1">IF($D152&gt;Standings!$Q$27,"",IF(OR($AK152=1,$AL152=1),"Conf Playoff Spot",COUNTIFS($AL$2:$AL$225,0,$AK$2:$AK$225,0,$C$2:$C$225,$C152,$D$2:$D$225,$D152,$AC$2:$AC$225,"&gt;"&amp;$AC152)+1))</f>
        <v>3</v>
      </c>
      <c r="AO152" s="172">
        <f t="array" aca="1" ref="AO152" ca="1">IF($D152&gt;Standings!$Q$27,"",IF(OR($AK152=1,$AL152=1),"Conf Playoff Spot",COUNTIFS($AK$2:$AK$225,0,$AL$2:$AL$225,0,$D$2:$D$225,$D152,$AH$2:$AH$225,"&gt;"&amp;$AH152)+1))</f>
        <v>4</v>
      </c>
      <c r="AP152" s="172">
        <f t="array" aca="1" ref="AP152" ca="1">IF($D152&gt;Standings!$Q$27,"",(COUNTIFS($D$2:$D$225,$D152,$J$2:$J$225,"&gt;"&amp;$J152)+1))</f>
        <v>15</v>
      </c>
      <c r="AQ152" s="172">
        <f ca="1">IF($D152&gt;Standings!$Q$27,"",(COUNTIFS($D$2:$D$225,$D152,$AC$2:$AC$225,"&gt;"&amp;$AC152)+1))</f>
        <v>11</v>
      </c>
      <c r="AR152" s="172">
        <f ca="1">IF($D152&gt;Standings!$Q$27,"",(COUNTIFS($D$2:$D$225,$D152,$K$2:$K$225,"&gt;"&amp;$K152)+1))</f>
        <v>14</v>
      </c>
      <c r="AS152" s="172">
        <f ca="1">IF($D152&gt;Standings!$Q$27,"",(COUNTIFS($D$2:$D$225,$D152,$AD$2:$AD$225,"&gt;"&amp;$AD152)+1))</f>
        <v>15</v>
      </c>
      <c r="AT152" s="354">
        <f ca="1">IF($D152&gt;Standings!$Q$27,"",SUMIFS($J$2:$J$225,$D$2:$D$225,$D152,$C$2:$C$225,$C152))</f>
        <v>790.16000000000008</v>
      </c>
      <c r="AU152" s="253">
        <f ca="1">IF($D152&gt;Standings!$Q$27,"",SUMIFS($AC$2:$AC$225,$D$2:$D$225,$D152,$C$2:$C$225,$C152))</f>
        <v>8904.91</v>
      </c>
    </row>
    <row r="153" spans="1:47">
      <c r="A153" s="190">
        <f t="shared" si="2"/>
        <v>186</v>
      </c>
      <c r="B153" s="5" t="str">
        <f>'ESPN Data'!$L$14</f>
        <v>Team 11</v>
      </c>
      <c r="C153" s="350" t="str">
        <f>VLOOKUP(B153,'ESPN Data'!$L$4:$M$19,2,FALSE)</f>
        <v>Wardo</v>
      </c>
      <c r="D153" s="400">
        <v>12</v>
      </c>
      <c r="E153" s="267" t="str">
        <f t="array" ref="E153">INDEX('ESPN Data'!$C$3:$C$226,MATCH(1,('ESPN Data'!$A$3:$A$226='Point Data'!$D153)*('ESPN Data'!$B$3:$B$226='Point Data'!$B153),0))</f>
        <v>Team 14</v>
      </c>
      <c r="F153" s="250" t="str">
        <f>IF(C153&lt;&gt;VLOOKUP($E153,'ESPN Data'!$L$4:$M$19,2,FALSE),"Non Conf", "Conf")</f>
        <v>Conf</v>
      </c>
      <c r="G153" s="246">
        <f t="array" aca="1" ref="G153" ca="1">IF('Point Data'!$D153&gt;Standings!$Q$27,"",(COUNTIFS($D$2:$D$225,$D153,$AM$2:$AM$225,"&gt;"&amp;$AM153)+1))</f>
        <v>4</v>
      </c>
      <c r="H153" s="172">
        <f ca="1">IF('Point Data'!$D153&gt;Standings!$Q$27,"",$G152)</f>
        <v>10</v>
      </c>
      <c r="I153" s="249">
        <f ca="1">IF('Point Data'!D153&gt;Standings!$Q$27,"",H153-G153)</f>
        <v>6</v>
      </c>
      <c r="J153" s="172">
        <f ca="1">IF('Point Data'!D153&gt;Standings!$Q$27,"",OFFSET('ESPN Data'!D$3,$A153,0,1,1))</f>
        <v>116.15</v>
      </c>
      <c r="K153" s="248">
        <f ca="1">IF('Point Data'!D153&gt;Standings!$Q$27,"",OFFSET('ESPN Data'!E$3,$A153,0,1,1))</f>
        <v>106.11</v>
      </c>
      <c r="L153" s="249">
        <f ca="1">IF('Point Data'!D153&gt;Standings!$Q$27,"",OFFSET('ESPN Data'!I$3,$A153,0,1,1))</f>
        <v>0</v>
      </c>
      <c r="M153" s="249">
        <f ca="1">IF('Point Data'!D153&gt;Standings!$Q$27,"",OFFSET('ESPN Data'!I$3,$A153,-2,1,1))</f>
        <v>0</v>
      </c>
      <c r="N153" s="249">
        <f ca="1">IF('Point Data'!D153&gt;Standings!$Q$27,"",SUMIFS($M$2:$M$225,$D$2:$D$225,D153,$C$2:$C$225,C153))</f>
        <v>35</v>
      </c>
      <c r="O153" s="249">
        <f ca="1">IF('Point Data'!D153&gt;Standings!$Q$27,"",SUMIFS($L$2:$L$225,$D$2:$D$225,$D153,$C$2:$C$225,$C153))</f>
        <v>182</v>
      </c>
      <c r="P153" s="249">
        <f ca="1">IF('Point Data'!D153&gt;Standings!$Q$27,"",SUMIFS($M$2:$M$225,$D$2:$D$225,D153))</f>
        <v>41</v>
      </c>
      <c r="Q153" s="249">
        <f ca="1">IF('Point Data'!D153&gt;Standings!$Q$27,"",SUMIFS($L$2:$L$225,$D$2:$D$225,D153))</f>
        <v>411</v>
      </c>
      <c r="R153" s="249">
        <f ca="1">IF($D153&gt;Standings!$Q$27,"",IF(U153="T",(Z153+0.5)/(D153)*100,(Z153/D153)*100))</f>
        <v>58.333333333333336</v>
      </c>
      <c r="S153" s="248">
        <f ca="1">IF($D153&gt;Standings!$Q$27,"",$J153-$K153)</f>
        <v>10.040000000000006</v>
      </c>
      <c r="T153" s="248">
        <f ca="1">IF($D153&gt;Standings!$Q$27,"",AVERAGE(OFFSET(S153,(-$D153+1),0,1,1):S153))</f>
        <v>4.7683333333333335</v>
      </c>
      <c r="U153" s="172">
        <f ca="1">IF($D153&gt;Standings!$Q$27,"",IF(J153&gt;K153,1,IF(J153=K153,"T",0)))</f>
        <v>1</v>
      </c>
      <c r="V153" s="172">
        <f ca="1">IF($D153&gt;Standings!$Q$27,"",IF(F153="Conf",V152,SUMIFS($U$2:$U$225,$D$2:$D$225,"&lt;="&amp;$D153,$B$2:$B$225,$B153,$F$2:$F$225,"Non Conf")))</f>
        <v>4</v>
      </c>
      <c r="W153" s="172" t="str">
        <f ca="1">IF($D153&gt;Standings!$Q$27,"",$V153&amp;"-"&amp;COUNTIF(OFFSET($F153,(-$D153+1),0,1,1):$F153,"Non Conf")-$V153)</f>
        <v>4-3</v>
      </c>
      <c r="X153" s="172">
        <f ca="1">IF($D153&gt;Standings!$Q$27,"",SUMIFS($U$2:$U$225,$D$2:$D$225,"&lt;="&amp;$D153,$B$2:$B$225,$B153,$F$2:$F$225,"Conf"))</f>
        <v>3</v>
      </c>
      <c r="Y153" s="172" t="str">
        <f ca="1">IF($D153&gt;Standings!$Q$27,"",$X153&amp;"-"&amp;COUNTIF(OFFSET($F153,(-$D153+1),0,1,1):$F153,"Conf")-$X153)</f>
        <v>3-2</v>
      </c>
      <c r="Z153" s="172">
        <f ca="1">IF($D153&gt;Standings!$Q$27,"",SUM(OFFSET(U153,(-$D153+1),0,1,1):U153))</f>
        <v>7</v>
      </c>
      <c r="AA153" s="172">
        <f ca="1">IF($D153&gt;Standings!$Q$27,"",IF(U153=1,1+AA152,0))</f>
        <v>1</v>
      </c>
      <c r="AB153" s="267">
        <f ca="1">IF($D153&gt;Standings!$Q$27,"",IF(AA153=0,1+AB152,0))</f>
        <v>0</v>
      </c>
      <c r="AC153" s="251">
        <f ca="1">IF($D153&gt;Standings!$Q$27,"",SUM(OFFSET(J153,(-$D153+1),0,1,1):J153))</f>
        <v>1171.42</v>
      </c>
      <c r="AD153" s="248">
        <f ca="1">IF($D153&gt;Standings!$Q$27,"",SUM(OFFSET(K153,(-$D153+1),0,1,1):K153))</f>
        <v>1114.2</v>
      </c>
      <c r="AE153" s="248">
        <f ca="1">IF($D153&gt;Standings!$Q$27,"",$J153-$K153)</f>
        <v>10.040000000000006</v>
      </c>
      <c r="AF153" s="248">
        <f ca="1">IF($D153&gt;Standings!$Q$27,"",AC153-AD153)</f>
        <v>57.220000000000027</v>
      </c>
      <c r="AG153" s="252">
        <f ca="1">IF($D153&gt;Standings!$Q$27,"",(COUNTIFS($D$2:$D$225,$D153,$C$2:$C$225,$C153,$AC$2:$AC$225,"&lt;"&amp;$AC153)+1)*0.01)</f>
        <v>0.05</v>
      </c>
      <c r="AH153" s="252">
        <f ca="1">IF($D153&gt;Standings!$Q$27,"",Z153+AG153)</f>
        <v>7.05</v>
      </c>
      <c r="AI153" s="252"/>
      <c r="AJ153" s="172">
        <f t="array" aca="1" ref="AJ153" ca="1">IF($D153&gt;Standings!$Q$27,"",(COUNTIFS($D$2:$D$225,$D153,$C$2:$C$225,$C153,$AM$2:$AM$225,"&gt;"&amp;$AM153)+1))</f>
        <v>2</v>
      </c>
      <c r="AK153" s="172">
        <f t="array" aca="1" ref="AK153" ca="1">IF($D153&gt;Standings!$Q$27,"",IF((COUNTIFS($D$2:$D$225,$D153,$C$2:$C$225,$C153,$AH$2:$AH$225,"&gt;"&amp;$AH153)+1)=2,1,0))</f>
        <v>1</v>
      </c>
      <c r="AL153" s="172">
        <f t="array" aca="1" ref="AL153" ca="1">IF($D153&gt;Standings!$Q$27,"",IF((COUNTIFS($D$2:$D$225,$D153,$C$2:$C$225,$C153,$AH$2:$AH$225,"&gt;"&amp;$AH153)+1)&lt;2,1,0))</f>
        <v>0</v>
      </c>
      <c r="AM153" s="172">
        <f ca="1">IF($D153&gt;Standings!$Q$27,"",IF(AL153=1,200+Z153+(16-AQ153)*0.01+AI153,IF(AK153=1,100+Z153+(16-AQ153)*0.01+AI153,IF(AN153=1,50+Z153+(16-AQ153)*0.01,IF(AO153=1,15+Z153+(16-AQ153)*0.01,Z153+(16-AQ153)*0.01+AI153)))))</f>
        <v>107.06</v>
      </c>
      <c r="AN153" s="172" t="str">
        <f ca="1">IF($D153&gt;Standings!$Q$27,"",IF(OR($AK153=1,$AL153=1),"Conf Playoff Spot",COUNTIFS($AL$2:$AL$225,0,$AK$2:$AK$225,0,$C$2:$C$225,$C153,$D$2:$D$225,$D153,$AC$2:$AC$225,"&gt;"&amp;$AC153)+1))</f>
        <v>Conf Playoff Spot</v>
      </c>
      <c r="AO153" s="172" t="str">
        <f t="array" aca="1" ref="AO153" ca="1">IF($D153&gt;Standings!$Q$27,"",IF(OR($AK153=1,$AL153=1),"Conf Playoff Spot",COUNTIFS($AK$2:$AK$225,0,$AL$2:$AL$225,0,$D$2:$D$225,$D153,$AH$2:$AH$225,"&gt;"&amp;$AH153)+1))</f>
        <v>Conf Playoff Spot</v>
      </c>
      <c r="AP153" s="172">
        <f t="array" aca="1" ref="AP153" ca="1">IF($D153&gt;Standings!$Q$27,"",(COUNTIFS($D$2:$D$225,$D153,$J$2:$J$225,"&gt;"&amp;$J153)+1))</f>
        <v>4</v>
      </c>
      <c r="AQ153" s="172">
        <f ca="1">IF($D153&gt;Standings!$Q$27,"",(COUNTIFS($D$2:$D$225,$D153,$AC$2:$AC$225,"&gt;"&amp;$AC153)+1))</f>
        <v>10</v>
      </c>
      <c r="AR153" s="172">
        <f ca="1">IF($D153&gt;Standings!$Q$27,"",(COUNTIFS($D$2:$D$225,$D153,$K$2:$K$225,"&gt;"&amp;$K153)+1))</f>
        <v>7</v>
      </c>
      <c r="AS153" s="172">
        <f ca="1">IF($D153&gt;Standings!$Q$27,"",(COUNTIFS($D$2:$D$225,$D153,$AD$2:$AD$225,"&gt;"&amp;$AD153)+1))</f>
        <v>15</v>
      </c>
      <c r="AT153" s="354">
        <f ca="1">IF($D153&gt;Standings!$Q$27,"",SUMIFS($J$2:$J$225,$D$2:$D$225,$D153,$C$2:$C$225,$C153))</f>
        <v>746.43999999999994</v>
      </c>
      <c r="AU153" s="253">
        <f ca="1">IF($D153&gt;Standings!$Q$27,"",SUMIFS($AC$2:$AC$225,$D$2:$D$225,$D153,$C$2:$C$225,$C153))</f>
        <v>9651.35</v>
      </c>
    </row>
    <row r="154" spans="1:47" s="190" customFormat="1">
      <c r="A154" s="190">
        <f t="shared" si="2"/>
        <v>202</v>
      </c>
      <c r="B154" s="56" t="str">
        <f>'ESPN Data'!$L$14</f>
        <v>Team 11</v>
      </c>
      <c r="C154" s="352" t="str">
        <f>VLOOKUP(B154,'ESPN Data'!$L$4:$M$19,2,FALSE)</f>
        <v>Wardo</v>
      </c>
      <c r="D154" s="553">
        <v>13</v>
      </c>
      <c r="E154" s="275" t="str">
        <f t="array" ref="E154">INDEX('ESPN Data'!$C$3:$C$226,MATCH(1,('ESPN Data'!$A$3:$A$226='Point Data'!$D154)*('ESPN Data'!$B$3:$B$226='Point Data'!$B154),0))</f>
        <v>Team 7</v>
      </c>
      <c r="F154" s="274" t="str">
        <f>IF(C154&lt;&gt;VLOOKUP($E154,'ESPN Data'!$L$4:$M$19,2,FALSE),"Non Conf", "Conf")</f>
        <v>Non Conf</v>
      </c>
      <c r="G154" s="271">
        <f t="array" aca="1" ref="G154" ca="1">IF('Point Data'!$D154&gt;Standings!$Q$27,"",(COUNTIFS($D$2:$D$225,$D154,$AM$2:$AM$225,"&gt;"&amp;$AM154)+1))</f>
        <v>4</v>
      </c>
      <c r="H154" s="264">
        <f ca="1">IF('Point Data'!$D154&gt;Standings!$Q$27,"",$G153)</f>
        <v>4</v>
      </c>
      <c r="I154" s="265">
        <f ca="1">IF('Point Data'!D154&gt;Standings!$Q$27,"",H154-G154)</f>
        <v>0</v>
      </c>
      <c r="J154" s="264">
        <f ca="1">IF('Point Data'!D154&gt;Standings!$Q$27,"",OFFSET('ESPN Data'!D$3,$A154,0,1,1))</f>
        <v>110.41</v>
      </c>
      <c r="K154" s="272">
        <f ca="1">IF('Point Data'!D154&gt;Standings!$Q$27,"",OFFSET('ESPN Data'!E$3,$A154,0,1,1))</f>
        <v>84.18</v>
      </c>
      <c r="L154" s="265">
        <f ca="1">IF('Point Data'!D154&gt;Standings!$Q$27,"",OFFSET('ESPN Data'!I$3,$A154,0,1,1))</f>
        <v>0</v>
      </c>
      <c r="M154" s="265">
        <f ca="1">IF('Point Data'!D154&gt;Standings!$Q$27,"",OFFSET('ESPN Data'!I$3,$A154,-2,1,1))</f>
        <v>0</v>
      </c>
      <c r="N154" s="265">
        <f ca="1">IF('Point Data'!D154&gt;Standings!$Q$27,"",SUMIFS($M$2:$M$225,$D$2:$D$225,D154,$C$2:$C$225,C154))</f>
        <v>36</v>
      </c>
      <c r="O154" s="265">
        <f ca="1">IF('Point Data'!D154&gt;Standings!$Q$27,"",SUMIFS($L$2:$L$225,$D$2:$D$225,$D154,$C$2:$C$225,$C154))</f>
        <v>146</v>
      </c>
      <c r="P154" s="265">
        <f ca="1">IF('Point Data'!D154&gt;Standings!$Q$27,"",SUMIFS($M$2:$M$225,$D$2:$D$225,D154))</f>
        <v>41</v>
      </c>
      <c r="Q154" s="265">
        <f ca="1">IF('Point Data'!D154&gt;Standings!$Q$27,"",SUMIFS($L$2:$L$225,$D$2:$D$225,D154))</f>
        <v>370</v>
      </c>
      <c r="R154" s="265">
        <f ca="1">IF($D154&gt;Standings!$Q$27,"",IF(U154="T",(Z154+0.5)/(D154)*100,(Z154/D154)*100))</f>
        <v>61.53846153846154</v>
      </c>
      <c r="S154" s="272">
        <f ca="1">IF($D154&gt;Standings!$Q$27,"",$J154-$K154)</f>
        <v>26.22999999999999</v>
      </c>
      <c r="T154" s="272">
        <f ca="1">IF($D154&gt;Standings!$Q$27,"",AVERAGE(OFFSET(S154,(-$D154+1),0,1,1):S154))</f>
        <v>6.4192307692307686</v>
      </c>
      <c r="U154" s="264">
        <f ca="1">IF($D154&gt;Standings!$Q$27,"",IF(J154&gt;K154,1,IF(J154=K154,"T",0)))</f>
        <v>1</v>
      </c>
      <c r="V154" s="264">
        <f ca="1">IF($D154&gt;Standings!$Q$27,"",IF(F154="Conf",V153,SUMIFS($U$2:$U$225,$D$2:$D$225,"&lt;="&amp;$D154,$B$2:$B$225,$B154,$F$2:$F$225,"Non Conf")))</f>
        <v>5</v>
      </c>
      <c r="W154" s="264" t="str">
        <f ca="1">IF($D154&gt;Standings!$Q$27,"",$V154&amp;"-"&amp;COUNTIF(OFFSET($F154,(-$D154+1),0,1,1):$F154,"Non Conf")-$V154)</f>
        <v>5-3</v>
      </c>
      <c r="X154" s="264">
        <f ca="1">IF($D154&gt;Standings!$Q$27,"",SUMIFS($U$2:$U$225,$D$2:$D$225,"&lt;="&amp;$D154,$B$2:$B$225,$B154,$F$2:$F$225,"Conf"))</f>
        <v>3</v>
      </c>
      <c r="Y154" s="264" t="str">
        <f ca="1">IF($D154&gt;Standings!$Q$27,"",$X154&amp;"-"&amp;COUNTIF(OFFSET($F154,(-$D154+1),0,1,1):$F154,"Conf")-$X154)</f>
        <v>3-2</v>
      </c>
      <c r="Z154" s="264">
        <f ca="1">IF($D154&gt;Standings!$Q$27,"",SUM(OFFSET(U154,(-$D154+1),0,1,1):U154))</f>
        <v>8</v>
      </c>
      <c r="AA154" s="264">
        <f ca="1">IF($D154&gt;Standings!$Q$27,"",IF(U154=1,1+AA153,0))</f>
        <v>2</v>
      </c>
      <c r="AB154" s="275">
        <f ca="1">IF($D154&gt;Standings!$Q$27,"",IF(AA154=0,1+AB153,0))</f>
        <v>0</v>
      </c>
      <c r="AC154" s="273">
        <f ca="1">IF($D154&gt;Standings!$Q$27,"",SUM(OFFSET(J154,(-$D154+1),0,1,1):J154))</f>
        <v>1281.8300000000002</v>
      </c>
      <c r="AD154" s="272">
        <f ca="1">IF($D154&gt;Standings!$Q$27,"",SUM(OFFSET(K154,(-$D154+1),0,1,1):K154))</f>
        <v>1198.3800000000001</v>
      </c>
      <c r="AE154" s="272">
        <f ca="1">IF($D154&gt;Standings!$Q$27,"",$J154-$K154)</f>
        <v>26.22999999999999</v>
      </c>
      <c r="AF154" s="272">
        <f ca="1">IF($D154&gt;Standings!$Q$27,"",AC154-AD154)</f>
        <v>83.450000000000045</v>
      </c>
      <c r="AG154" s="263">
        <f ca="1">IF($D154&gt;Standings!$Q$27,"",(COUNTIFS($D$2:$D$225,$D154,$C$2:$C$225,$C154,$AC$2:$AC$225,"&lt;"&amp;$AC154)+1)*0.01)</f>
        <v>0.05</v>
      </c>
      <c r="AH154" s="263">
        <f ca="1">IF($D154&gt;Standings!$Q$27,"",Z154+AG154)</f>
        <v>8.0500000000000007</v>
      </c>
      <c r="AI154" s="263"/>
      <c r="AJ154" s="264">
        <f t="array" aca="1" ref="AJ154" ca="1">IF($D154&gt;Standings!$Q$27,"",(COUNTIFS($D$2:$D$225,$D154,$C$2:$C$225,$C154,$AM$2:$AM$225,"&gt;"&amp;$AM154)+1))</f>
        <v>2</v>
      </c>
      <c r="AK154" s="264">
        <f t="array" aca="1" ref="AK154" ca="1">IF($D154&gt;Standings!$Q$27,"",IF((COUNTIFS($D$2:$D$225,$D154,$C$2:$C$225,$C154,$AH$2:$AH$225,"&gt;"&amp;$AH154)+1)=2,1,0))</f>
        <v>1</v>
      </c>
      <c r="AL154" s="264">
        <f t="array" aca="1" ref="AL154" ca="1">IF($D154&gt;Standings!$Q$27,"",IF((COUNTIFS($D$2:$D$225,$D154,$C$2:$C$225,$C154,$AH$2:$AH$225,"&gt;"&amp;$AH154)+1)&lt;2,1,0))</f>
        <v>0</v>
      </c>
      <c r="AM154" s="264">
        <f ca="1">IF($D154&gt;Standings!$Q$27,"",IF(AL154=1,200+Z154+(16-AQ154)*0.01+AI154,IF(AK154=1,100+Z154+(16-AQ154)*0.01+AI154,IF(AN154=1,50+Z154+(16-AQ154)*0.01,IF(AO154=1,15+Z154+(16-AQ154)*0.01,Z154+(16-AQ154)*0.01+AI154)))))</f>
        <v>108.06</v>
      </c>
      <c r="AN154" s="264" t="str">
        <f ca="1">IF($D154&gt;Standings!$Q$27,"",IF(OR($AK154=1,$AL154=1),"Conf Playoff Spot",COUNTIFS($AL$2:$AL$225,0,$AK$2:$AK$225,0,$C$2:$C$225,$C154,$D$2:$D$225,$D154,$AC$2:$AC$225,"&gt;"&amp;$AC154)+1))</f>
        <v>Conf Playoff Spot</v>
      </c>
      <c r="AO154" s="264" t="str">
        <f t="array" aca="1" ref="AO154" ca="1">IF($D154&gt;Standings!$Q$27,"",IF(OR($AK154=1,$AL154=1),"Conf Playoff Spot",COUNTIFS($AK$2:$AK$225,0,$AL$2:$AL$225,0,$D$2:$D$225,$D154,$AH$2:$AH$225,"&gt;"&amp;$AH154)+1))</f>
        <v>Conf Playoff Spot</v>
      </c>
      <c r="AP154" s="264">
        <f t="array" aca="1" ref="AP154" ca="1">IF($D154&gt;Standings!$Q$27,"",(COUNTIFS($D$2:$D$225,$D154,$J$2:$J$225,"&gt;"&amp;$J154)+1))</f>
        <v>4</v>
      </c>
      <c r="AQ154" s="264">
        <f ca="1">IF($D154&gt;Standings!$Q$27,"",(COUNTIFS($D$2:$D$225,$D154,$AC$2:$AC$225,"&gt;"&amp;$AC154)+1))</f>
        <v>10</v>
      </c>
      <c r="AR154" s="264">
        <f ca="1">IF($D154&gt;Standings!$Q$27,"",(COUNTIFS($D$2:$D$225,$D154,$K$2:$K$225,"&gt;"&amp;$K154)+1))</f>
        <v>14</v>
      </c>
      <c r="AS154" s="264">
        <f ca="1">IF($D154&gt;Standings!$Q$27,"",(COUNTIFS($D$2:$D$225,$D154,$AD$2:$AD$225,"&gt;"&amp;$AD154)+1))</f>
        <v>15</v>
      </c>
      <c r="AT154" s="356">
        <f ca="1">IF($D154&gt;Standings!$Q$27,"",SUMIFS($J$2:$J$225,$D$2:$D$225,$D154,$C$2:$C$225,$C154))</f>
        <v>885.58</v>
      </c>
      <c r="AU154" s="340">
        <f ca="1">IF($D154&gt;Standings!$Q$27,"",SUMIFS($AC$2:$AC$225,$D$2:$D$225,$D154,$C$2:$C$225,$C154))</f>
        <v>10536.93</v>
      </c>
    </row>
    <row r="155" spans="1:47" ht="16" thickBot="1">
      <c r="A155" s="190">
        <f t="shared" si="2"/>
        <v>218</v>
      </c>
      <c r="B155" s="10" t="str">
        <f>'ESPN Data'!$L$14</f>
        <v>Team 11</v>
      </c>
      <c r="C155" s="351" t="str">
        <f>VLOOKUP(B155,'ESPN Data'!$L$4:$M$19,2,FALSE)</f>
        <v>Wardo</v>
      </c>
      <c r="D155" s="401">
        <v>14</v>
      </c>
      <c r="E155" s="268" t="str">
        <f t="array" ref="E155">INDEX('ESPN Data'!$C$3:$C$226,MATCH(1,('ESPN Data'!$A$3:$A$226='Point Data'!$D155)*('ESPN Data'!$B$3:$B$226='Point Data'!$B155),0))</f>
        <v>Team 7</v>
      </c>
      <c r="F155" s="258" t="str">
        <f>IF(C155&lt;&gt;VLOOKUP($E155,'ESPN Data'!$L$4:$M$19,2,FALSE),"Non Conf", "Conf")</f>
        <v>Non Conf</v>
      </c>
      <c r="G155" s="262" t="str">
        <f t="array" ref="G155">IF('Point Data'!$D155&gt;Standings!$Q$27,"",(COUNTIFS($D$2:$D$225,$D155,$AM$2:$AM$225,"&gt;"&amp;$AM155)+1))</f>
        <v/>
      </c>
      <c r="H155" s="257" t="str">
        <f>IF('Point Data'!$D155&gt;Standings!$Q$27,"",$G153)</f>
        <v/>
      </c>
      <c r="I155" s="256" t="str">
        <f>IF('Point Data'!D155&gt;Standings!$Q$27,"",H155-G155)</f>
        <v/>
      </c>
      <c r="J155" s="257" t="str">
        <f ca="1">IF('Point Data'!D155&gt;Standings!$Q$27,"",OFFSET('ESPN Data'!D$3,$A155,0,1,1))</f>
        <v/>
      </c>
      <c r="K155" s="255" t="str">
        <f ca="1">IF('Point Data'!D155&gt;Standings!$Q$27,"",OFFSET('ESPN Data'!E$3,$A155,0,1,1))</f>
        <v/>
      </c>
      <c r="L155" s="256" t="str">
        <f ca="1">IF('Point Data'!D155&gt;Standings!$Q$27,"",OFFSET('ESPN Data'!I$3,$A155,0,1,1))</f>
        <v/>
      </c>
      <c r="M155" s="256" t="str">
        <f ca="1">IF('Point Data'!D155&gt;Standings!$Q$27,"",OFFSET('ESPN Data'!I$3,$A155,-2,1,1))</f>
        <v/>
      </c>
      <c r="N155" s="256" t="str">
        <f>IF('Point Data'!D155&gt;Standings!$Q$27,"",SUMIFS($M$2:$M$225,$D$2:$D$225,D155,$C$2:$C$225,C155))</f>
        <v/>
      </c>
      <c r="O155" s="256" t="str">
        <f>IF('Point Data'!D155&gt;Standings!$Q$27,"",SUMIFS($L$2:$L$225,$D$2:$D$225,$D155,$C$2:$C$225,$C155))</f>
        <v/>
      </c>
      <c r="P155" s="256" t="str">
        <f>IF('Point Data'!D155&gt;Standings!$Q$27,"",SUMIFS($M$2:$M$225,$D$2:$D$225,D155))</f>
        <v/>
      </c>
      <c r="Q155" s="256" t="str">
        <f>IF('Point Data'!D155&gt;Standings!$Q$27,"",SUMIFS($L$2:$L$225,$D$2:$D$225,D155))</f>
        <v/>
      </c>
      <c r="R155" s="256" t="str">
        <f>IF($D155&gt;Standings!$Q$27,"",IF(U155="T",(Z155+0.5)/(D155)*100,(Z155/D155)*100))</f>
        <v/>
      </c>
      <c r="S155" s="255" t="str">
        <f>IF($D155&gt;Standings!$Q$27,"",$J155-$K155)</f>
        <v/>
      </c>
      <c r="T155" s="255" t="str">
        <f ca="1">IF($D155&gt;Standings!$Q$27,"",AVERAGE(OFFSET(S155,(-$D155+1),0,1,1):S155))</f>
        <v/>
      </c>
      <c r="U155" s="257" t="str">
        <f>IF($D155&gt;Standings!$Q$27,"",IF(J155&gt;K155,1,IF(J155=K155,"T",0)))</f>
        <v/>
      </c>
      <c r="V155" s="257" t="str">
        <f>IF($D155&gt;Standings!$Q$27,"",IF(F155="Conf",V154,SUMIFS($U$2:$U$225,$D$2:$D$225,"&lt;="&amp;$D155,$B$2:$B$225,$B155,$F$2:$F$225,"Non Conf")))</f>
        <v/>
      </c>
      <c r="W155" s="257" t="str">
        <f ca="1">IF($D155&gt;Standings!$Q$27,"",$V155&amp;"-"&amp;COUNTIF(OFFSET($F155,(-$D155+1),0,1,1):$F155,"Non Conf")-$V155)</f>
        <v/>
      </c>
      <c r="X155" s="257" t="str">
        <f>IF($D155&gt;Standings!$Q$27,"",SUMIFS($U$2:$U$225,$D$2:$D$225,"&lt;="&amp;$D155,$B$2:$B$225,$B155,$F$2:$F$225,"Conf"))</f>
        <v/>
      </c>
      <c r="Y155" s="257" t="str">
        <f ca="1">IF($D155&gt;Standings!$Q$27,"",$X155&amp;"-"&amp;COUNTIF(OFFSET($F155,(-$D155+1),0,1,1):$F155,"Conf")-$X155)</f>
        <v/>
      </c>
      <c r="Z155" s="257" t="str">
        <f ca="1">IF($D155&gt;Standings!$Q$27,"",SUM(OFFSET(U155,(-$D155+1),0,1,1):U155))</f>
        <v/>
      </c>
      <c r="AA155" s="257" t="str">
        <f>IF($D155&gt;Standings!$Q$27,"",IF(U155=1,1+AA153,0))</f>
        <v/>
      </c>
      <c r="AB155" s="268" t="str">
        <f>IF($D155&gt;Standings!$Q$27,"",IF(AA155=0,1+AB153,0))</f>
        <v/>
      </c>
      <c r="AC155" s="259" t="str">
        <f ca="1">IF($D155&gt;Standings!$Q$27,"",SUM(OFFSET(J155,(-$D155+1),0,1,1):J155))</f>
        <v/>
      </c>
      <c r="AD155" s="255" t="str">
        <f ca="1">IF($D155&gt;Standings!$Q$27,"",SUM(OFFSET(K155,(-$D155+1),0,1,1):K155))</f>
        <v/>
      </c>
      <c r="AE155" s="255" t="str">
        <f>IF($D155&gt;Standings!$Q$27,"",$J155-$K155)</f>
        <v/>
      </c>
      <c r="AF155" s="255" t="str">
        <f>IF($D155&gt;Standings!$Q$27,"",AC155-AD155)</f>
        <v/>
      </c>
      <c r="AG155" s="260" t="str">
        <f>IF($D155&gt;Standings!$Q$27,"",(COUNTIFS($D$2:$D$225,$D155,$C$2:$C$225,$C155,$AC$2:$AC$225,"&lt;"&amp;$AC155)+1)*0.01)</f>
        <v/>
      </c>
      <c r="AH155" s="260" t="str">
        <f>IF($D155&gt;Standings!$Q$27,"",Z155+AG155)</f>
        <v/>
      </c>
      <c r="AI155" s="260"/>
      <c r="AJ155" s="257" t="str">
        <f t="array" ref="AJ155">IF($D155&gt;Standings!$Q$27,"",(COUNTIFS($D$2:$D$225,$D155,$C$2:$C$225,$C155,$AM$2:$AM$225,"&gt;"&amp;$AM155)+1))</f>
        <v/>
      </c>
      <c r="AK155" s="257" t="str">
        <f t="array" ref="AK155">IF($D155&gt;Standings!$Q$27,"",IF((COUNTIFS($D$2:$D$225,$D155,$C$2:$C$225,$C155,$AH$2:$AH$225,"&gt;"&amp;$AH155)+1)=2,1,0))</f>
        <v/>
      </c>
      <c r="AL155" s="257" t="str">
        <f t="array" ref="AL155">IF($D155&gt;Standings!$Q$27,"",IF((COUNTIFS($D$2:$D$225,$D155,$C$2:$C$225,$C155,$AH$2:$AH$225,"&gt;"&amp;$AH155)+1)&lt;2,1,0))</f>
        <v/>
      </c>
      <c r="AM155" s="257" t="str">
        <f>IF($D155&gt;Standings!$Q$27,"",IF(AL155=1,200+Z155+(16-AQ155)*0.01+AI155,IF(AK155=1,100+Z155+(16-AQ155)*0.01+AI155,IF(AN155=1,50+Z155+(16-AQ155)*0.01,IF(AO155=1,15+Z155+(16-AQ155)*0.01,Z155+(16-AQ155)*0.01+AI155)))))</f>
        <v/>
      </c>
      <c r="AN155" s="257" t="str">
        <f>IF($D155&gt;Standings!$Q$27,"",IF(OR($AK155=1,$AL155=1),"Conf Playoff Spot",COUNTIFS($AL$2:$AL$225,0,$AK$2:$AK$225,0,$C$2:$C$225,$C155,$D$2:$D$225,$D155,$AC$2:$AC$225,"&gt;"&amp;$AC155)+1))</f>
        <v/>
      </c>
      <c r="AO155" s="257" t="str">
        <f t="array" ref="AO155">IF($D155&gt;Standings!$Q$27,"",IF(OR($AK155=1,$AL155=1),"Conf Playoff Spot",COUNTIFS($AK$2:$AK$225,0,$AL$2:$AL$225,0,$D$2:$D$225,$D155,$AH$2:$AH$225,"&gt;"&amp;$AH155)+1))</f>
        <v/>
      </c>
      <c r="AP155" s="257" t="str">
        <f t="array" ref="AP155">IF($D155&gt;Standings!$Q$27,"",(COUNTIFS($D$2:$D$225,$D155,$J$2:$J$225,"&gt;"&amp;$J155)+1))</f>
        <v/>
      </c>
      <c r="AQ155" s="257" t="str">
        <f>IF($D155&gt;Standings!$Q$27,"",(COUNTIFS($D$2:$D$225,$D155,$AC$2:$AC$225,"&gt;"&amp;$AC155)+1))</f>
        <v/>
      </c>
      <c r="AR155" s="257" t="str">
        <f>IF($D155&gt;Standings!$Q$27,"",(COUNTIFS($D$2:$D$225,$D155,$K$2:$K$225,"&gt;"&amp;$K155)+1))</f>
        <v/>
      </c>
      <c r="AS155" s="257" t="str">
        <f>IF($D155&gt;Standings!$Q$27,"",(COUNTIFS($D$2:$D$225,$D155,$AD$2:$AD$225,"&gt;"&amp;$AD155)+1))</f>
        <v/>
      </c>
      <c r="AT155" s="355" t="str">
        <f>IF($D155&gt;Standings!$Q$27,"",SUMIFS($J$2:$J$225,$D$2:$D$225,$D155,$C$2:$C$225,$C155))</f>
        <v/>
      </c>
      <c r="AU155" s="261" t="str">
        <f>IF($D155&gt;Standings!$Q$27,"",SUMIFS($AC$2:$AC$225,$D$2:$D$225,$D155,$C$2:$C$225,$C155))</f>
        <v/>
      </c>
    </row>
    <row r="156" spans="1:47">
      <c r="A156" s="190">
        <f t="shared" si="2"/>
        <v>11</v>
      </c>
      <c r="B156" s="3" t="str">
        <f>'ESPN Data'!$L$15</f>
        <v>Team 12</v>
      </c>
      <c r="C156" s="349" t="str">
        <f>VLOOKUP(B156,'ESPN Data'!$L$4:$M$19,2,FALSE)</f>
        <v>Wardo</v>
      </c>
      <c r="D156" s="399">
        <v>1</v>
      </c>
      <c r="E156" s="266" t="str">
        <f t="array" ref="E156">INDEX('ESPN Data'!$C$3:$C$226,MATCH(1,('ESPN Data'!$A$3:$A$226='Point Data'!$D156)*('ESPN Data'!$B$3:$B$226='Point Data'!$B156),0))</f>
        <v>Team 7</v>
      </c>
      <c r="F156" s="242" t="str">
        <f>IF(C156&lt;&gt;VLOOKUP($E156,'ESPN Data'!$L$4:$M$19,2,FALSE),"Non Conf", "Conf")</f>
        <v>Non Conf</v>
      </c>
      <c r="G156" s="237">
        <f t="array" aca="1" ref="G156" ca="1">IF('Point Data'!$D156&gt;Standings!$Q$27,"",(COUNTIFS($D$2:$D$225,$D156,$AM$2:$AM$225,"&gt;"&amp;$AM156)+1))</f>
        <v>12</v>
      </c>
      <c r="H156" s="241">
        <f>IF('Point Data'!$D156&gt;Standings!$Q$27,"",VLOOKUP($B156,'ESPN Data'!$L$4:$N$19,3,FALSE))</f>
        <v>12</v>
      </c>
      <c r="I156" s="240">
        <f ca="1">IF('Point Data'!$D156&gt;Standings!$Q$27,"",H156-G156)</f>
        <v>0</v>
      </c>
      <c r="J156" s="241">
        <f ca="1">IF('Point Data'!D156&gt;Standings!$Q$27,"",OFFSET('ESPN Data'!D$3,$A156,0,1,1))</f>
        <v>97.6</v>
      </c>
      <c r="K156" s="239">
        <f ca="1">IF('Point Data'!D156&gt;Standings!$Q$27,"",OFFSET('ESPN Data'!E$3,$A156,0,1,1))</f>
        <v>103.56</v>
      </c>
      <c r="L156" s="240">
        <f ca="1">IF('Point Data'!D156&gt;Standings!$Q$27,"",OFFSET('ESPN Data'!I$3,$A156,0,1,1))</f>
        <v>100</v>
      </c>
      <c r="M156" s="240">
        <f ca="1">IF('Point Data'!D156&gt;Standings!$Q$27,"",OFFSET('ESPN Data'!I$3,$A156,-2,1,1))</f>
        <v>0</v>
      </c>
      <c r="N156" s="240">
        <f ca="1">IF('Point Data'!D156&gt;Standings!$Q$27,"",SUMIFS($M$2:$M$225,$D$2:$D$225,D156,$C$2:$C$225,C156))</f>
        <v>0</v>
      </c>
      <c r="O156" s="240">
        <f ca="1">IF('Point Data'!D156&gt;Standings!$Q$27,"",SUMIFS($L$2:$L$225,$D$2:$D$225,$D156,$C$2:$C$225,$C156))</f>
        <v>800</v>
      </c>
      <c r="P156" s="240">
        <f ca="1">IF('Point Data'!D156&gt;Standings!$Q$27,"",SUMIFS($M$2:$M$225,$D$2:$D$225,D156))</f>
        <v>3</v>
      </c>
      <c r="Q156" s="240">
        <f ca="1">IF('Point Data'!D156&gt;Standings!$Q$27,"",SUMIFS($L$2:$L$225,$D$2:$D$225,$D156))</f>
        <v>1597</v>
      </c>
      <c r="R156" s="240">
        <f ca="1">IF($D156&gt;Standings!$Q$27,"",IF(U156="T",(Z156+0.5)/(D156)*100,(Z156/D156)*100))</f>
        <v>0</v>
      </c>
      <c r="S156" s="239">
        <f ca="1">IF($D156&gt;Standings!$Q$27,"",$J156-$K156)</f>
        <v>-5.960000000000008</v>
      </c>
      <c r="T156" s="239">
        <f ca="1">IF($D156&gt;Standings!$Q$27,"",AVERAGE(OFFSET(S156,(-$D156+1),0,1,1):S156))</f>
        <v>-5.960000000000008</v>
      </c>
      <c r="U156" s="241">
        <f ca="1">IF($D156&gt;Standings!$Q$27,"",IF(J156&gt;K156,1,IF(J156=K156,"T",0)))</f>
        <v>0</v>
      </c>
      <c r="V156" s="241">
        <f ca="1">IF($D156&gt;Standings!$Q$27,"",IF(F156="Conf",0,SUMIFS($U$2:$U$225,$D$2:$D$225,"&lt;="&amp;$D156,$B$2:$B$225,$B156,$F$2:$F$225,"Non Conf")))</f>
        <v>0</v>
      </c>
      <c r="W156" s="241" t="str">
        <f ca="1">IF($D156&gt;Standings!$Q$27,"",$V156&amp;"-"&amp;COUNTIF(OFFSET($F156,(-$D156+1),0,1,1):$F156,"Non Conf")-$V156)</f>
        <v>0-1</v>
      </c>
      <c r="X156" s="241">
        <f>IF($D156&gt;Standings!$Q$27,"",SUMIFS($U$2:$U$225,$D$2:$D$225,"&lt;="&amp;$D156,$B$2:$B$225,$B156,$F$2:$F$225,"Conf"))</f>
        <v>0</v>
      </c>
      <c r="Y156" s="241" t="str">
        <f ca="1">IF($D156&gt;Standings!$Q$27,"",$X156&amp;"-"&amp;COUNTIF(OFFSET($F156,(-$D156+1),0,1,1):$F156,"Conf")-$X156)</f>
        <v>0-0</v>
      </c>
      <c r="Z156" s="241">
        <f ca="1">IF($D156&gt;Standings!$Q$27,"",SUM(OFFSET(U156,(-$D156+1),0,1,1):U156))</f>
        <v>0</v>
      </c>
      <c r="AA156" s="241">
        <f ca="1">IF($D156&gt;Standings!$Q$27,"",IF(U156=1,1,0))</f>
        <v>0</v>
      </c>
      <c r="AB156" s="266">
        <f ca="1">IF($D156&gt;Standings!$Q$27,"",IF(AA156=0,1,0))</f>
        <v>1</v>
      </c>
      <c r="AC156" s="243">
        <f ca="1">IF($D156&gt;Standings!$Q$27,"",SUM(OFFSET(J156,(-$D156+1),0,1,1):J156))</f>
        <v>97.6</v>
      </c>
      <c r="AD156" s="239">
        <f ca="1">IF($D156&gt;Standings!$Q$27,"",SUM(OFFSET(K156,(-$D156+1),0,1,1):K156))</f>
        <v>103.56</v>
      </c>
      <c r="AE156" s="239">
        <f ca="1">IF($D156&gt;Standings!$Q$27,"",$J156-$K156)</f>
        <v>-5.960000000000008</v>
      </c>
      <c r="AF156" s="239">
        <f ca="1">IF($D156&gt;Standings!$Q$27,"",AC156-AD156)</f>
        <v>-5.960000000000008</v>
      </c>
      <c r="AG156" s="244">
        <f ca="1">IF($D156&gt;Standings!$Q$27,"",(COUNTIFS($D$2:$D$225,$D156,$C$2:$C$225,$C156,$AC$2:$AC$225,"&lt;"&amp;$AC156)+1)*0.01)</f>
        <v>0.04</v>
      </c>
      <c r="AH156" s="244">
        <f ca="1">IF($D156&gt;Standings!$Q$27,"",Z156+AG156)</f>
        <v>0.04</v>
      </c>
      <c r="AI156" s="244"/>
      <c r="AJ156" s="241">
        <f t="array" aca="1" ref="AJ156" ca="1">IF($D156&gt;Standings!$Q$27,"",(COUNTIFS($D$2:$D$225,$D156,$C$2:$C$225,$C156,$AM$2:$AM$225,"&gt;"&amp;$AM156)+1))</f>
        <v>5</v>
      </c>
      <c r="AK156" s="241">
        <f t="array" aca="1" ref="AK156" ca="1">IF($D156&gt;Standings!$Q$27,"",IF((COUNTIFS($D$2:$D$225,$D156,$C$2:$C$225,$C156,$AH$2:$AH$225,"&gt;"&amp;$AH156)+1)=2,1,0))</f>
        <v>0</v>
      </c>
      <c r="AL156" s="241">
        <f t="array" aca="1" ref="AL156" ca="1">IF($D156&gt;Standings!$Q$27,"",IF((COUNTIFS($D$2:$D$225,$D156,$C$2:$C$225,$C156,$AH$2:$AH$225,"&gt;"&amp;$AH156)+1)&lt;2,1,0))</f>
        <v>0</v>
      </c>
      <c r="AM156" s="241">
        <f ca="1">IF($D156&gt;Standings!$Q$27,"",IF(AL156=1,200+Z156+(16-AQ156)*0.01+AI156,IF(AK156=1,100+Z156+(16-AQ156)*0.01+AI156,IF(AN156=1,50+Z156+(16-AQ156)*0.01,IF(AO156=1,15+Z156+(16-AQ156)*0.01,Z156+(16-AQ156)*0.01+AI156)))))</f>
        <v>0.05</v>
      </c>
      <c r="AN156" s="241">
        <f ca="1">IF($D156&gt;Standings!$Q$27,"",IF(OR($AK156=1,$AL156=1),"Conf Playoff Spot",COUNTIFS($AL$2:$AL$225,0,$AK$2:$AK$225,0,$C$2:$C$225,$C156,$D$2:$D$225,$D156,$AC$2:$AC$225,"&gt;"&amp;$AC156)+1))</f>
        <v>3</v>
      </c>
      <c r="AO156" s="241">
        <f t="array" aca="1" ref="AO156" ca="1">IF($D156&gt;Standings!$Q$27,"",IF(OR($AK156=1,$AL156=1),"Conf Playoff Spot",COUNTIFS($AK$2:$AK$225,0,$AL$2:$AL$225,0,$D$2:$D$225,$D156,$AH$2:$AH$225,"&gt;"&amp;$AH156)+1))</f>
        <v>8</v>
      </c>
      <c r="AP156" s="241">
        <f t="array" aca="1" ref="AP156" ca="1">IF($D156&gt;Standings!$Q$27,"",(COUNTIFS($D$2:$D$225,$D156,$J$2:$J$225,"&gt;"&amp;$J156)+1))</f>
        <v>11</v>
      </c>
      <c r="AQ156" s="241">
        <f ca="1">IF($D156&gt;Standings!$Q$27,"",(COUNTIFS($D$2:$D$225,$D156,$AC$2:$AC$225,"&gt;"&amp;$AC156)+1))</f>
        <v>11</v>
      </c>
      <c r="AR156" s="241">
        <f ca="1">IF($D156&gt;Standings!$Q$27,"",(COUNTIFS($D$2:$D$225,$D156,$K$2:$K$225,"&gt;"&amp;$K156)+1))</f>
        <v>9</v>
      </c>
      <c r="AS156" s="241">
        <f ca="1">IF($D156&gt;Standings!$Q$27,"",(COUNTIFS($D$2:$D$225,$D156,$AD$2:$AD$225,"&gt;"&amp;$AD156)+1))</f>
        <v>9</v>
      </c>
      <c r="AT156" s="357">
        <f ca="1">IF($D156&gt;Standings!$Q$27,"",SUMIFS($J$2:$J$225,$D$2:$D$225,$D156,$C$2:$C$225,$C156))</f>
        <v>872.36000000000013</v>
      </c>
      <c r="AU156" s="245">
        <f ca="1">IF($D156&gt;Standings!$Q$27,"",SUMIFS($AC$2:$AC$225,$D$2:$D$225,$D156,$C$2:$C$225,$C156))</f>
        <v>872.36000000000013</v>
      </c>
    </row>
    <row r="157" spans="1:47">
      <c r="A157" s="190">
        <f t="shared" si="2"/>
        <v>27</v>
      </c>
      <c r="B157" s="5" t="str">
        <f>'ESPN Data'!$L$15</f>
        <v>Team 12</v>
      </c>
      <c r="C157" s="350" t="str">
        <f>VLOOKUP(B157,'ESPN Data'!$L$4:$M$19,2,FALSE)</f>
        <v>Wardo</v>
      </c>
      <c r="D157" s="400">
        <v>2</v>
      </c>
      <c r="E157" s="267" t="str">
        <f t="array" ref="E157">INDEX('ESPN Data'!$C$3:$C$226,MATCH(1,('ESPN Data'!$A$3:$A$226='Point Data'!$D157)*('ESPN Data'!$B$3:$B$226='Point Data'!$B157),0))</f>
        <v>Team 10</v>
      </c>
      <c r="F157" s="250" t="str">
        <f>IF(C157&lt;&gt;VLOOKUP($E157,'ESPN Data'!$L$4:$M$19,2,FALSE),"Non Conf", "Conf")</f>
        <v>Conf</v>
      </c>
      <c r="G157" s="246">
        <f t="array" aca="1" ref="G157" ca="1">IF('Point Data'!$D157&gt;Standings!$Q$27,"",(COUNTIFS($D$2:$D$225,$D157,$AM$2:$AM$225,"&gt;"&amp;$AM157)+1))</f>
        <v>9</v>
      </c>
      <c r="H157" s="172">
        <f ca="1">IF('Point Data'!$D157&gt;Standings!$Q$27,"",$G156)</f>
        <v>12</v>
      </c>
      <c r="I157" s="249">
        <f ca="1">IF('Point Data'!D157&gt;Standings!$Q$27,"",H157-G157)</f>
        <v>3</v>
      </c>
      <c r="J157" s="172">
        <f ca="1">IF('Point Data'!D157&gt;Standings!$Q$27,"",OFFSET('ESPN Data'!D$3,$A157,0,1,1))</f>
        <v>123.72</v>
      </c>
      <c r="K157" s="248">
        <f ca="1">IF('Point Data'!D157&gt;Standings!$Q$27,"",OFFSET('ESPN Data'!E$3,$A157,0,1,1))</f>
        <v>100.51</v>
      </c>
      <c r="L157" s="249">
        <f ca="1">IF('Point Data'!D157&gt;Standings!$Q$27,"",OFFSET('ESPN Data'!I$3,$A157,0,1,1))</f>
        <v>91</v>
      </c>
      <c r="M157" s="249">
        <f ca="1">IF('Point Data'!D157&gt;Standings!$Q$27,"",OFFSET('ESPN Data'!I$3,$A157,-2,1,1))</f>
        <v>9</v>
      </c>
      <c r="N157" s="249">
        <f ca="1">IF('Point Data'!D157&gt;Standings!$Q$27,"",SUMIFS($M$2:$M$225,$D$2:$D$225,D157,$C$2:$C$225,C157))</f>
        <v>29</v>
      </c>
      <c r="O157" s="249">
        <f ca="1">IF('Point Data'!D157&gt;Standings!$Q$27,"",SUMIFS($L$2:$L$225,$D$2:$D$225,$D157,$C$2:$C$225,$C157))</f>
        <v>771</v>
      </c>
      <c r="P157" s="249">
        <f ca="1">IF('Point Data'!D157&gt;Standings!$Q$27,"",SUMIFS($M$2:$M$225,$D$2:$D$225,D157))</f>
        <v>73</v>
      </c>
      <c r="Q157" s="249">
        <f ca="1">IF('Point Data'!D157&gt;Standings!$Q$27,"",SUMIFS($L$2:$L$225,$D$2:$D$225,D157))</f>
        <v>1524</v>
      </c>
      <c r="R157" s="249">
        <f ca="1">IF($D157&gt;Standings!$Q$27,"",IF(U157="T",(Z157+0.5)/(D157)*100,(Z157/D157)*100))</f>
        <v>50</v>
      </c>
      <c r="S157" s="248">
        <f ca="1">IF($D157&gt;Standings!$Q$27,"",$J157-$K157)</f>
        <v>23.209999999999994</v>
      </c>
      <c r="T157" s="248">
        <f ca="1">IF($D157&gt;Standings!$Q$27,"",AVERAGE(OFFSET(S157,(-$D157+1),0,1,1):S157))</f>
        <v>8.6249999999999929</v>
      </c>
      <c r="U157" s="172">
        <f ca="1">IF($D157&gt;Standings!$Q$27,"",IF(J157&gt;K157,1,IF(J157=K157,"T",0)))</f>
        <v>1</v>
      </c>
      <c r="V157" s="172">
        <f ca="1">IF($D157&gt;Standings!$Q$27,"",IF(F157="Conf",V156,SUMIFS($U$2:$U$225,$D$2:$D$225,"&lt;="&amp;$D157,$B$2:$B$225,$B157,$F$2:$F$225,"Non Conf")))</f>
        <v>0</v>
      </c>
      <c r="W157" s="172" t="str">
        <f ca="1">IF($D157&gt;Standings!$Q$27,"",$V157&amp;"-"&amp;COUNTIF(OFFSET($F157,(-$D157+1),0,1,1):$F157,"Non Conf")-$V157)</f>
        <v>0-1</v>
      </c>
      <c r="X157" s="172">
        <f ca="1">IF($D157&gt;Standings!$Q$27,"",SUMIFS($U$2:$U$225,$D$2:$D$225,"&lt;="&amp;$D157,$B$2:$B$225,$B157,$F$2:$F$225,"Conf"))</f>
        <v>1</v>
      </c>
      <c r="Y157" s="172" t="str">
        <f ca="1">IF($D157&gt;Standings!$Q$27,"",$X157&amp;"-"&amp;COUNTIF(OFFSET($F157,(-$D157+1),0,1,1):$F157,"Conf")-$X157)</f>
        <v>1-0</v>
      </c>
      <c r="Z157" s="172">
        <f ca="1">IF($D157&gt;Standings!$Q$27,"",SUM(OFFSET(U157,(-$D157+1),0,1,1):U157))</f>
        <v>1</v>
      </c>
      <c r="AA157" s="172">
        <f ca="1">IF($D157&gt;Standings!$Q$27,"",IF(U157=1,1+AA156,0))</f>
        <v>1</v>
      </c>
      <c r="AB157" s="267">
        <f ca="1">IF($D157&gt;Standings!$Q$27,"",IF(AA157=0,1+AB156,0))</f>
        <v>0</v>
      </c>
      <c r="AC157" s="251">
        <f ca="1">IF($D157&gt;Standings!$Q$27,"",SUM(OFFSET(J157,(-$D157+1),0,1,1):J157))</f>
        <v>221.32</v>
      </c>
      <c r="AD157" s="248">
        <f ca="1">IF($D157&gt;Standings!$Q$27,"",SUM(OFFSET(K157,(-$D157+1),0,1,1):K157))</f>
        <v>204.07</v>
      </c>
      <c r="AE157" s="248">
        <f ca="1">IF($D157&gt;Standings!$Q$27,"",$J157-$K157)</f>
        <v>23.209999999999994</v>
      </c>
      <c r="AF157" s="248">
        <f ca="1">IF($D157&gt;Standings!$Q$27,"",AC157-AD157)</f>
        <v>17.25</v>
      </c>
      <c r="AG157" s="252">
        <f ca="1">IF($D157&gt;Standings!$Q$27,"",(COUNTIFS($D$2:$D$225,$D157,$C$2:$C$225,$C157,$AC$2:$AC$225,"&lt;"&amp;$AC157)+1)*0.01)</f>
        <v>0.04</v>
      </c>
      <c r="AH157" s="252">
        <f ca="1">IF($D157&gt;Standings!$Q$27,"",Z157+AG157)</f>
        <v>1.04</v>
      </c>
      <c r="AI157" s="252"/>
      <c r="AJ157" s="172">
        <f t="array" aca="1" ref="AJ157" ca="1">IF($D157&gt;Standings!$Q$27,"",(COUNTIFS($D$2:$D$225,$D157,$C$2:$C$225,$C157,$AM$2:$AM$225,"&gt;"&amp;$AM157)+1))</f>
        <v>5</v>
      </c>
      <c r="AK157" s="172">
        <f t="array" aca="1" ref="AK157" ca="1">IF($D157&gt;Standings!$Q$27,"",IF((COUNTIFS($D$2:$D$225,$D157,$C$2:$C$225,$C157,$AH$2:$AH$225,"&gt;"&amp;$AH157)+1)=2,1,0))</f>
        <v>0</v>
      </c>
      <c r="AL157" s="172">
        <f t="array" aca="1" ref="AL157" ca="1">IF($D157&gt;Standings!$Q$27,"",IF((COUNTIFS($D$2:$D$225,$D157,$C$2:$C$225,$C157,$AH$2:$AH$225,"&gt;"&amp;$AH157)+1)&lt;2,1,0))</f>
        <v>0</v>
      </c>
      <c r="AM157" s="172">
        <f ca="1">IF($D157&gt;Standings!$Q$27,"",IF(AL157=1,200+Z157+(16-AQ157)*0.01+AI157,IF(AK157=1,100+Z157+(16-AQ157)*0.01+AI157,IF(AN157=1,50+Z157+(16-AQ157)*0.01,IF(AO157=1,15+Z157+(16-AQ157)*0.01,Z157+(16-AQ157)*0.01+AI157)))))</f>
        <v>1.0900000000000001</v>
      </c>
      <c r="AN157" s="172">
        <f ca="1">IF($D157&gt;Standings!$Q$27,"",IF(OR($AK157=1,$AL157=1),"Conf Playoff Spot",COUNTIFS($AL$2:$AL$225,0,$AK$2:$AK$225,0,$C$2:$C$225,$C157,$D$2:$D$225,$D157,$AC$2:$AC$225,"&gt;"&amp;$AC157)+1))</f>
        <v>3</v>
      </c>
      <c r="AO157" s="172">
        <f t="array" aca="1" ref="AO157" ca="1">IF($D157&gt;Standings!$Q$27,"",IF(OR($AK157=1,$AL157=1),"Conf Playoff Spot",COUNTIFS($AK$2:$AK$225,0,$AL$2:$AL$225,0,$D$2:$D$225,$D157,$AH$2:$AH$225,"&gt;"&amp;$AH157)+1))</f>
        <v>5</v>
      </c>
      <c r="AP157" s="172">
        <f t="array" aca="1" ref="AP157" ca="1">IF($D157&gt;Standings!$Q$27,"",(COUNTIFS($D$2:$D$225,$D157,$J$2:$J$225,"&gt;"&amp;$J157)+1))</f>
        <v>4</v>
      </c>
      <c r="AQ157" s="172">
        <f ca="1">IF($D157&gt;Standings!$Q$27,"",(COUNTIFS($D$2:$D$225,$D157,$AC$2:$AC$225,"&gt;"&amp;$AC157)+1))</f>
        <v>7</v>
      </c>
      <c r="AR157" s="172">
        <f ca="1">IF($D157&gt;Standings!$Q$27,"",(COUNTIFS($D$2:$D$225,$D157,$K$2:$K$225,"&gt;"&amp;$K157)+1))</f>
        <v>12</v>
      </c>
      <c r="AS157" s="172">
        <f ca="1">IF($D157&gt;Standings!$Q$27,"",(COUNTIFS($D$2:$D$225,$D157,$AD$2:$AD$225,"&gt;"&amp;$AD157)+1))</f>
        <v>13</v>
      </c>
      <c r="AT157" s="354">
        <f ca="1">IF($D157&gt;Standings!$Q$27,"",SUMIFS($J$2:$J$225,$D$2:$D$225,$D157,$C$2:$C$225,$C157))</f>
        <v>937.28000000000009</v>
      </c>
      <c r="AU157" s="253">
        <f ca="1">IF($D157&gt;Standings!$Q$27,"",SUMIFS($AC$2:$AC$225,$D$2:$D$225,$D157,$C$2:$C$225,$C157))</f>
        <v>1809.64</v>
      </c>
    </row>
    <row r="158" spans="1:47">
      <c r="A158" s="190">
        <f t="shared" si="2"/>
        <v>43</v>
      </c>
      <c r="B158" s="5" t="str">
        <f>'ESPN Data'!$L$15</f>
        <v>Team 12</v>
      </c>
      <c r="C158" s="350" t="str">
        <f>VLOOKUP(B158,'ESPN Data'!$L$4:$M$19,2,FALSE)</f>
        <v>Wardo</v>
      </c>
      <c r="D158" s="400">
        <v>3</v>
      </c>
      <c r="E158" s="267" t="str">
        <f t="array" ref="E158">INDEX('ESPN Data'!$C$3:$C$226,MATCH(1,('ESPN Data'!$A$3:$A$226='Point Data'!$D158)*('ESPN Data'!$B$3:$B$226='Point Data'!$B158),0))</f>
        <v>Team 4</v>
      </c>
      <c r="F158" s="250" t="str">
        <f>IF(C158&lt;&gt;VLOOKUP($E158,'ESPN Data'!$L$4:$M$19,2,FALSE),"Non Conf", "Conf")</f>
        <v>Non Conf</v>
      </c>
      <c r="G158" s="246">
        <f t="array" aca="1" ref="G158" ca="1">IF('Point Data'!$D158&gt;Standings!$Q$27,"",(COUNTIFS($D$2:$D$225,$D158,$AM$2:$AM$225,"&gt;"&amp;$AM158)+1))</f>
        <v>13</v>
      </c>
      <c r="H158" s="172">
        <f ca="1">IF('Point Data'!$D158&gt;Standings!$Q$27,"",$G157)</f>
        <v>9</v>
      </c>
      <c r="I158" s="249">
        <f ca="1">IF('Point Data'!D158&gt;Standings!$Q$27,"",H158-G158)</f>
        <v>-4</v>
      </c>
      <c r="J158" s="172">
        <f ca="1">IF('Point Data'!D158&gt;Standings!$Q$27,"",OFFSET('ESPN Data'!D$3,$A158,0,1,1))</f>
        <v>84.94</v>
      </c>
      <c r="K158" s="248">
        <f ca="1">IF('Point Data'!D158&gt;Standings!$Q$27,"",OFFSET('ESPN Data'!E$3,$A158,0,1,1))</f>
        <v>121.5</v>
      </c>
      <c r="L158" s="249">
        <f ca="1">IF('Point Data'!D158&gt;Standings!$Q$27,"",OFFSET('ESPN Data'!I$3,$A158,0,1,1))</f>
        <v>51</v>
      </c>
      <c r="M158" s="249">
        <f ca="1">IF('Point Data'!D158&gt;Standings!$Q$27,"",OFFSET('ESPN Data'!I$3,$A158,-2,1,1))</f>
        <v>40</v>
      </c>
      <c r="N158" s="249">
        <f ca="1">IF('Point Data'!D158&gt;Standings!$Q$27,"",SUMIFS($M$2:$M$225,$D$2:$D$225,D158,$C$2:$C$225,C158))</f>
        <v>185</v>
      </c>
      <c r="O158" s="249">
        <f ca="1">IF('Point Data'!D158&gt;Standings!$Q$27,"",SUMIFS($L$2:$L$225,$D$2:$D$225,$D158,$C$2:$C$225,$C158))</f>
        <v>586</v>
      </c>
      <c r="P158" s="249">
        <f ca="1">IF('Point Data'!D158&gt;Standings!$Q$27,"",SUMIFS($M$2:$M$225,$D$2:$D$225,D158))</f>
        <v>210</v>
      </c>
      <c r="Q158" s="249">
        <f ca="1">IF('Point Data'!D158&gt;Standings!$Q$27,"",SUMIFS($L$2:$L$225,$D$2:$D$225,D158))</f>
        <v>1314</v>
      </c>
      <c r="R158" s="249">
        <f ca="1">IF($D158&gt;Standings!$Q$27,"",IF(U158="T",(Z158+0.5)/(D158)*100,(Z158/D158)*100))</f>
        <v>33.333333333333329</v>
      </c>
      <c r="S158" s="248">
        <f ca="1">IF($D158&gt;Standings!$Q$27,"",$J158-$K158)</f>
        <v>-36.56</v>
      </c>
      <c r="T158" s="248">
        <f ca="1">IF($D158&gt;Standings!$Q$27,"",AVERAGE(OFFSET(S158,(-$D158+1),0,1,1):S158))</f>
        <v>-6.4366666666666719</v>
      </c>
      <c r="U158" s="172">
        <f ca="1">IF($D158&gt;Standings!$Q$27,"",IF(J158&gt;K158,1,IF(J158=K158,"T",0)))</f>
        <v>0</v>
      </c>
      <c r="V158" s="172">
        <f ca="1">IF($D158&gt;Standings!$Q$27,"",IF(F158="Conf",V157,SUMIFS($U$2:$U$225,$D$2:$D$225,"&lt;="&amp;$D158,$B$2:$B$225,$B158,$F$2:$F$225,"Non Conf")))</f>
        <v>0</v>
      </c>
      <c r="W158" s="172" t="str">
        <f ca="1">IF($D158&gt;Standings!$Q$27,"",$V158&amp;"-"&amp;COUNTIF(OFFSET($F158,(-$D158+1),0,1,1):$F158,"Non Conf")-$V158)</f>
        <v>0-2</v>
      </c>
      <c r="X158" s="172">
        <f ca="1">IF($D158&gt;Standings!$Q$27,"",SUMIFS($U$2:$U$225,$D$2:$D$225,"&lt;="&amp;$D158,$B$2:$B$225,$B158,$F$2:$F$225,"Conf"))</f>
        <v>1</v>
      </c>
      <c r="Y158" s="172" t="str">
        <f ca="1">IF($D158&gt;Standings!$Q$27,"",$X158&amp;"-"&amp;COUNTIF(OFFSET($F158,(-$D158+1),0,1,1):$F158,"Conf")-$X158)</f>
        <v>1-0</v>
      </c>
      <c r="Z158" s="172">
        <f ca="1">IF($D158&gt;Standings!$Q$27,"",SUM(OFFSET(U158,(-$D158+1),0,1,1):U158))</f>
        <v>1</v>
      </c>
      <c r="AA158" s="172">
        <f ca="1">IF($D158&gt;Standings!$Q$27,"",IF(U158=1,1+AA157,0))</f>
        <v>0</v>
      </c>
      <c r="AB158" s="267">
        <f ca="1">IF($D158&gt;Standings!$Q$27,"",IF(AA158=0,1+AB157,0))</f>
        <v>1</v>
      </c>
      <c r="AC158" s="251">
        <f ca="1">IF($D158&gt;Standings!$Q$27,"",SUM(OFFSET(J158,(-$D158+1),0,1,1):J158))</f>
        <v>306.26</v>
      </c>
      <c r="AD158" s="248">
        <f ca="1">IF($D158&gt;Standings!$Q$27,"",SUM(OFFSET(K158,(-$D158+1),0,1,1):K158))</f>
        <v>325.57</v>
      </c>
      <c r="AE158" s="248">
        <f ca="1">IF($D158&gt;Standings!$Q$27,"",$J158-$K158)</f>
        <v>-36.56</v>
      </c>
      <c r="AF158" s="248">
        <f ca="1">IF($D158&gt;Standings!$Q$27,"",AC158-AD158)</f>
        <v>-19.310000000000002</v>
      </c>
      <c r="AG158" s="252">
        <f ca="1">IF($D158&gt;Standings!$Q$27,"",(COUNTIFS($D$2:$D$225,$D158,$C$2:$C$225,$C158,$AC$2:$AC$225,"&lt;"&amp;$AC158)+1)*0.01)</f>
        <v>0.03</v>
      </c>
      <c r="AH158" s="252">
        <f ca="1">IF($D158&gt;Standings!$Q$27,"",Z158+AG158)</f>
        <v>1.03</v>
      </c>
      <c r="AI158" s="252"/>
      <c r="AJ158" s="172">
        <f t="array" aca="1" ref="AJ158" ca="1">IF($D158&gt;Standings!$Q$27,"",(COUNTIFS($D$2:$D$225,$D158,$C$2:$C$225,$C158,$AM$2:$AM$225,"&gt;"&amp;$AM158)+1))</f>
        <v>6</v>
      </c>
      <c r="AK158" s="172">
        <f t="array" aca="1" ref="AK158" ca="1">IF($D158&gt;Standings!$Q$27,"",IF((COUNTIFS($D$2:$D$225,$D158,$C$2:$C$225,$C158,$AH$2:$AH$225,"&gt;"&amp;$AH158)+1)=2,1,0))</f>
        <v>0</v>
      </c>
      <c r="AL158" s="172">
        <f t="array" aca="1" ref="AL158" ca="1">IF($D158&gt;Standings!$Q$27,"",IF((COUNTIFS($D$2:$D$225,$D158,$C$2:$C$225,$C158,$AH$2:$AH$225,"&gt;"&amp;$AH158)+1)&lt;2,1,0))</f>
        <v>0</v>
      </c>
      <c r="AM158" s="172">
        <f ca="1">IF($D158&gt;Standings!$Q$27,"",IF(AL158=1,200+Z158+(16-AQ158)*0.01+AI158,IF(AK158=1,100+Z158+(16-AQ158)*0.01+AI158,IF(AN158=1,50+Z158+(16-AQ158)*0.01,IF(AO158=1,15+Z158+(16-AQ158)*0.01,Z158+(16-AQ158)*0.01+AI158)))))</f>
        <v>1.05</v>
      </c>
      <c r="AN158" s="172">
        <f ca="1">IF($D158&gt;Standings!$Q$27,"",IF(OR($AK158=1,$AL158=1),"Conf Playoff Spot",COUNTIFS($AL$2:$AL$225,0,$AK$2:$AK$225,0,$C$2:$C$225,$C158,$D$2:$D$225,$D158,$AC$2:$AC$225,"&gt;"&amp;$AC158)+1))</f>
        <v>4</v>
      </c>
      <c r="AO158" s="172">
        <f t="array" aca="1" ref="AO158" ca="1">IF($D158&gt;Standings!$Q$27,"",IF(OR($AK158=1,$AL158=1),"Conf Playoff Spot",COUNTIFS($AK$2:$AK$225,0,$AL$2:$AL$225,0,$D$2:$D$225,$D158,$AH$2:$AH$225,"&gt;"&amp;$AH158)+1))</f>
        <v>9</v>
      </c>
      <c r="AP158" s="172">
        <f t="array" aca="1" ref="AP158" ca="1">IF($D158&gt;Standings!$Q$27,"",(COUNTIFS($D$2:$D$225,$D158,$J$2:$J$225,"&gt;"&amp;$J158)+1))</f>
        <v>15</v>
      </c>
      <c r="AQ158" s="172">
        <f ca="1">IF($D158&gt;Standings!$Q$27,"",(COUNTIFS($D$2:$D$225,$D158,$AC$2:$AC$225,"&gt;"&amp;$AC158)+1))</f>
        <v>11</v>
      </c>
      <c r="AR158" s="172">
        <f ca="1">IF($D158&gt;Standings!$Q$27,"",(COUNTIFS($D$2:$D$225,$D158,$K$2:$K$225,"&gt;"&amp;$K158)+1))</f>
        <v>5</v>
      </c>
      <c r="AS158" s="172">
        <f ca="1">IF($D158&gt;Standings!$Q$27,"",(COUNTIFS($D$2:$D$225,$D158,$AD$2:$AD$225,"&gt;"&amp;$AD158)+1))</f>
        <v>9</v>
      </c>
      <c r="AT158" s="354">
        <f ca="1">IF($D158&gt;Standings!$Q$27,"",SUMIFS($J$2:$J$225,$D$2:$D$225,$D158,$C$2:$C$225,$C158))</f>
        <v>832.04000000000008</v>
      </c>
      <c r="AU158" s="253">
        <f ca="1">IF($D158&gt;Standings!$Q$27,"",SUMIFS($AC$2:$AC$225,$D$2:$D$225,$D158,$C$2:$C$225,$C158))</f>
        <v>2641.68</v>
      </c>
    </row>
    <row r="159" spans="1:47">
      <c r="A159" s="190">
        <f t="shared" si="2"/>
        <v>59</v>
      </c>
      <c r="B159" s="5" t="str">
        <f>'ESPN Data'!$L$15</f>
        <v>Team 12</v>
      </c>
      <c r="C159" s="350" t="str">
        <f>VLOOKUP(B159,'ESPN Data'!$L$4:$M$19,2,FALSE)</f>
        <v>Wardo</v>
      </c>
      <c r="D159" s="400">
        <v>4</v>
      </c>
      <c r="E159" s="267" t="str">
        <f t="array" ref="E159">INDEX('ESPN Data'!$C$3:$C$226,MATCH(1,('ESPN Data'!$A$3:$A$226='Point Data'!$D159)*('ESPN Data'!$B$3:$B$226='Point Data'!$B159),0))</f>
        <v>Team 8</v>
      </c>
      <c r="F159" s="250" t="str">
        <f>IF(C159&lt;&gt;VLOOKUP($E159,'ESPN Data'!$L$4:$M$19,2,FALSE),"Non Conf", "Conf")</f>
        <v>Non Conf</v>
      </c>
      <c r="G159" s="246">
        <f t="array" aca="1" ref="G159" ca="1">IF('Point Data'!$D159&gt;Standings!$Q$27,"",(COUNTIFS($D$2:$D$225,$D159,$AM$2:$AM$225,"&gt;"&amp;$AM159)+1))</f>
        <v>12</v>
      </c>
      <c r="H159" s="172">
        <f ca="1">IF('Point Data'!$D159&gt;Standings!$Q$27,"",$G158)</f>
        <v>13</v>
      </c>
      <c r="I159" s="249">
        <f ca="1">IF('Point Data'!D159&gt;Standings!$Q$27,"",H159-G159)</f>
        <v>1</v>
      </c>
      <c r="J159" s="172">
        <f ca="1">IF('Point Data'!D159&gt;Standings!$Q$27,"",OFFSET('ESPN Data'!D$3,$A159,0,1,1))</f>
        <v>108.26</v>
      </c>
      <c r="K159" s="248">
        <f ca="1">IF('Point Data'!D159&gt;Standings!$Q$27,"",OFFSET('ESPN Data'!E$3,$A159,0,1,1))</f>
        <v>115.05</v>
      </c>
      <c r="L159" s="249">
        <f ca="1">IF('Point Data'!D159&gt;Standings!$Q$27,"",OFFSET('ESPN Data'!I$3,$A159,0,1,1))</f>
        <v>51</v>
      </c>
      <c r="M159" s="249">
        <f ca="1">IF('Point Data'!D159&gt;Standings!$Q$27,"",OFFSET('ESPN Data'!I$3,$A159,-2,1,1))</f>
        <v>0</v>
      </c>
      <c r="N159" s="249">
        <f ca="1">IF('Point Data'!D159&gt;Standings!$Q$27,"",SUMIFS($M$2:$M$225,$D$2:$D$225,D159,$C$2:$C$225,C159))</f>
        <v>10</v>
      </c>
      <c r="O159" s="249">
        <f ca="1">IF('Point Data'!D159&gt;Standings!$Q$27,"",SUMIFS($L$2:$L$225,$D$2:$D$225,$D159,$C$2:$C$225,$C159))</f>
        <v>576</v>
      </c>
      <c r="P159" s="249">
        <f ca="1">IF('Point Data'!D159&gt;Standings!$Q$27,"",SUMIFS($M$2:$M$225,$D$2:$D$225,D159))</f>
        <v>171</v>
      </c>
      <c r="Q159" s="249">
        <f ca="1">IF('Point Data'!D159&gt;Standings!$Q$27,"",SUMIFS($L$2:$L$225,$D$2:$D$225,D159))</f>
        <v>1143</v>
      </c>
      <c r="R159" s="249">
        <f ca="1">IF($D159&gt;Standings!$Q$27,"",IF(U159="T",(Z159+0.5)/(D159)*100,(Z159/D159)*100))</f>
        <v>25</v>
      </c>
      <c r="S159" s="248">
        <f ca="1">IF($D159&gt;Standings!$Q$27,"",$J159-$K159)</f>
        <v>-6.789999999999992</v>
      </c>
      <c r="T159" s="248">
        <f ca="1">IF($D159&gt;Standings!$Q$27,"",AVERAGE(OFFSET(S159,(-$D159+1),0,1,1):S159))</f>
        <v>-6.5250000000000021</v>
      </c>
      <c r="U159" s="172">
        <f ca="1">IF($D159&gt;Standings!$Q$27,"",IF(J159&gt;K159,1,IF(J159=K159,"T",0)))</f>
        <v>0</v>
      </c>
      <c r="V159" s="172">
        <f ca="1">IF($D159&gt;Standings!$Q$27,"",IF(F159="Conf",V158,SUMIFS($U$2:$U$225,$D$2:$D$225,"&lt;="&amp;$D159,$B$2:$B$225,$B159,$F$2:$F$225,"Non Conf")))</f>
        <v>0</v>
      </c>
      <c r="W159" s="172" t="str">
        <f ca="1">IF($D159&gt;Standings!$Q$27,"",$V159&amp;"-"&amp;COUNTIF(OFFSET($F159,(-$D159+1),0,1,1):$F159,"Non Conf")-$V159)</f>
        <v>0-3</v>
      </c>
      <c r="X159" s="172">
        <f ca="1">IF($D159&gt;Standings!$Q$27,"",SUMIFS($U$2:$U$225,$D$2:$D$225,"&lt;="&amp;$D159,$B$2:$B$225,$B159,$F$2:$F$225,"Conf"))</f>
        <v>1</v>
      </c>
      <c r="Y159" s="172" t="str">
        <f ca="1">IF($D159&gt;Standings!$Q$27,"",$X159&amp;"-"&amp;COUNTIF(OFFSET($F159,(-$D159+1),0,1,1):$F159,"Conf")-$X159)</f>
        <v>1-0</v>
      </c>
      <c r="Z159" s="172">
        <f ca="1">IF($D159&gt;Standings!$Q$27,"",SUM(OFFSET(U159,(-$D159+1),0,1,1):U159))</f>
        <v>1</v>
      </c>
      <c r="AA159" s="172">
        <f ca="1">IF($D159&gt;Standings!$Q$27,"",IF(U159=1,1+AA158,0))</f>
        <v>0</v>
      </c>
      <c r="AB159" s="267">
        <f ca="1">IF($D159&gt;Standings!$Q$27,"",IF(AA159=0,1+AB158,0))</f>
        <v>2</v>
      </c>
      <c r="AC159" s="251">
        <f ca="1">IF($D159&gt;Standings!$Q$27,"",SUM(OFFSET(J159,(-$D159+1),0,1,1):J159))</f>
        <v>414.52</v>
      </c>
      <c r="AD159" s="248">
        <f ca="1">IF($D159&gt;Standings!$Q$27,"",SUM(OFFSET(K159,(-$D159+1),0,1,1):K159))</f>
        <v>440.62</v>
      </c>
      <c r="AE159" s="248">
        <f ca="1">IF($D159&gt;Standings!$Q$27,"",$J159-$K159)</f>
        <v>-6.789999999999992</v>
      </c>
      <c r="AF159" s="248">
        <f ca="1">IF($D159&gt;Standings!$Q$27,"",AC159-AD159)</f>
        <v>-26.100000000000023</v>
      </c>
      <c r="AG159" s="252">
        <f ca="1">IF($D159&gt;Standings!$Q$27,"",(COUNTIFS($D$2:$D$225,$D159,$C$2:$C$225,$C159,$AC$2:$AC$225,"&lt;"&amp;$AC159)+1)*0.01)</f>
        <v>0.04</v>
      </c>
      <c r="AH159" s="252">
        <f ca="1">IF($D159&gt;Standings!$Q$27,"",Z159+AG159)</f>
        <v>1.04</v>
      </c>
      <c r="AI159" s="252"/>
      <c r="AJ159" s="172">
        <f t="array" aca="1" ref="AJ159" ca="1">IF($D159&gt;Standings!$Q$27,"",(COUNTIFS($D$2:$D$225,$D159,$C$2:$C$225,$C159,$AM$2:$AM$225,"&gt;"&amp;$AM159)+1))</f>
        <v>6</v>
      </c>
      <c r="AK159" s="172">
        <f t="array" aca="1" ref="AK159" ca="1">IF($D159&gt;Standings!$Q$27,"",IF((COUNTIFS($D$2:$D$225,$D159,$C$2:$C$225,$C159,$AH$2:$AH$225,"&gt;"&amp;$AH159)+1)=2,1,0))</f>
        <v>0</v>
      </c>
      <c r="AL159" s="172">
        <f t="array" aca="1" ref="AL159" ca="1">IF($D159&gt;Standings!$Q$27,"",IF((COUNTIFS($D$2:$D$225,$D159,$C$2:$C$225,$C159,$AH$2:$AH$225,"&gt;"&amp;$AH159)+1)&lt;2,1,0))</f>
        <v>0</v>
      </c>
      <c r="AM159" s="172">
        <f ca="1">IF($D159&gt;Standings!$Q$27,"",IF(AL159=1,200+Z159+(16-AQ159)*0.01+AI159,IF(AK159=1,100+Z159+(16-AQ159)*0.01+AI159,IF(AN159=1,50+Z159+(16-AQ159)*0.01,IF(AO159=1,15+Z159+(16-AQ159)*0.01,Z159+(16-AQ159)*0.01+AI159)))))</f>
        <v>1.06</v>
      </c>
      <c r="AN159" s="172">
        <f ca="1">IF($D159&gt;Standings!$Q$27,"",IF(OR($AK159=1,$AL159=1),"Conf Playoff Spot",COUNTIFS($AL$2:$AL$225,0,$AK$2:$AK$225,0,$C$2:$C$225,$C159,$D$2:$D$225,$D159,$AC$2:$AC$225,"&gt;"&amp;$AC159)+1))</f>
        <v>3</v>
      </c>
      <c r="AO159" s="172">
        <f t="array" aca="1" ref="AO159" ca="1">IF($D159&gt;Standings!$Q$27,"",IF(OR($AK159=1,$AL159=1),"Conf Playoff Spot",COUNTIFS($AK$2:$AK$225,0,$AL$2:$AL$225,0,$D$2:$D$225,$D159,$AH$2:$AH$225,"&gt;"&amp;$AH159)+1))</f>
        <v>8</v>
      </c>
      <c r="AP159" s="172">
        <f t="array" aca="1" ref="AP159" ca="1">IF($D159&gt;Standings!$Q$27,"",(COUNTIFS($D$2:$D$225,$D159,$J$2:$J$225,"&gt;"&amp;$J159)+1))</f>
        <v>8</v>
      </c>
      <c r="AQ159" s="172">
        <f ca="1">IF($D159&gt;Standings!$Q$27,"",(COUNTIFS($D$2:$D$225,$D159,$AC$2:$AC$225,"&gt;"&amp;$AC159)+1))</f>
        <v>10</v>
      </c>
      <c r="AR159" s="172">
        <f ca="1">IF($D159&gt;Standings!$Q$27,"",(COUNTIFS($D$2:$D$225,$D159,$K$2:$K$225,"&gt;"&amp;$K159)+1))</f>
        <v>4</v>
      </c>
      <c r="AS159" s="172">
        <f ca="1">IF($D159&gt;Standings!$Q$27,"",(COUNTIFS($D$2:$D$225,$D159,$AD$2:$AD$225,"&gt;"&amp;$AD159)+1))</f>
        <v>5</v>
      </c>
      <c r="AT159" s="354">
        <f ca="1">IF($D159&gt;Standings!$Q$27,"",SUMIFS($J$2:$J$225,$D$2:$D$225,$D159,$C$2:$C$225,$C159))</f>
        <v>827.84</v>
      </c>
      <c r="AU159" s="253">
        <f ca="1">IF($D159&gt;Standings!$Q$27,"",SUMIFS($AC$2:$AC$225,$D$2:$D$225,$D159,$C$2:$C$225,$C159))</f>
        <v>3469.52</v>
      </c>
    </row>
    <row r="160" spans="1:47">
      <c r="A160" s="190">
        <f t="shared" si="2"/>
        <v>75</v>
      </c>
      <c r="B160" s="5" t="str">
        <f>'ESPN Data'!$L$15</f>
        <v>Team 12</v>
      </c>
      <c r="C160" s="350" t="str">
        <f>VLOOKUP(B160,'ESPN Data'!$L$4:$M$19,2,FALSE)</f>
        <v>Wardo</v>
      </c>
      <c r="D160" s="400">
        <v>5</v>
      </c>
      <c r="E160" s="267" t="str">
        <f t="array" ref="E160">INDEX('ESPN Data'!$C$3:$C$226,MATCH(1,('ESPN Data'!$A$3:$A$226='Point Data'!$D160)*('ESPN Data'!$B$3:$B$226='Point Data'!$B160),0))</f>
        <v>Team 6</v>
      </c>
      <c r="F160" s="250" t="str">
        <f>IF(C160&lt;&gt;VLOOKUP($E160,'ESPN Data'!$L$4:$M$19,2,FALSE),"Non Conf", "Conf")</f>
        <v>Non Conf</v>
      </c>
      <c r="G160" s="246">
        <f t="array" aca="1" ref="G160" ca="1">IF('Point Data'!$D160&gt;Standings!$Q$27,"",(COUNTIFS($D$2:$D$225,$D160,$AM$2:$AM$225,"&gt;"&amp;$AM160)+1))</f>
        <v>14</v>
      </c>
      <c r="H160" s="172">
        <f ca="1">IF('Point Data'!$D160&gt;Standings!$Q$27,"",$G159)</f>
        <v>12</v>
      </c>
      <c r="I160" s="249">
        <f ca="1">IF('Point Data'!D160&gt;Standings!$Q$27,"",H160-G160)</f>
        <v>-2</v>
      </c>
      <c r="J160" s="172">
        <f ca="1">IF('Point Data'!D160&gt;Standings!$Q$27,"",OFFSET('ESPN Data'!D$3,$A160,0,1,1))</f>
        <v>84.54</v>
      </c>
      <c r="K160" s="248">
        <f ca="1">IF('Point Data'!D160&gt;Standings!$Q$27,"",OFFSET('ESPN Data'!E$3,$A160,0,1,1))</f>
        <v>92.34</v>
      </c>
      <c r="L160" s="249">
        <f ca="1">IF('Point Data'!D160&gt;Standings!$Q$27,"",OFFSET('ESPN Data'!I$3,$A160,0,1,1))</f>
        <v>51</v>
      </c>
      <c r="M160" s="249">
        <f ca="1">IF('Point Data'!D160&gt;Standings!$Q$27,"",OFFSET('ESPN Data'!I$3,$A160,-2,1,1))</f>
        <v>0</v>
      </c>
      <c r="N160" s="249">
        <f ca="1">IF('Point Data'!D160&gt;Standings!$Q$27,"",SUMIFS($M$2:$M$225,$D$2:$D$225,D160,$C$2:$C$225,C160))</f>
        <v>39</v>
      </c>
      <c r="O160" s="249">
        <f ca="1">IF('Point Data'!D160&gt;Standings!$Q$27,"",SUMIFS($L$2:$L$225,$D$2:$D$225,$D160,$C$2:$C$225,$C160))</f>
        <v>537</v>
      </c>
      <c r="P160" s="249">
        <f ca="1">IF('Point Data'!D160&gt;Standings!$Q$27,"",SUMIFS($M$2:$M$225,$D$2:$D$225,D160))</f>
        <v>104</v>
      </c>
      <c r="Q160" s="249">
        <f ca="1">IF('Point Data'!D160&gt;Standings!$Q$27,"",SUMIFS($L$2:$L$225,$D$2:$D$225,D160))</f>
        <v>1039</v>
      </c>
      <c r="R160" s="249">
        <f ca="1">IF($D160&gt;Standings!$Q$27,"",IF(U160="T",(Z160+0.5)/(D160)*100,(Z160/D160)*100))</f>
        <v>20</v>
      </c>
      <c r="S160" s="248">
        <f ca="1">IF($D160&gt;Standings!$Q$27,"",$J160-$K160)</f>
        <v>-7.7999999999999972</v>
      </c>
      <c r="T160" s="248">
        <f ca="1">IF($D160&gt;Standings!$Q$27,"",AVERAGE(OFFSET(S160,(-$D160+1),0,1,1):S160))</f>
        <v>-6.7800000000000011</v>
      </c>
      <c r="U160" s="172">
        <f ca="1">IF($D160&gt;Standings!$Q$27,"",IF(J160&gt;K160,1,IF(J160=K160,"T",0)))</f>
        <v>0</v>
      </c>
      <c r="V160" s="172">
        <f ca="1">IF($D160&gt;Standings!$Q$27,"",IF(F160="Conf",V159,SUMIFS($U$2:$U$225,$D$2:$D$225,"&lt;="&amp;$D160,$B$2:$B$225,$B160,$F$2:$F$225,"Non Conf")))</f>
        <v>0</v>
      </c>
      <c r="W160" s="172" t="str">
        <f ca="1">IF($D160&gt;Standings!$Q$27,"",$V160&amp;"-"&amp;COUNTIF(OFFSET($F160,(-$D160+1),0,1,1):$F160,"Non Conf")-$V160)</f>
        <v>0-4</v>
      </c>
      <c r="X160" s="172">
        <f ca="1">IF($D160&gt;Standings!$Q$27,"",SUMIFS($U$2:$U$225,$D$2:$D$225,"&lt;="&amp;$D160,$B$2:$B$225,$B160,$F$2:$F$225,"Conf"))</f>
        <v>1</v>
      </c>
      <c r="Y160" s="172" t="str">
        <f ca="1">IF($D160&gt;Standings!$Q$27,"",$X160&amp;"-"&amp;COUNTIF(OFFSET($F160,(-$D160+1),0,1,1):$F160,"Conf")-$X160)</f>
        <v>1-0</v>
      </c>
      <c r="Z160" s="172">
        <f ca="1">IF($D160&gt;Standings!$Q$27,"",SUM(OFFSET(U160,(-$D160+1),0,1,1):U160))</f>
        <v>1</v>
      </c>
      <c r="AA160" s="172">
        <f ca="1">IF($D160&gt;Standings!$Q$27,"",IF(U160=1,1+AA159,0))</f>
        <v>0</v>
      </c>
      <c r="AB160" s="267">
        <f ca="1">IF($D160&gt;Standings!$Q$27,"",IF(AA160=0,1+AB159,0))</f>
        <v>3</v>
      </c>
      <c r="AC160" s="251">
        <f ca="1">IF($D160&gt;Standings!$Q$27,"",SUM(OFFSET(J160,(-$D160+1),0,1,1):J160))</f>
        <v>499.06</v>
      </c>
      <c r="AD160" s="248">
        <f ca="1">IF($D160&gt;Standings!$Q$27,"",SUM(OFFSET(K160,(-$D160+1),0,1,1):K160))</f>
        <v>532.96</v>
      </c>
      <c r="AE160" s="248">
        <f ca="1">IF($D160&gt;Standings!$Q$27,"",$J160-$K160)</f>
        <v>-7.7999999999999972</v>
      </c>
      <c r="AF160" s="248">
        <f ca="1">IF($D160&gt;Standings!$Q$27,"",AC160-AD160)</f>
        <v>-33.900000000000034</v>
      </c>
      <c r="AG160" s="252">
        <f ca="1">IF($D160&gt;Standings!$Q$27,"",(COUNTIFS($D$2:$D$225,$D160,$C$2:$C$225,$C160,$AC$2:$AC$225,"&lt;"&amp;$AC160)+1)*0.01)</f>
        <v>0.02</v>
      </c>
      <c r="AH160" s="252">
        <f ca="1">IF($D160&gt;Standings!$Q$27,"",Z160+AG160)</f>
        <v>1.02</v>
      </c>
      <c r="AI160" s="252"/>
      <c r="AJ160" s="172">
        <f t="array" aca="1" ref="AJ160" ca="1">IF($D160&gt;Standings!$Q$27,"",(COUNTIFS($D$2:$D$225,$D160,$C$2:$C$225,$C160,$AM$2:$AM$225,"&gt;"&amp;$AM160)+1))</f>
        <v>7</v>
      </c>
      <c r="AK160" s="172">
        <f t="array" aca="1" ref="AK160" ca="1">IF($D160&gt;Standings!$Q$27,"",IF((COUNTIFS($D$2:$D$225,$D160,$C$2:$C$225,$C160,$AH$2:$AH$225,"&gt;"&amp;$AH160)+1)=2,1,0))</f>
        <v>0</v>
      </c>
      <c r="AL160" s="172">
        <f t="array" aca="1" ref="AL160" ca="1">IF($D160&gt;Standings!$Q$27,"",IF((COUNTIFS($D$2:$D$225,$D160,$C$2:$C$225,$C160,$AH$2:$AH$225,"&gt;"&amp;$AH160)+1)&lt;2,1,0))</f>
        <v>0</v>
      </c>
      <c r="AM160" s="172">
        <f ca="1">IF($D160&gt;Standings!$Q$27,"",IF(AL160=1,200+Z160+(16-AQ160)*0.01+AI160,IF(AK160=1,100+Z160+(16-AQ160)*0.01+AI160,IF(AN160=1,50+Z160+(16-AQ160)*0.01,IF(AO160=1,15+Z160+(16-AQ160)*0.01,Z160+(16-AQ160)*0.01+AI160)))))</f>
        <v>1.03</v>
      </c>
      <c r="AN160" s="172">
        <f ca="1">IF($D160&gt;Standings!$Q$27,"",IF(OR($AK160=1,$AL160=1),"Conf Playoff Spot",COUNTIFS($AL$2:$AL$225,0,$AK$2:$AK$225,0,$C$2:$C$225,$C160,$D$2:$D$225,$D160,$AC$2:$AC$225,"&gt;"&amp;$AC160)+1))</f>
        <v>5</v>
      </c>
      <c r="AO160" s="172">
        <f t="array" aca="1" ref="AO160" ca="1">IF($D160&gt;Standings!$Q$27,"",IF(OR($AK160=1,$AL160=1),"Conf Playoff Spot",COUNTIFS($AK$2:$AK$225,0,$AL$2:$AL$225,0,$D$2:$D$225,$D160,$AH$2:$AH$225,"&gt;"&amp;$AH160)+1))</f>
        <v>10</v>
      </c>
      <c r="AP160" s="172">
        <f t="array" aca="1" ref="AP160" ca="1">IF($D160&gt;Standings!$Q$27,"",(COUNTIFS($D$2:$D$225,$D160,$J$2:$J$225,"&gt;"&amp;$J160)+1))</f>
        <v>13</v>
      </c>
      <c r="AQ160" s="172">
        <f ca="1">IF($D160&gt;Standings!$Q$27,"",(COUNTIFS($D$2:$D$225,$D160,$AC$2:$AC$225,"&gt;"&amp;$AC160)+1))</f>
        <v>13</v>
      </c>
      <c r="AR160" s="172">
        <f ca="1">IF($D160&gt;Standings!$Q$27,"",(COUNTIFS($D$2:$D$225,$D160,$K$2:$K$225,"&gt;"&amp;$K160)+1))</f>
        <v>12</v>
      </c>
      <c r="AS160" s="172">
        <f ca="1">IF($D160&gt;Standings!$Q$27,"",(COUNTIFS($D$2:$D$225,$D160,$AD$2:$AD$225,"&gt;"&amp;$AD160)+1))</f>
        <v>10</v>
      </c>
      <c r="AT160" s="354">
        <f ca="1">IF($D160&gt;Standings!$Q$27,"",SUMIFS($J$2:$J$225,$D$2:$D$225,$D160,$C$2:$C$225,$C160))</f>
        <v>855.19</v>
      </c>
      <c r="AU160" s="253">
        <f ca="1">IF($D160&gt;Standings!$Q$27,"",SUMIFS($AC$2:$AC$225,$D$2:$D$225,$D160,$C$2:$C$225,$C160))</f>
        <v>4324.71</v>
      </c>
    </row>
    <row r="161" spans="1:47">
      <c r="A161" s="190">
        <f t="shared" si="2"/>
        <v>91</v>
      </c>
      <c r="B161" s="5" t="str">
        <f>'ESPN Data'!$L$15</f>
        <v>Team 12</v>
      </c>
      <c r="C161" s="350" t="str">
        <f>VLOOKUP(B161,'ESPN Data'!$L$4:$M$19,2,FALSE)</f>
        <v>Wardo</v>
      </c>
      <c r="D161" s="400">
        <v>6</v>
      </c>
      <c r="E161" s="267" t="str">
        <f t="array" ref="E161">INDEX('ESPN Data'!$C$3:$C$226,MATCH(1,('ESPN Data'!$A$3:$A$226='Point Data'!$D161)*('ESPN Data'!$B$3:$B$226='Point Data'!$B161),0))</f>
        <v>Team 14</v>
      </c>
      <c r="F161" s="250" t="str">
        <f>IF(C161&lt;&gt;VLOOKUP($E161,'ESPN Data'!$L$4:$M$19,2,FALSE),"Non Conf", "Conf")</f>
        <v>Conf</v>
      </c>
      <c r="G161" s="246">
        <f t="array" aca="1" ref="G161" ca="1">IF('Point Data'!$D161&gt;Standings!$Q$27,"",(COUNTIFS($D$2:$D$225,$D161,$AM$2:$AM$225,"&gt;"&amp;$AM161)+1))</f>
        <v>13</v>
      </c>
      <c r="H161" s="172">
        <f ca="1">IF('Point Data'!$D161&gt;Standings!$Q$27,"",$G160)</f>
        <v>14</v>
      </c>
      <c r="I161" s="249">
        <f ca="1">IF('Point Data'!D161&gt;Standings!$Q$27,"",H161-G161)</f>
        <v>1</v>
      </c>
      <c r="J161" s="172">
        <f ca="1">IF('Point Data'!D161&gt;Standings!$Q$27,"",OFFSET('ESPN Data'!D$3,$A161,0,1,1))</f>
        <v>84.33</v>
      </c>
      <c r="K161" s="248">
        <f ca="1">IF('Point Data'!D161&gt;Standings!$Q$27,"",OFFSET('ESPN Data'!E$3,$A161,0,1,1))</f>
        <v>68.94</v>
      </c>
      <c r="L161" s="249">
        <f ca="1">IF('Point Data'!D161&gt;Standings!$Q$27,"",OFFSET('ESPN Data'!I$3,$A161,0,1,1))</f>
        <v>51</v>
      </c>
      <c r="M161" s="249">
        <f ca="1">IF('Point Data'!D161&gt;Standings!$Q$27,"",OFFSET('ESPN Data'!I$3,$A161,-2,1,1))</f>
        <v>0</v>
      </c>
      <c r="N161" s="249">
        <f ca="1">IF('Point Data'!D161&gt;Standings!$Q$27,"",SUMIFS($M$2:$M$225,$D$2:$D$225,D161,$C$2:$C$225,C161))</f>
        <v>67</v>
      </c>
      <c r="O161" s="249">
        <f ca="1">IF('Point Data'!D161&gt;Standings!$Q$27,"",SUMIFS($L$2:$L$225,$D$2:$D$225,$D161,$C$2:$C$225,$C161))</f>
        <v>470</v>
      </c>
      <c r="P161" s="249">
        <f ca="1">IF('Point Data'!D161&gt;Standings!$Q$27,"",SUMIFS($M$2:$M$225,$D$2:$D$225,D161))</f>
        <v>183</v>
      </c>
      <c r="Q161" s="249">
        <f ca="1">IF('Point Data'!D161&gt;Standings!$Q$27,"",SUMIFS($L$2:$L$225,$D$2:$D$225,D161))</f>
        <v>856</v>
      </c>
      <c r="R161" s="249">
        <f ca="1">IF($D161&gt;Standings!$Q$27,"",IF(U161="T",(Z161+0.5)/(D161)*100,(Z161/D161)*100))</f>
        <v>33.333333333333329</v>
      </c>
      <c r="S161" s="248">
        <f ca="1">IF($D161&gt;Standings!$Q$27,"",$J161-$K161)</f>
        <v>15.39</v>
      </c>
      <c r="T161" s="248">
        <f ca="1">IF($D161&gt;Standings!$Q$27,"",AVERAGE(OFFSET(S161,(-$D161+1),0,1,1):S161))</f>
        <v>-3.0850000000000009</v>
      </c>
      <c r="U161" s="172">
        <f ca="1">IF($D161&gt;Standings!$Q$27,"",IF(J161&gt;K161,1,IF(J161=K161,"T",0)))</f>
        <v>1</v>
      </c>
      <c r="V161" s="172">
        <f ca="1">IF($D161&gt;Standings!$Q$27,"",IF(F161="Conf",V160,SUMIFS($U$2:$U$225,$D$2:$D$225,"&lt;="&amp;$D161,$B$2:$B$225,$B161,$F$2:$F$225,"Non Conf")))</f>
        <v>0</v>
      </c>
      <c r="W161" s="172" t="str">
        <f ca="1">IF($D161&gt;Standings!$Q$27,"",$V161&amp;"-"&amp;COUNTIF(OFFSET($F161,(-$D161+1),0,1,1):$F161,"Non Conf")-$V161)</f>
        <v>0-4</v>
      </c>
      <c r="X161" s="172">
        <f ca="1">IF($D161&gt;Standings!$Q$27,"",SUMIFS($U$2:$U$225,$D$2:$D$225,"&lt;="&amp;$D161,$B$2:$B$225,$B161,$F$2:$F$225,"Conf"))</f>
        <v>2</v>
      </c>
      <c r="Y161" s="172" t="str">
        <f ca="1">IF($D161&gt;Standings!$Q$27,"",$X161&amp;"-"&amp;COUNTIF(OFFSET($F161,(-$D161+1),0,1,1):$F161,"Conf")-$X161)</f>
        <v>2-0</v>
      </c>
      <c r="Z161" s="172">
        <f ca="1">IF($D161&gt;Standings!$Q$27,"",SUM(OFFSET(U161,(-$D161+1),0,1,1):U161))</f>
        <v>2</v>
      </c>
      <c r="AA161" s="172">
        <f ca="1">IF($D161&gt;Standings!$Q$27,"",IF(U161=1,1+AA160,0))</f>
        <v>1</v>
      </c>
      <c r="AB161" s="267">
        <f ca="1">IF($D161&gt;Standings!$Q$27,"",IF(AA161=0,1+AB160,0))</f>
        <v>0</v>
      </c>
      <c r="AC161" s="251">
        <f ca="1">IF($D161&gt;Standings!$Q$27,"",SUM(OFFSET(J161,(-$D161+1),0,1,1):J161))</f>
        <v>583.39</v>
      </c>
      <c r="AD161" s="248">
        <f ca="1">IF($D161&gt;Standings!$Q$27,"",SUM(OFFSET(K161,(-$D161+1),0,1,1):K161))</f>
        <v>601.90000000000009</v>
      </c>
      <c r="AE161" s="248">
        <f ca="1">IF($D161&gt;Standings!$Q$27,"",$J161-$K161)</f>
        <v>15.39</v>
      </c>
      <c r="AF161" s="248">
        <f ca="1">IF($D161&gt;Standings!$Q$27,"",AC161-AD161)</f>
        <v>-18.510000000000105</v>
      </c>
      <c r="AG161" s="252">
        <f ca="1">IF($D161&gt;Standings!$Q$27,"",(COUNTIFS($D$2:$D$225,$D161,$C$2:$C$225,$C161,$AC$2:$AC$225,"&lt;"&amp;$AC161)+1)*0.01)</f>
        <v>0.02</v>
      </c>
      <c r="AH161" s="252">
        <f ca="1">IF($D161&gt;Standings!$Q$27,"",Z161+AG161)</f>
        <v>2.02</v>
      </c>
      <c r="AI161" s="252"/>
      <c r="AJ161" s="172">
        <f t="array" aca="1" ref="AJ161" ca="1">IF($D161&gt;Standings!$Q$27,"",(COUNTIFS($D$2:$D$225,$D161,$C$2:$C$225,$C161,$AM$2:$AM$225,"&gt;"&amp;$AM161)+1))</f>
        <v>7</v>
      </c>
      <c r="AK161" s="172">
        <f t="array" aca="1" ref="AK161" ca="1">IF($D161&gt;Standings!$Q$27,"",IF((COUNTIFS($D$2:$D$225,$D161,$C$2:$C$225,$C161,$AH$2:$AH$225,"&gt;"&amp;$AH161)+1)=2,1,0))</f>
        <v>0</v>
      </c>
      <c r="AL161" s="172">
        <f t="array" aca="1" ref="AL161" ca="1">IF($D161&gt;Standings!$Q$27,"",IF((COUNTIFS($D$2:$D$225,$D161,$C$2:$C$225,$C161,$AH$2:$AH$225,"&gt;"&amp;$AH161)+1)&lt;2,1,0))</f>
        <v>0</v>
      </c>
      <c r="AM161" s="172">
        <f ca="1">IF($D161&gt;Standings!$Q$27,"",IF(AL161=1,200+Z161+(16-AQ161)*0.01+AI161,IF(AK161=1,100+Z161+(16-AQ161)*0.01+AI161,IF(AN161=1,50+Z161+(16-AQ161)*0.01,IF(AO161=1,15+Z161+(16-AQ161)*0.01,Z161+(16-AQ161)*0.01+AI161)))))</f>
        <v>2.0299999999999998</v>
      </c>
      <c r="AN161" s="172">
        <f ca="1">IF($D161&gt;Standings!$Q$27,"",IF(OR($AK161=1,$AL161=1),"Conf Playoff Spot",COUNTIFS($AL$2:$AL$225,0,$AK$2:$AK$225,0,$C$2:$C$225,$C161,$D$2:$D$225,$D161,$AC$2:$AC$225,"&gt;"&amp;$AC161)+1))</f>
        <v>5</v>
      </c>
      <c r="AO161" s="172">
        <f t="array" aca="1" ref="AO161" ca="1">IF($D161&gt;Standings!$Q$27,"",IF(OR($AK161=1,$AL161=1),"Conf Playoff Spot",COUNTIFS($AK$2:$AK$225,0,$AL$2:$AL$225,0,$D$2:$D$225,$D161,$AH$2:$AH$225,"&gt;"&amp;$AH161)+1))</f>
        <v>9</v>
      </c>
      <c r="AP161" s="172">
        <f t="array" aca="1" ref="AP161" ca="1">IF($D161&gt;Standings!$Q$27,"",(COUNTIFS($D$2:$D$225,$D161,$J$2:$J$225,"&gt;"&amp;$J161)+1))</f>
        <v>12</v>
      </c>
      <c r="AQ161" s="172">
        <f ca="1">IF($D161&gt;Standings!$Q$27,"",(COUNTIFS($D$2:$D$225,$D161,$AC$2:$AC$225,"&gt;"&amp;$AC161)+1))</f>
        <v>13</v>
      </c>
      <c r="AR161" s="172">
        <f ca="1">IF($D161&gt;Standings!$Q$27,"",(COUNTIFS($D$2:$D$225,$D161,$K$2:$K$225,"&gt;"&amp;$K161)+1))</f>
        <v>15</v>
      </c>
      <c r="AS161" s="172">
        <f ca="1">IF($D161&gt;Standings!$Q$27,"",(COUNTIFS($D$2:$D$225,$D161,$AD$2:$AD$225,"&gt;"&amp;$AD161)+1))</f>
        <v>14</v>
      </c>
      <c r="AT161" s="354">
        <f ca="1">IF($D161&gt;Standings!$Q$27,"",SUMIFS($J$2:$J$225,$D$2:$D$225,$D161,$C$2:$C$225,$C161))</f>
        <v>768.68000000000006</v>
      </c>
      <c r="AU161" s="253">
        <f ca="1">IF($D161&gt;Standings!$Q$27,"",SUMIFS($AC$2:$AC$225,$D$2:$D$225,$D161,$C$2:$C$225,$C161))</f>
        <v>5093.3900000000003</v>
      </c>
    </row>
    <row r="162" spans="1:47">
      <c r="A162" s="190">
        <f t="shared" si="2"/>
        <v>107</v>
      </c>
      <c r="B162" s="5" t="str">
        <f>'ESPN Data'!$L$15</f>
        <v>Team 12</v>
      </c>
      <c r="C162" s="350" t="str">
        <f>VLOOKUP(B162,'ESPN Data'!$L$4:$M$19,2,FALSE)</f>
        <v>Wardo</v>
      </c>
      <c r="D162" s="400">
        <v>7</v>
      </c>
      <c r="E162" s="267" t="str">
        <f t="array" ref="E162">INDEX('ESPN Data'!$C$3:$C$226,MATCH(1,('ESPN Data'!$A$3:$A$226='Point Data'!$D162)*('ESPN Data'!$B$3:$B$226='Point Data'!$B162),0))</f>
        <v>Team 2</v>
      </c>
      <c r="F162" s="250" t="str">
        <f>IF(C162&lt;&gt;VLOOKUP($E162,'ESPN Data'!$L$4:$M$19,2,FALSE),"Non Conf", "Conf")</f>
        <v>Non Conf</v>
      </c>
      <c r="G162" s="246">
        <f t="array" aca="1" ref="G162" ca="1">IF('Point Data'!$D162&gt;Standings!$Q$27,"",(COUNTIFS($D$2:$D$225,$D162,$AM$2:$AM$225,"&gt;"&amp;$AM162)+1))</f>
        <v>15</v>
      </c>
      <c r="H162" s="172">
        <f ca="1">IF('Point Data'!$D162&gt;Standings!$Q$27,"",$G161)</f>
        <v>13</v>
      </c>
      <c r="I162" s="249">
        <f ca="1">IF('Point Data'!D162&gt;Standings!$Q$27,"",H162-G162)</f>
        <v>-2</v>
      </c>
      <c r="J162" s="172">
        <f ca="1">IF('Point Data'!D162&gt;Standings!$Q$27,"",OFFSET('ESPN Data'!D$3,$A162,0,1,1))</f>
        <v>75.430000000000007</v>
      </c>
      <c r="K162" s="248">
        <f ca="1">IF('Point Data'!D162&gt;Standings!$Q$27,"",OFFSET('ESPN Data'!E$3,$A162,0,1,1))</f>
        <v>90.52</v>
      </c>
      <c r="L162" s="249">
        <f ca="1">IF('Point Data'!D162&gt;Standings!$Q$27,"",OFFSET('ESPN Data'!I$3,$A162,0,1,1))</f>
        <v>50</v>
      </c>
      <c r="M162" s="249">
        <f ca="1">IF('Point Data'!D162&gt;Standings!$Q$27,"",OFFSET('ESPN Data'!I$3,$A162,-2,1,1))</f>
        <v>1</v>
      </c>
      <c r="N162" s="249">
        <f ca="1">IF('Point Data'!D162&gt;Standings!$Q$27,"",SUMIFS($M$2:$M$225,$D$2:$D$225,D162,$C$2:$C$225,C162))</f>
        <v>140</v>
      </c>
      <c r="O162" s="249">
        <f ca="1">IF('Point Data'!D162&gt;Standings!$Q$27,"",SUMIFS($L$2:$L$225,$D$2:$D$225,$D162,$C$2:$C$225,$C162))</f>
        <v>330</v>
      </c>
      <c r="P162" s="249">
        <f ca="1">IF('Point Data'!D162&gt;Standings!$Q$27,"",SUMIFS($M$2:$M$225,$D$2:$D$225,D162))</f>
        <v>168</v>
      </c>
      <c r="Q162" s="249">
        <f ca="1">IF('Point Data'!D162&gt;Standings!$Q$27,"",SUMIFS($L$2:$L$225,$D$2:$D$225,D162))</f>
        <v>688</v>
      </c>
      <c r="R162" s="249">
        <f ca="1">IF($D162&gt;Standings!$Q$27,"",IF(U162="T",(Z162+0.5)/(D162)*100,(Z162/D162)*100))</f>
        <v>28.571428571428569</v>
      </c>
      <c r="S162" s="248">
        <f ca="1">IF($D162&gt;Standings!$Q$27,"",$J162-$K162)</f>
        <v>-15.089999999999989</v>
      </c>
      <c r="T162" s="248">
        <f ca="1">IF($D162&gt;Standings!$Q$27,"",AVERAGE(OFFSET(S162,(-$D162+1),0,1,1):S162))</f>
        <v>-4.7999999999999989</v>
      </c>
      <c r="U162" s="172">
        <f ca="1">IF($D162&gt;Standings!$Q$27,"",IF(J162&gt;K162,1,IF(J162=K162,"T",0)))</f>
        <v>0</v>
      </c>
      <c r="V162" s="172">
        <f ca="1">IF($D162&gt;Standings!$Q$27,"",IF(F162="Conf",V161,SUMIFS($U$2:$U$225,$D$2:$D$225,"&lt;="&amp;$D162,$B$2:$B$225,$B162,$F$2:$F$225,"Non Conf")))</f>
        <v>0</v>
      </c>
      <c r="W162" s="172" t="str">
        <f ca="1">IF($D162&gt;Standings!$Q$27,"",$V162&amp;"-"&amp;COUNTIF(OFFSET($F162,(-$D162+1),0,1,1):$F162,"Non Conf")-$V162)</f>
        <v>0-5</v>
      </c>
      <c r="X162" s="172">
        <f ca="1">IF($D162&gt;Standings!$Q$27,"",SUMIFS($U$2:$U$225,$D$2:$D$225,"&lt;="&amp;$D162,$B$2:$B$225,$B162,$F$2:$F$225,"Conf"))</f>
        <v>2</v>
      </c>
      <c r="Y162" s="172" t="str">
        <f ca="1">IF($D162&gt;Standings!$Q$27,"",$X162&amp;"-"&amp;COUNTIF(OFFSET($F162,(-$D162+1),0,1,1):$F162,"Conf")-$X162)</f>
        <v>2-0</v>
      </c>
      <c r="Z162" s="172">
        <f ca="1">IF($D162&gt;Standings!$Q$27,"",SUM(OFFSET(U162,(-$D162+1),0,1,1):U162))</f>
        <v>2</v>
      </c>
      <c r="AA162" s="172">
        <f ca="1">IF($D162&gt;Standings!$Q$27,"",IF(U162=1,1+AA161,0))</f>
        <v>0</v>
      </c>
      <c r="AB162" s="267">
        <f ca="1">IF($D162&gt;Standings!$Q$27,"",IF(AA162=0,1+AB161,0))</f>
        <v>1</v>
      </c>
      <c r="AC162" s="251">
        <f ca="1">IF($D162&gt;Standings!$Q$27,"",SUM(OFFSET(J162,(-$D162+1),0,1,1):J162))</f>
        <v>658.81999999999994</v>
      </c>
      <c r="AD162" s="248">
        <f ca="1">IF($D162&gt;Standings!$Q$27,"",SUM(OFFSET(K162,(-$D162+1),0,1,1):K162))</f>
        <v>692.42000000000007</v>
      </c>
      <c r="AE162" s="248">
        <f ca="1">IF($D162&gt;Standings!$Q$27,"",$J162-$K162)</f>
        <v>-15.089999999999989</v>
      </c>
      <c r="AF162" s="248">
        <f ca="1">IF($D162&gt;Standings!$Q$27,"",AC162-AD162)</f>
        <v>-33.600000000000136</v>
      </c>
      <c r="AG162" s="252">
        <f ca="1">IF($D162&gt;Standings!$Q$27,"",(COUNTIFS($D$2:$D$225,$D162,$C$2:$C$225,$C162,$AC$2:$AC$225,"&lt;"&amp;$AC162)+1)*0.01)</f>
        <v>0.02</v>
      </c>
      <c r="AH162" s="252">
        <f ca="1">IF($D162&gt;Standings!$Q$27,"",Z162+AG162)</f>
        <v>2.02</v>
      </c>
      <c r="AI162" s="252"/>
      <c r="AJ162" s="172">
        <f t="array" aca="1" ref="AJ162" ca="1">IF($D162&gt;Standings!$Q$27,"",(COUNTIFS($D$2:$D$225,$D162,$C$2:$C$225,$C162,$AM$2:$AM$225,"&gt;"&amp;$AM162)+1))</f>
        <v>8</v>
      </c>
      <c r="AK162" s="172">
        <f t="array" aca="1" ref="AK162" ca="1">IF($D162&gt;Standings!$Q$27,"",IF((COUNTIFS($D$2:$D$225,$D162,$C$2:$C$225,$C162,$AH$2:$AH$225,"&gt;"&amp;$AH162)+1)=2,1,0))</f>
        <v>0</v>
      </c>
      <c r="AL162" s="172">
        <f t="array" aca="1" ref="AL162" ca="1">IF($D162&gt;Standings!$Q$27,"",IF((COUNTIFS($D$2:$D$225,$D162,$C$2:$C$225,$C162,$AH$2:$AH$225,"&gt;"&amp;$AH162)+1)&lt;2,1,0))</f>
        <v>0</v>
      </c>
      <c r="AM162" s="172">
        <f ca="1">IF($D162&gt;Standings!$Q$27,"",IF(AL162=1,200+Z162+(16-AQ162)*0.01+AI162,IF(AK162=1,100+Z162+(16-AQ162)*0.01+AI162,IF(AN162=1,50+Z162+(16-AQ162)*0.01,IF(AO162=1,15+Z162+(16-AQ162)*0.01,Z162+(16-AQ162)*0.01+AI162)))))</f>
        <v>2.02</v>
      </c>
      <c r="AN162" s="172">
        <f ca="1">IF($D162&gt;Standings!$Q$27,"",IF(OR($AK162=1,$AL162=1),"Conf Playoff Spot",COUNTIFS($AL$2:$AL$225,0,$AK$2:$AK$225,0,$C$2:$C$225,$C162,$D$2:$D$225,$D162,$AC$2:$AC$225,"&gt;"&amp;$AC162)+1))</f>
        <v>5</v>
      </c>
      <c r="AO162" s="172">
        <f t="array" aca="1" ref="AO162" ca="1">IF($D162&gt;Standings!$Q$27,"",IF(OR($AK162=1,$AL162=1),"Conf Playoff Spot",COUNTIFS($AK$2:$AK$225,0,$AL$2:$AL$225,0,$D$2:$D$225,$D162,$AH$2:$AH$225,"&gt;"&amp;$AH162)+1))</f>
        <v>10</v>
      </c>
      <c r="AP162" s="172">
        <f t="array" aca="1" ref="AP162" ca="1">IF($D162&gt;Standings!$Q$27,"",(COUNTIFS($D$2:$D$225,$D162,$J$2:$J$225,"&gt;"&amp;$J162)+1))</f>
        <v>14</v>
      </c>
      <c r="AQ162" s="172">
        <f ca="1">IF($D162&gt;Standings!$Q$27,"",(COUNTIFS($D$2:$D$225,$D162,$AC$2:$AC$225,"&gt;"&amp;$AC162)+1))</f>
        <v>14</v>
      </c>
      <c r="AR162" s="172">
        <f ca="1">IF($D162&gt;Standings!$Q$27,"",(COUNTIFS($D$2:$D$225,$D162,$K$2:$K$225,"&gt;"&amp;$K162)+1))</f>
        <v>12</v>
      </c>
      <c r="AS162" s="172">
        <f ca="1">IF($D162&gt;Standings!$Q$27,"",(COUNTIFS($D$2:$D$225,$D162,$AD$2:$AD$225,"&gt;"&amp;$AD162)+1))</f>
        <v>15</v>
      </c>
      <c r="AT162" s="354">
        <f ca="1">IF($D162&gt;Standings!$Q$27,"",SUMIFS($J$2:$J$225,$D$2:$D$225,$D162,$C$2:$C$225,$C162))</f>
        <v>714.95</v>
      </c>
      <c r="AU162" s="253">
        <f ca="1">IF($D162&gt;Standings!$Q$27,"",SUMIFS($AC$2:$AC$225,$D$2:$D$225,$D162,$C$2:$C$225,$C162))</f>
        <v>5808.34</v>
      </c>
    </row>
    <row r="163" spans="1:47">
      <c r="A163" s="190">
        <f t="shared" si="2"/>
        <v>123</v>
      </c>
      <c r="B163" s="5" t="str">
        <f>'ESPN Data'!$L$15</f>
        <v>Team 12</v>
      </c>
      <c r="C163" s="350" t="str">
        <f>VLOOKUP(B163,'ESPN Data'!$L$4:$M$19,2,FALSE)</f>
        <v>Wardo</v>
      </c>
      <c r="D163" s="400">
        <v>8</v>
      </c>
      <c r="E163" s="267" t="str">
        <f t="array" ref="E163">INDEX('ESPN Data'!$C$3:$C$226,MATCH(1,('ESPN Data'!$A$3:$A$226='Point Data'!$D163)*('ESPN Data'!$B$3:$B$226='Point Data'!$B163),0))</f>
        <v>Team 9</v>
      </c>
      <c r="F163" s="250" t="str">
        <f>IF(C163&lt;&gt;VLOOKUP($E163,'ESPN Data'!$L$4:$M$19,2,FALSE),"Non Conf", "Conf")</f>
        <v>Conf</v>
      </c>
      <c r="G163" s="246">
        <f t="array" aca="1" ref="G163" ca="1">IF('Point Data'!$D163&gt;Standings!$Q$27,"",(COUNTIFS($D$2:$D$225,$D163,$AM$2:$AM$225,"&gt;"&amp;$AM163)+1))</f>
        <v>12</v>
      </c>
      <c r="H163" s="172">
        <f ca="1">IF('Point Data'!$D163&gt;Standings!$Q$27,"",$G162)</f>
        <v>15</v>
      </c>
      <c r="I163" s="249">
        <f ca="1">IF('Point Data'!D163&gt;Standings!$Q$27,"",H163-G163)</f>
        <v>3</v>
      </c>
      <c r="J163" s="172">
        <f ca="1">IF('Point Data'!D163&gt;Standings!$Q$27,"",OFFSET('ESPN Data'!D$3,$A163,0,1,1))</f>
        <v>129.93</v>
      </c>
      <c r="K163" s="248">
        <f ca="1">IF('Point Data'!D163&gt;Standings!$Q$27,"",OFFSET('ESPN Data'!E$3,$A163,0,1,1))</f>
        <v>82.72</v>
      </c>
      <c r="L163" s="249">
        <f ca="1">IF('Point Data'!D163&gt;Standings!$Q$27,"",OFFSET('ESPN Data'!I$3,$A163,0,1,1))</f>
        <v>38</v>
      </c>
      <c r="M163" s="249">
        <f ca="1">IF('Point Data'!D163&gt;Standings!$Q$27,"",OFFSET('ESPN Data'!I$3,$A163,-2,1,1))</f>
        <v>12</v>
      </c>
      <c r="N163" s="249">
        <f ca="1">IF('Point Data'!D163&gt;Standings!$Q$27,"",SUMIFS($M$2:$M$225,$D$2:$D$225,D163,$C$2:$C$225,C163))</f>
        <v>62</v>
      </c>
      <c r="O163" s="249">
        <f ca="1">IF('Point Data'!D163&gt;Standings!$Q$27,"",SUMIFS($L$2:$L$225,$D$2:$D$225,$D163,$C$2:$C$225,$C163))</f>
        <v>268</v>
      </c>
      <c r="P163" s="249">
        <f ca="1">IF('Point Data'!D163&gt;Standings!$Q$27,"",SUMIFS($M$2:$M$225,$D$2:$D$225,D163))</f>
        <v>80</v>
      </c>
      <c r="Q163" s="249">
        <f ca="1">IF('Point Data'!D163&gt;Standings!$Q$27,"",SUMIFS($L$2:$L$225,$D$2:$D$225,D163))</f>
        <v>608</v>
      </c>
      <c r="R163" s="249">
        <f ca="1">IF($D163&gt;Standings!$Q$27,"",IF(U163="T",(Z163+0.5)/(D163)*100,(Z163/D163)*100))</f>
        <v>37.5</v>
      </c>
      <c r="S163" s="248">
        <f ca="1">IF($D163&gt;Standings!$Q$27,"",$J163-$K163)</f>
        <v>47.210000000000008</v>
      </c>
      <c r="T163" s="248">
        <f ca="1">IF($D163&gt;Standings!$Q$27,"",AVERAGE(OFFSET(S163,(-$D163+1),0,1,1):S163))</f>
        <v>1.7012500000000017</v>
      </c>
      <c r="U163" s="172">
        <f ca="1">IF($D163&gt;Standings!$Q$27,"",IF(J163&gt;K163,1,IF(J163=K163,"T",0)))</f>
        <v>1</v>
      </c>
      <c r="V163" s="172">
        <f ca="1">IF($D163&gt;Standings!$Q$27,"",IF(F163="Conf",V162,SUMIFS($U$2:$U$225,$D$2:$D$225,"&lt;="&amp;$D163,$B$2:$B$225,$B163,$F$2:$F$225,"Non Conf")))</f>
        <v>0</v>
      </c>
      <c r="W163" s="172" t="str">
        <f ca="1">IF($D163&gt;Standings!$Q$27,"",$V163&amp;"-"&amp;COUNTIF(OFFSET($F163,(-$D163+1),0,1,1):$F163,"Non Conf")-$V163)</f>
        <v>0-5</v>
      </c>
      <c r="X163" s="172">
        <f ca="1">IF($D163&gt;Standings!$Q$27,"",SUMIFS($U$2:$U$225,$D$2:$D$225,"&lt;="&amp;$D163,$B$2:$B$225,$B163,$F$2:$F$225,"Conf"))</f>
        <v>3</v>
      </c>
      <c r="Y163" s="172" t="str">
        <f ca="1">IF($D163&gt;Standings!$Q$27,"",$X163&amp;"-"&amp;COUNTIF(OFFSET($F163,(-$D163+1),0,1,1):$F163,"Conf")-$X163)</f>
        <v>3-0</v>
      </c>
      <c r="Z163" s="172">
        <f ca="1">IF($D163&gt;Standings!$Q$27,"",SUM(OFFSET(U163,(-$D163+1),0,1,1):U163))</f>
        <v>3</v>
      </c>
      <c r="AA163" s="172">
        <f ca="1">IF($D163&gt;Standings!$Q$27,"",IF(U163=1,1+AA162,0))</f>
        <v>1</v>
      </c>
      <c r="AB163" s="267">
        <f ca="1">IF($D163&gt;Standings!$Q$27,"",IF(AA163=0,1+AB162,0))</f>
        <v>0</v>
      </c>
      <c r="AC163" s="251">
        <f ca="1">IF($D163&gt;Standings!$Q$27,"",SUM(OFFSET(J163,(-$D163+1),0,1,1):J163))</f>
        <v>788.75</v>
      </c>
      <c r="AD163" s="248">
        <f ca="1">IF($D163&gt;Standings!$Q$27,"",SUM(OFFSET(K163,(-$D163+1),0,1,1):K163))</f>
        <v>775.1400000000001</v>
      </c>
      <c r="AE163" s="248">
        <f ca="1">IF($D163&gt;Standings!$Q$27,"",$J163-$K163)</f>
        <v>47.210000000000008</v>
      </c>
      <c r="AF163" s="248">
        <f ca="1">IF($D163&gt;Standings!$Q$27,"",AC163-AD163)</f>
        <v>13.6099999999999</v>
      </c>
      <c r="AG163" s="252">
        <f ca="1">IF($D163&gt;Standings!$Q$27,"",(COUNTIFS($D$2:$D$225,$D163,$C$2:$C$225,$C163,$AC$2:$AC$225,"&lt;"&amp;$AC163)+1)*0.01)</f>
        <v>0.03</v>
      </c>
      <c r="AH163" s="252">
        <f ca="1">IF($D163&gt;Standings!$Q$27,"",Z163+AG163)</f>
        <v>3.03</v>
      </c>
      <c r="AI163" s="252"/>
      <c r="AJ163" s="172">
        <f t="array" aca="1" ref="AJ163" ca="1">IF($D163&gt;Standings!$Q$27,"",(COUNTIFS($D$2:$D$225,$D163,$C$2:$C$225,$C163,$AM$2:$AM$225,"&gt;"&amp;$AM163)+1))</f>
        <v>6</v>
      </c>
      <c r="AK163" s="172">
        <f t="array" aca="1" ref="AK163" ca="1">IF($D163&gt;Standings!$Q$27,"",IF((COUNTIFS($D$2:$D$225,$D163,$C$2:$C$225,$C163,$AH$2:$AH$225,"&gt;"&amp;$AH163)+1)=2,1,0))</f>
        <v>0</v>
      </c>
      <c r="AL163" s="172">
        <f t="array" aca="1" ref="AL163" ca="1">IF($D163&gt;Standings!$Q$27,"",IF((COUNTIFS($D$2:$D$225,$D163,$C$2:$C$225,$C163,$AH$2:$AH$225,"&gt;"&amp;$AH163)+1)&lt;2,1,0))</f>
        <v>0</v>
      </c>
      <c r="AM163" s="172">
        <f ca="1">IF($D163&gt;Standings!$Q$27,"",IF(AL163=1,200+Z163+(16-AQ163)*0.01+AI163,IF(AK163=1,100+Z163+(16-AQ163)*0.01+AI163,IF(AN163=1,50+Z163+(16-AQ163)*0.01,IF(AO163=1,15+Z163+(16-AQ163)*0.01,Z163+(16-AQ163)*0.01+AI163)))))</f>
        <v>3.04</v>
      </c>
      <c r="AN163" s="172">
        <f ca="1">IF($D163&gt;Standings!$Q$27,"",IF(OR($AK163=1,$AL163=1),"Conf Playoff Spot",COUNTIFS($AL$2:$AL$225,0,$AK$2:$AK$225,0,$C$2:$C$225,$C163,$D$2:$D$225,$D163,$AC$2:$AC$225,"&gt;"&amp;$AC163)+1))</f>
        <v>4</v>
      </c>
      <c r="AO163" s="172">
        <f t="array" aca="1" ref="AO163" ca="1">IF($D163&gt;Standings!$Q$27,"",IF(OR($AK163=1,$AL163=1),"Conf Playoff Spot",COUNTIFS($AK$2:$AK$225,0,$AL$2:$AL$225,0,$D$2:$D$225,$D163,$AH$2:$AH$225,"&gt;"&amp;$AH163)+1))</f>
        <v>8</v>
      </c>
      <c r="AP163" s="172">
        <f t="array" aca="1" ref="AP163" ca="1">IF($D163&gt;Standings!$Q$27,"",(COUNTIFS($D$2:$D$225,$D163,$J$2:$J$225,"&gt;"&amp;$J163)+1))</f>
        <v>2</v>
      </c>
      <c r="AQ163" s="172">
        <f ca="1">IF($D163&gt;Standings!$Q$27,"",(COUNTIFS($D$2:$D$225,$D163,$AC$2:$AC$225,"&gt;"&amp;$AC163)+1))</f>
        <v>12</v>
      </c>
      <c r="AR163" s="172">
        <f ca="1">IF($D163&gt;Standings!$Q$27,"",(COUNTIFS($D$2:$D$225,$D163,$K$2:$K$225,"&gt;"&amp;$K163)+1))</f>
        <v>10</v>
      </c>
      <c r="AS163" s="172">
        <f ca="1">IF($D163&gt;Standings!$Q$27,"",(COUNTIFS($D$2:$D$225,$D163,$AD$2:$AD$225,"&gt;"&amp;$AD163)+1))</f>
        <v>15</v>
      </c>
      <c r="AT163" s="354">
        <f ca="1">IF($D163&gt;Standings!$Q$27,"",SUMIFS($J$2:$J$225,$D$2:$D$225,$D163,$C$2:$C$225,$C163))</f>
        <v>755.84</v>
      </c>
      <c r="AU163" s="253">
        <f ca="1">IF($D163&gt;Standings!$Q$27,"",SUMIFS($AC$2:$AC$225,$D$2:$D$225,$D163,$C$2:$C$225,$C163))</f>
        <v>6564.1799999999994</v>
      </c>
    </row>
    <row r="164" spans="1:47">
      <c r="A164" s="190">
        <f t="shared" si="2"/>
        <v>139</v>
      </c>
      <c r="B164" s="5" t="str">
        <f>'ESPN Data'!$L$15</f>
        <v>Team 12</v>
      </c>
      <c r="C164" s="350" t="str">
        <f>VLOOKUP(B164,'ESPN Data'!$L$4:$M$19,2,FALSE)</f>
        <v>Wardo</v>
      </c>
      <c r="D164" s="400">
        <v>9</v>
      </c>
      <c r="E164" s="267" t="str">
        <f t="array" ref="E164">INDEX('ESPN Data'!$C$3:$C$226,MATCH(1,('ESPN Data'!$A$3:$A$226='Point Data'!$D164)*('ESPN Data'!$B$3:$B$226='Point Data'!$B164),0))</f>
        <v>Team 3</v>
      </c>
      <c r="F164" s="250" t="str">
        <f>IF(C164&lt;&gt;VLOOKUP($E164,'ESPN Data'!$L$4:$M$19,2,FALSE),"Non Conf", "Conf")</f>
        <v>Non Conf</v>
      </c>
      <c r="G164" s="246">
        <f t="array" aca="1" ref="G164" ca="1">IF('Point Data'!$D164&gt;Standings!$Q$27,"",(COUNTIFS($D$2:$D$225,$D164,$AM$2:$AM$225,"&gt;"&amp;$AM164)+1))</f>
        <v>13</v>
      </c>
      <c r="H164" s="172">
        <f ca="1">IF('Point Data'!$D164&gt;Standings!$Q$27,"",$G163)</f>
        <v>12</v>
      </c>
      <c r="I164" s="249">
        <f ca="1">IF('Point Data'!D164&gt;Standings!$Q$27,"",H164-G164)</f>
        <v>-1</v>
      </c>
      <c r="J164" s="172">
        <f ca="1">IF('Point Data'!D164&gt;Standings!$Q$27,"",OFFSET('ESPN Data'!D$3,$A164,0,1,1))</f>
        <v>87.25</v>
      </c>
      <c r="K164" s="248">
        <f ca="1">IF('Point Data'!D164&gt;Standings!$Q$27,"",OFFSET('ESPN Data'!E$3,$A164,0,1,1))</f>
        <v>87.41</v>
      </c>
      <c r="L164" s="249">
        <f ca="1">IF('Point Data'!D164&gt;Standings!$Q$27,"",OFFSET('ESPN Data'!I$3,$A164,0,1,1))</f>
        <v>38</v>
      </c>
      <c r="M164" s="249">
        <f ca="1">IF('Point Data'!D164&gt;Standings!$Q$27,"",OFFSET('ESPN Data'!I$3,$A164,-2,1,1))</f>
        <v>0</v>
      </c>
      <c r="N164" s="249">
        <f ca="1">IF('Point Data'!D164&gt;Standings!$Q$27,"",SUMIFS($M$2:$M$225,$D$2:$D$225,D164,$C$2:$C$225,C164))</f>
        <v>28</v>
      </c>
      <c r="O164" s="249">
        <f ca="1">IF('Point Data'!D164&gt;Standings!$Q$27,"",SUMIFS($L$2:$L$225,$D$2:$D$225,$D164,$C$2:$C$225,$C164))</f>
        <v>240</v>
      </c>
      <c r="P164" s="249">
        <f ca="1">IF('Point Data'!D164&gt;Standings!$Q$27,"",SUMIFS($M$2:$M$225,$D$2:$D$225,D164))</f>
        <v>63</v>
      </c>
      <c r="Q164" s="249">
        <f ca="1">IF('Point Data'!D164&gt;Standings!$Q$27,"",SUMIFS($L$2:$L$225,$D$2:$D$225,D164))</f>
        <v>545</v>
      </c>
      <c r="R164" s="249">
        <f ca="1">IF($D164&gt;Standings!$Q$27,"",IF(U164="T",(Z164+0.5)/(D164)*100,(Z164/D164)*100))</f>
        <v>33.333333333333329</v>
      </c>
      <c r="S164" s="248">
        <f ca="1">IF($D164&gt;Standings!$Q$27,"",$J164-$K164)</f>
        <v>-0.15999999999999659</v>
      </c>
      <c r="T164" s="248">
        <f ca="1">IF($D164&gt;Standings!$Q$27,"",AVERAGE(OFFSET(S164,(-$D164+1),0,1,1):S164))</f>
        <v>1.4944444444444462</v>
      </c>
      <c r="U164" s="172">
        <f ca="1">IF($D164&gt;Standings!$Q$27,"",IF(J164&gt;K164,1,IF(J164=K164,"T",0)))</f>
        <v>0</v>
      </c>
      <c r="V164" s="172">
        <f ca="1">IF($D164&gt;Standings!$Q$27,"",IF(F164="Conf",V163,SUMIFS($U$2:$U$225,$D$2:$D$225,"&lt;="&amp;$D164,$B$2:$B$225,$B164,$F$2:$F$225,"Non Conf")))</f>
        <v>0</v>
      </c>
      <c r="W164" s="172" t="str">
        <f ca="1">IF($D164&gt;Standings!$Q$27,"",$V164&amp;"-"&amp;COUNTIF(OFFSET($F164,(-$D164+1),0,1,1):$F164,"Non Conf")-$V164)</f>
        <v>0-6</v>
      </c>
      <c r="X164" s="172">
        <f ca="1">IF($D164&gt;Standings!$Q$27,"",SUMIFS($U$2:$U$225,$D$2:$D$225,"&lt;="&amp;$D164,$B$2:$B$225,$B164,$F$2:$F$225,"Conf"))</f>
        <v>3</v>
      </c>
      <c r="Y164" s="172" t="str">
        <f ca="1">IF($D164&gt;Standings!$Q$27,"",$X164&amp;"-"&amp;COUNTIF(OFFSET($F164,(-$D164+1),0,1,1):$F164,"Conf")-$X164)</f>
        <v>3-0</v>
      </c>
      <c r="Z164" s="172">
        <f ca="1">IF($D164&gt;Standings!$Q$27,"",SUM(OFFSET(U164,(-$D164+1),0,1,1):U164))</f>
        <v>3</v>
      </c>
      <c r="AA164" s="172">
        <f ca="1">IF($D164&gt;Standings!$Q$27,"",IF(U164=1,1+AA163,0))</f>
        <v>0</v>
      </c>
      <c r="AB164" s="267">
        <f ca="1">IF($D164&gt;Standings!$Q$27,"",IF(AA164=0,1+AB163,0))</f>
        <v>1</v>
      </c>
      <c r="AC164" s="251">
        <f ca="1">IF($D164&gt;Standings!$Q$27,"",SUM(OFFSET(J164,(-$D164+1),0,1,1):J164))</f>
        <v>876</v>
      </c>
      <c r="AD164" s="248">
        <f ca="1">IF($D164&gt;Standings!$Q$27,"",SUM(OFFSET(K164,(-$D164+1),0,1,1):K164))</f>
        <v>862.55000000000007</v>
      </c>
      <c r="AE164" s="248">
        <f ca="1">IF($D164&gt;Standings!$Q$27,"",$J164-$K164)</f>
        <v>-0.15999999999999659</v>
      </c>
      <c r="AF164" s="248">
        <f ca="1">IF($D164&gt;Standings!$Q$27,"",AC164-AD164)</f>
        <v>13.449999999999932</v>
      </c>
      <c r="AG164" s="252">
        <f ca="1">IF($D164&gt;Standings!$Q$27,"",(COUNTIFS($D$2:$D$225,$D164,$C$2:$C$225,$C164,$AC$2:$AC$225,"&lt;"&amp;$AC164)+1)*0.01)</f>
        <v>0.03</v>
      </c>
      <c r="AH164" s="252">
        <f ca="1">IF($D164&gt;Standings!$Q$27,"",Z164+AG164)</f>
        <v>3.03</v>
      </c>
      <c r="AI164" s="252"/>
      <c r="AJ164" s="172">
        <f t="array" aca="1" ref="AJ164" ca="1">IF($D164&gt;Standings!$Q$27,"",(COUNTIFS($D$2:$D$225,$D164,$C$2:$C$225,$C164,$AM$2:$AM$225,"&gt;"&amp;$AM164)+1))</f>
        <v>6</v>
      </c>
      <c r="AK164" s="172">
        <f t="array" aca="1" ref="AK164" ca="1">IF($D164&gt;Standings!$Q$27,"",IF((COUNTIFS($D$2:$D$225,$D164,$C$2:$C$225,$C164,$AH$2:$AH$225,"&gt;"&amp;$AH164)+1)=2,1,0))</f>
        <v>0</v>
      </c>
      <c r="AL164" s="172">
        <f t="array" aca="1" ref="AL164" ca="1">IF($D164&gt;Standings!$Q$27,"",IF((COUNTIFS($D$2:$D$225,$D164,$C$2:$C$225,$C164,$AH$2:$AH$225,"&gt;"&amp;$AH164)+1)&lt;2,1,0))</f>
        <v>0</v>
      </c>
      <c r="AM164" s="172">
        <f ca="1">IF($D164&gt;Standings!$Q$27,"",IF(AL164=1,200+Z164+(16-AQ164)*0.01+AI164,IF(AK164=1,100+Z164+(16-AQ164)*0.01+AI164,IF(AN164=1,50+Z164+(16-AQ164)*0.01,IF(AO164=1,15+Z164+(16-AQ164)*0.01,Z164+(16-AQ164)*0.01+AI164)))))</f>
        <v>3.04</v>
      </c>
      <c r="AN164" s="172">
        <f ca="1">IF($D164&gt;Standings!$Q$27,"",IF(OR($AK164=1,$AL164=1),"Conf Playoff Spot",COUNTIFS($AL$2:$AL$225,0,$AK$2:$AK$225,0,$C$2:$C$225,$C164,$D$2:$D$225,$D164,$AC$2:$AC$225,"&gt;"&amp;$AC164)+1))</f>
        <v>4</v>
      </c>
      <c r="AO164" s="172">
        <f t="array" aca="1" ref="AO164" ca="1">IF($D164&gt;Standings!$Q$27,"",IF(OR($AK164=1,$AL164=1),"Conf Playoff Spot",COUNTIFS($AK$2:$AK$225,0,$AL$2:$AL$225,0,$D$2:$D$225,$D164,$AH$2:$AH$225,"&gt;"&amp;$AH164)+1))</f>
        <v>9</v>
      </c>
      <c r="AP164" s="172">
        <f t="array" aca="1" ref="AP164" ca="1">IF($D164&gt;Standings!$Q$27,"",(COUNTIFS($D$2:$D$225,$D164,$J$2:$J$225,"&gt;"&amp;$J164)+1))</f>
        <v>12</v>
      </c>
      <c r="AQ164" s="172">
        <f ca="1">IF($D164&gt;Standings!$Q$27,"",(COUNTIFS($D$2:$D$225,$D164,$AC$2:$AC$225,"&gt;"&amp;$AC164)+1))</f>
        <v>12</v>
      </c>
      <c r="AR164" s="172">
        <f ca="1">IF($D164&gt;Standings!$Q$27,"",(COUNTIFS($D$2:$D$225,$D164,$K$2:$K$225,"&gt;"&amp;$K164)+1))</f>
        <v>11</v>
      </c>
      <c r="AS164" s="172">
        <f ca="1">IF($D164&gt;Standings!$Q$27,"",(COUNTIFS($D$2:$D$225,$D164,$AD$2:$AD$225,"&gt;"&amp;$AD164)+1))</f>
        <v>14</v>
      </c>
      <c r="AT164" s="354">
        <f ca="1">IF($D164&gt;Standings!$Q$27,"",SUMIFS($J$2:$J$225,$D$2:$D$225,$D164,$C$2:$C$225,$C164))</f>
        <v>813.24</v>
      </c>
      <c r="AU164" s="253">
        <f ca="1">IF($D164&gt;Standings!$Q$27,"",SUMIFS($AC$2:$AC$225,$D$2:$D$225,$D164,$C$2:$C$225,$C164))</f>
        <v>7377.42</v>
      </c>
    </row>
    <row r="165" spans="1:47">
      <c r="A165" s="190">
        <f t="shared" si="2"/>
        <v>155</v>
      </c>
      <c r="B165" s="5" t="str">
        <f>'ESPN Data'!$L$15</f>
        <v>Team 12</v>
      </c>
      <c r="C165" s="350" t="str">
        <f>VLOOKUP(B165,'ESPN Data'!$L$4:$M$19,2,FALSE)</f>
        <v>Wardo</v>
      </c>
      <c r="D165" s="400">
        <v>10</v>
      </c>
      <c r="E165" s="267" t="str">
        <f t="array" ref="E165">INDEX('ESPN Data'!$C$3:$C$226,MATCH(1,('ESPN Data'!$A$3:$A$226='Point Data'!$D165)*('ESPN Data'!$B$3:$B$226='Point Data'!$B165),0))</f>
        <v>Team 16</v>
      </c>
      <c r="F165" s="250" t="str">
        <f>IF(C165&lt;&gt;VLOOKUP($E165,'ESPN Data'!$L$4:$M$19,2,FALSE),"Non Conf", "Conf")</f>
        <v>Conf</v>
      </c>
      <c r="G165" s="246">
        <f t="array" aca="1" ref="G165" ca="1">IF('Point Data'!$D165&gt;Standings!$Q$27,"",(COUNTIFS($D$2:$D$225,$D165,$AM$2:$AM$225,"&gt;"&amp;$AM165)+1))</f>
        <v>14</v>
      </c>
      <c r="H165" s="172">
        <f ca="1">IF('Point Data'!$D165&gt;Standings!$Q$27,"",$G164)</f>
        <v>13</v>
      </c>
      <c r="I165" s="249">
        <f ca="1">IF('Point Data'!D165&gt;Standings!$Q$27,"",H165-G165)</f>
        <v>-1</v>
      </c>
      <c r="J165" s="172">
        <f ca="1">IF('Point Data'!D165&gt;Standings!$Q$27,"",OFFSET('ESPN Data'!D$3,$A165,0,1,1))</f>
        <v>77.27</v>
      </c>
      <c r="K165" s="248">
        <f ca="1">IF('Point Data'!D165&gt;Standings!$Q$27,"",OFFSET('ESPN Data'!E$3,$A165,0,1,1))</f>
        <v>83.44</v>
      </c>
      <c r="L165" s="249">
        <f ca="1">IF('Point Data'!D165&gt;Standings!$Q$27,"",OFFSET('ESPN Data'!I$3,$A165,0,1,1))</f>
        <v>38</v>
      </c>
      <c r="M165" s="249">
        <f ca="1">IF('Point Data'!D165&gt;Standings!$Q$27,"",OFFSET('ESPN Data'!I$3,$A165,-2,1,1))</f>
        <v>0</v>
      </c>
      <c r="N165" s="249">
        <f ca="1">IF('Point Data'!D165&gt;Standings!$Q$27,"",SUMIFS($M$2:$M$225,$D$2:$D$225,D165,$C$2:$C$225,C165))</f>
        <v>13</v>
      </c>
      <c r="O165" s="249">
        <f ca="1">IF('Point Data'!D165&gt;Standings!$Q$27,"",SUMIFS($L$2:$L$225,$D$2:$D$225,$D165,$C$2:$C$225,$C165))</f>
        <v>227</v>
      </c>
      <c r="P165" s="249">
        <f ca="1">IF('Point Data'!D165&gt;Standings!$Q$27,"",SUMIFS($M$2:$M$225,$D$2:$D$225,D165))</f>
        <v>32</v>
      </c>
      <c r="Q165" s="249">
        <f ca="1">IF('Point Data'!D165&gt;Standings!$Q$27,"",SUMIFS($L$2:$L$225,$D$2:$D$225,D165))</f>
        <v>513</v>
      </c>
      <c r="R165" s="249">
        <f ca="1">IF($D165&gt;Standings!$Q$27,"",IF(U165="T",(Z165+0.5)/(D165)*100,(Z165/D165)*100))</f>
        <v>30</v>
      </c>
      <c r="S165" s="248">
        <f ca="1">IF($D165&gt;Standings!$Q$27,"",$J165-$K165)</f>
        <v>-6.1700000000000017</v>
      </c>
      <c r="T165" s="248">
        <f ca="1">IF($D165&gt;Standings!$Q$27,"",AVERAGE(OFFSET(S165,(-$D165+1),0,1,1):S165))</f>
        <v>0.72800000000000153</v>
      </c>
      <c r="U165" s="172">
        <f ca="1">IF($D165&gt;Standings!$Q$27,"",IF(J165&gt;K165,1,IF(J165=K165,"T",0)))</f>
        <v>0</v>
      </c>
      <c r="V165" s="172">
        <f ca="1">IF($D165&gt;Standings!$Q$27,"",IF(F165="Conf",V164,SUMIFS($U$2:$U$225,$D$2:$D$225,"&lt;="&amp;$D165,$B$2:$B$225,$B165,$F$2:$F$225,"Non Conf")))</f>
        <v>0</v>
      </c>
      <c r="W165" s="172" t="str">
        <f ca="1">IF($D165&gt;Standings!$Q$27,"",$V165&amp;"-"&amp;COUNTIF(OFFSET($F165,(-$D165+1),0,1,1):$F165,"Non Conf")-$V165)</f>
        <v>0-6</v>
      </c>
      <c r="X165" s="172">
        <f ca="1">IF($D165&gt;Standings!$Q$27,"",SUMIFS($U$2:$U$225,$D$2:$D$225,"&lt;="&amp;$D165,$B$2:$B$225,$B165,$F$2:$F$225,"Conf"))</f>
        <v>3</v>
      </c>
      <c r="Y165" s="172" t="str">
        <f ca="1">IF($D165&gt;Standings!$Q$27,"",$X165&amp;"-"&amp;COUNTIF(OFFSET($F165,(-$D165+1),0,1,1):$F165,"Conf")-$X165)</f>
        <v>3-1</v>
      </c>
      <c r="Z165" s="172">
        <f ca="1">IF($D165&gt;Standings!$Q$27,"",SUM(OFFSET(U165,(-$D165+1),0,1,1):U165))</f>
        <v>3</v>
      </c>
      <c r="AA165" s="172">
        <f ca="1">IF($D165&gt;Standings!$Q$27,"",IF(U165=1,1+AA164,0))</f>
        <v>0</v>
      </c>
      <c r="AB165" s="267">
        <f ca="1">IF($D165&gt;Standings!$Q$27,"",IF(AA165=0,1+AB164,0))</f>
        <v>2</v>
      </c>
      <c r="AC165" s="251">
        <f ca="1">IF($D165&gt;Standings!$Q$27,"",SUM(OFFSET(J165,(-$D165+1),0,1,1):J165))</f>
        <v>953.27</v>
      </c>
      <c r="AD165" s="248">
        <f ca="1">IF($D165&gt;Standings!$Q$27,"",SUM(OFFSET(K165,(-$D165+1),0,1,1):K165))</f>
        <v>945.99</v>
      </c>
      <c r="AE165" s="248">
        <f ca="1">IF($D165&gt;Standings!$Q$27,"",$J165-$K165)</f>
        <v>-6.1700000000000017</v>
      </c>
      <c r="AF165" s="248">
        <f ca="1">IF($D165&gt;Standings!$Q$27,"",AC165-AD165)</f>
        <v>7.2799999999999727</v>
      </c>
      <c r="AG165" s="252">
        <f ca="1">IF($D165&gt;Standings!$Q$27,"",(COUNTIFS($D$2:$D$225,$D165,$C$2:$C$225,$C165,$AC$2:$AC$225,"&lt;"&amp;$AC165)+1)*0.01)</f>
        <v>0.03</v>
      </c>
      <c r="AH165" s="252">
        <f ca="1">IF($D165&gt;Standings!$Q$27,"",Z165+AG165)</f>
        <v>3.03</v>
      </c>
      <c r="AI165" s="252"/>
      <c r="AJ165" s="172">
        <f t="array" aca="1" ref="AJ165" ca="1">IF($D165&gt;Standings!$Q$27,"",(COUNTIFS($D$2:$D$225,$D165,$C$2:$C$225,$C165,$AM$2:$AM$225,"&gt;"&amp;$AM165)+1))</f>
        <v>7</v>
      </c>
      <c r="AK165" s="172">
        <f t="array" aca="1" ref="AK165" ca="1">IF($D165&gt;Standings!$Q$27,"",IF((COUNTIFS($D$2:$D$225,$D165,$C$2:$C$225,$C165,$AH$2:$AH$225,"&gt;"&amp;$AH165)+1)=2,1,0))</f>
        <v>0</v>
      </c>
      <c r="AL165" s="172">
        <f t="array" aca="1" ref="AL165" ca="1">IF($D165&gt;Standings!$Q$27,"",IF((COUNTIFS($D$2:$D$225,$D165,$C$2:$C$225,$C165,$AH$2:$AH$225,"&gt;"&amp;$AH165)+1)&lt;2,1,0))</f>
        <v>0</v>
      </c>
      <c r="AM165" s="172">
        <f ca="1">IF($D165&gt;Standings!$Q$27,"",IF(AL165=1,200+Z165+(16-AQ165)*0.01+AI165,IF(AK165=1,100+Z165+(16-AQ165)*0.01+AI165,IF(AN165=1,50+Z165+(16-AQ165)*0.01,IF(AO165=1,15+Z165+(16-AQ165)*0.01,Z165+(16-AQ165)*0.01+AI165)))))</f>
        <v>3.04</v>
      </c>
      <c r="AN165" s="172">
        <f ca="1">IF($D165&gt;Standings!$Q$27,"",IF(OR($AK165=1,$AL165=1),"Conf Playoff Spot",COUNTIFS($AL$2:$AL$225,0,$AK$2:$AK$225,0,$C$2:$C$225,$C165,$D$2:$D$225,$D165,$AC$2:$AC$225,"&gt;"&amp;$AC165)+1))</f>
        <v>4</v>
      </c>
      <c r="AO165" s="172">
        <f t="array" aca="1" ref="AO165" ca="1">IF($D165&gt;Standings!$Q$27,"",IF(OR($AK165=1,$AL165=1),"Conf Playoff Spot",COUNTIFS($AK$2:$AK$225,0,$AL$2:$AL$225,0,$D$2:$D$225,$D165,$AH$2:$AH$225,"&gt;"&amp;$AH165)+1))</f>
        <v>10</v>
      </c>
      <c r="AP165" s="172">
        <f t="array" aca="1" ref="AP165" ca="1">IF($D165&gt;Standings!$Q$27,"",(COUNTIFS($D$2:$D$225,$D165,$J$2:$J$225,"&gt;"&amp;$J165)+1))</f>
        <v>11</v>
      </c>
      <c r="AQ165" s="172">
        <f ca="1">IF($D165&gt;Standings!$Q$27,"",(COUNTIFS($D$2:$D$225,$D165,$AC$2:$AC$225,"&gt;"&amp;$AC165)+1))</f>
        <v>12</v>
      </c>
      <c r="AR165" s="172">
        <f ca="1">IF($D165&gt;Standings!$Q$27,"",(COUNTIFS($D$2:$D$225,$D165,$K$2:$K$225,"&gt;"&amp;$K165)+1))</f>
        <v>10</v>
      </c>
      <c r="AS165" s="172">
        <f ca="1">IF($D165&gt;Standings!$Q$27,"",(COUNTIFS($D$2:$D$225,$D165,$AD$2:$AD$225,"&gt;"&amp;$AD165)+1))</f>
        <v>13</v>
      </c>
      <c r="AT165" s="354">
        <f ca="1">IF($D165&gt;Standings!$Q$27,"",SUMIFS($J$2:$J$225,$D$2:$D$225,$D165,$C$2:$C$225,$C165))</f>
        <v>737.32999999999993</v>
      </c>
      <c r="AU165" s="253">
        <f ca="1">IF($D165&gt;Standings!$Q$27,"",SUMIFS($AC$2:$AC$225,$D$2:$D$225,$D165,$C$2:$C$225,$C165))</f>
        <v>8114.7500000000009</v>
      </c>
    </row>
    <row r="166" spans="1:47">
      <c r="A166" s="190">
        <f t="shared" si="2"/>
        <v>171</v>
      </c>
      <c r="B166" s="5" t="str">
        <f>'ESPN Data'!$L$15</f>
        <v>Team 12</v>
      </c>
      <c r="C166" s="350" t="str">
        <f>VLOOKUP(B166,'ESPN Data'!$L$4:$M$19,2,FALSE)</f>
        <v>Wardo</v>
      </c>
      <c r="D166" s="400">
        <v>11</v>
      </c>
      <c r="E166" s="267" t="str">
        <f t="array" ref="E166">INDEX('ESPN Data'!$C$3:$C$226,MATCH(1,('ESPN Data'!$A$3:$A$226='Point Data'!$D166)*('ESPN Data'!$B$3:$B$226='Point Data'!$B166),0))</f>
        <v>Team 13</v>
      </c>
      <c r="F166" s="250" t="str">
        <f>IF(C166&lt;&gt;VLOOKUP($E166,'ESPN Data'!$L$4:$M$19,2,FALSE),"Non Conf", "Conf")</f>
        <v>Conf</v>
      </c>
      <c r="G166" s="246">
        <f t="array" aca="1" ref="G166" ca="1">IF('Point Data'!$D166&gt;Standings!$Q$27,"",(COUNTIFS($D$2:$D$225,$D166,$AM$2:$AM$225,"&gt;"&amp;$AM166)+1))</f>
        <v>15</v>
      </c>
      <c r="H166" s="172">
        <f ca="1">IF('Point Data'!$D166&gt;Standings!$Q$27,"",$G165)</f>
        <v>14</v>
      </c>
      <c r="I166" s="249">
        <f ca="1">IF('Point Data'!D166&gt;Standings!$Q$27,"",H166-G166)</f>
        <v>-1</v>
      </c>
      <c r="J166" s="172">
        <f ca="1">IF('Point Data'!D166&gt;Standings!$Q$27,"",OFFSET('ESPN Data'!D$3,$A166,0,1,1))</f>
        <v>69.319999999999993</v>
      </c>
      <c r="K166" s="248">
        <f ca="1">IF('Point Data'!D166&gt;Standings!$Q$27,"",OFFSET('ESPN Data'!E$3,$A166,0,1,1))</f>
        <v>85.8</v>
      </c>
      <c r="L166" s="249">
        <f ca="1">IF('Point Data'!D166&gt;Standings!$Q$27,"",OFFSET('ESPN Data'!I$3,$A166,0,1,1))</f>
        <v>38</v>
      </c>
      <c r="M166" s="249">
        <f ca="1">IF('Point Data'!D166&gt;Standings!$Q$27,"",OFFSET('ESPN Data'!I$3,$A166,-2,1,1))</f>
        <v>0</v>
      </c>
      <c r="N166" s="249">
        <f ca="1">IF('Point Data'!D166&gt;Standings!$Q$27,"",SUMIFS($M$2:$M$225,$D$2:$D$225,D166,$C$2:$C$225,C166))</f>
        <v>10</v>
      </c>
      <c r="O166" s="249">
        <f ca="1">IF('Point Data'!D166&gt;Standings!$Q$27,"",SUMIFS($L$2:$L$225,$D$2:$D$225,$D166,$C$2:$C$225,$C166))</f>
        <v>217</v>
      </c>
      <c r="P166" s="249">
        <f ca="1">IF('Point Data'!D166&gt;Standings!$Q$27,"",SUMIFS($M$2:$M$225,$D$2:$D$225,D166))</f>
        <v>61</v>
      </c>
      <c r="Q166" s="249">
        <f ca="1">IF('Point Data'!D166&gt;Standings!$Q$27,"",SUMIFS($L$2:$L$225,$D$2:$D$225,D166))</f>
        <v>452</v>
      </c>
      <c r="R166" s="249">
        <f ca="1">IF($D166&gt;Standings!$Q$27,"",IF(U166="T",(Z166+0.5)/(D166)*100,(Z166/D166)*100))</f>
        <v>27.27272727272727</v>
      </c>
      <c r="S166" s="248">
        <f ca="1">IF($D166&gt;Standings!$Q$27,"",$J166-$K166)</f>
        <v>-16.480000000000004</v>
      </c>
      <c r="T166" s="248">
        <f ca="1">IF($D166&gt;Standings!$Q$27,"",AVERAGE(OFFSET(S166,(-$D166+1),0,1,1):S166))</f>
        <v>-0.83636363636363531</v>
      </c>
      <c r="U166" s="172">
        <f ca="1">IF($D166&gt;Standings!$Q$27,"",IF(J166&gt;K166,1,IF(J166=K166,"T",0)))</f>
        <v>0</v>
      </c>
      <c r="V166" s="172">
        <f ca="1">IF($D166&gt;Standings!$Q$27,"",IF(F166="Conf",V165,SUMIFS($U$2:$U$225,$D$2:$D$225,"&lt;="&amp;$D166,$B$2:$B$225,$B166,$F$2:$F$225,"Non Conf")))</f>
        <v>0</v>
      </c>
      <c r="W166" s="172" t="str">
        <f ca="1">IF($D166&gt;Standings!$Q$27,"",$V166&amp;"-"&amp;COUNTIF(OFFSET($F166,(-$D166+1),0,1,1):$F166,"Non Conf")-$V166)</f>
        <v>0-6</v>
      </c>
      <c r="X166" s="172">
        <f ca="1">IF($D166&gt;Standings!$Q$27,"",SUMIFS($U$2:$U$225,$D$2:$D$225,"&lt;="&amp;$D166,$B$2:$B$225,$B166,$F$2:$F$225,"Conf"))</f>
        <v>3</v>
      </c>
      <c r="Y166" s="172" t="str">
        <f ca="1">IF($D166&gt;Standings!$Q$27,"",$X166&amp;"-"&amp;COUNTIF(OFFSET($F166,(-$D166+1),0,1,1):$F166,"Conf")-$X166)</f>
        <v>3-2</v>
      </c>
      <c r="Z166" s="172">
        <f ca="1">IF($D166&gt;Standings!$Q$27,"",SUM(OFFSET(U166,(-$D166+1),0,1,1):U166))</f>
        <v>3</v>
      </c>
      <c r="AA166" s="172">
        <f ca="1">IF($D166&gt;Standings!$Q$27,"",IF(U166=1,1+AA165,0))</f>
        <v>0</v>
      </c>
      <c r="AB166" s="267">
        <f ca="1">IF($D166&gt;Standings!$Q$27,"",IF(AA166=0,1+AB165,0))</f>
        <v>3</v>
      </c>
      <c r="AC166" s="251">
        <f ca="1">IF($D166&gt;Standings!$Q$27,"",SUM(OFFSET(J166,(-$D166+1),0,1,1):J166))</f>
        <v>1022.5899999999999</v>
      </c>
      <c r="AD166" s="248">
        <f ca="1">IF($D166&gt;Standings!$Q$27,"",SUM(OFFSET(K166,(-$D166+1),0,1,1):K166))</f>
        <v>1031.79</v>
      </c>
      <c r="AE166" s="248">
        <f ca="1">IF($D166&gt;Standings!$Q$27,"",$J166-$K166)</f>
        <v>-16.480000000000004</v>
      </c>
      <c r="AF166" s="248">
        <f ca="1">IF($D166&gt;Standings!$Q$27,"",AC166-AD166)</f>
        <v>-9.2000000000000455</v>
      </c>
      <c r="AG166" s="252">
        <f ca="1">IF($D166&gt;Standings!$Q$27,"",(COUNTIFS($D$2:$D$225,$D166,$C$2:$C$225,$C166,$AC$2:$AC$225,"&lt;"&amp;$AC166)+1)*0.01)</f>
        <v>0.02</v>
      </c>
      <c r="AH166" s="252">
        <f ca="1">IF($D166&gt;Standings!$Q$27,"",Z166+AG166)</f>
        <v>3.02</v>
      </c>
      <c r="AI166" s="252"/>
      <c r="AJ166" s="172">
        <f t="array" aca="1" ref="AJ166" ca="1">IF($D166&gt;Standings!$Q$27,"",(COUNTIFS($D$2:$D$225,$D166,$C$2:$C$225,$C166,$AM$2:$AM$225,"&gt;"&amp;$AM166)+1))</f>
        <v>8</v>
      </c>
      <c r="AK166" s="172">
        <f t="array" aca="1" ref="AK166" ca="1">IF($D166&gt;Standings!$Q$27,"",IF((COUNTIFS($D$2:$D$225,$D166,$C$2:$C$225,$C166,$AH$2:$AH$225,"&gt;"&amp;$AH166)+1)=2,1,0))</f>
        <v>0</v>
      </c>
      <c r="AL166" s="172">
        <f t="array" aca="1" ref="AL166" ca="1">IF($D166&gt;Standings!$Q$27,"",IF((COUNTIFS($D$2:$D$225,$D166,$C$2:$C$225,$C166,$AH$2:$AH$225,"&gt;"&amp;$AH166)+1)&lt;2,1,0))</f>
        <v>0</v>
      </c>
      <c r="AM166" s="172">
        <f ca="1">IF($D166&gt;Standings!$Q$27,"",IF(AL166=1,200+Z166+(16-AQ166)*0.01+AI166,IF(AK166=1,100+Z166+(16-AQ166)*0.01+AI166,IF(AN166=1,50+Z166+(16-AQ166)*0.01,IF(AO166=1,15+Z166+(16-AQ166)*0.01,Z166+(16-AQ166)*0.01+AI166)))))</f>
        <v>3.02</v>
      </c>
      <c r="AN166" s="172">
        <f ca="1">IF($D166&gt;Standings!$Q$27,"",IF(OR($AK166=1,$AL166=1),"Conf Playoff Spot",COUNTIFS($AL$2:$AL$225,0,$AK$2:$AK$225,0,$C$2:$C$225,$C166,$D$2:$D$225,$D166,$AC$2:$AC$225,"&gt;"&amp;$AC166)+1))</f>
        <v>5</v>
      </c>
      <c r="AO166" s="172">
        <f t="array" aca="1" ref="AO166" ca="1">IF($D166&gt;Standings!$Q$27,"",IF(OR($AK166=1,$AL166=1),"Conf Playoff Spot",COUNTIFS($AK$2:$AK$225,0,$AL$2:$AL$225,0,$D$2:$D$225,$D166,$AH$2:$AH$225,"&gt;"&amp;$AH166)+1))</f>
        <v>11</v>
      </c>
      <c r="AP166" s="172">
        <f t="array" aca="1" ref="AP166" ca="1">IF($D166&gt;Standings!$Q$27,"",(COUNTIFS($D$2:$D$225,$D166,$J$2:$J$225,"&gt;"&amp;$J166)+1))</f>
        <v>16</v>
      </c>
      <c r="AQ166" s="172">
        <f ca="1">IF($D166&gt;Standings!$Q$27,"",(COUNTIFS($D$2:$D$225,$D166,$AC$2:$AC$225,"&gt;"&amp;$AC166)+1))</f>
        <v>14</v>
      </c>
      <c r="AR166" s="172">
        <f ca="1">IF($D166&gt;Standings!$Q$27,"",(COUNTIFS($D$2:$D$225,$D166,$K$2:$K$225,"&gt;"&amp;$K166)+1))</f>
        <v>13</v>
      </c>
      <c r="AS166" s="172">
        <f ca="1">IF($D166&gt;Standings!$Q$27,"",(COUNTIFS($D$2:$D$225,$D166,$AD$2:$AD$225,"&gt;"&amp;$AD166)+1))</f>
        <v>14</v>
      </c>
      <c r="AT166" s="354">
        <f ca="1">IF($D166&gt;Standings!$Q$27,"",SUMIFS($J$2:$J$225,$D$2:$D$225,$D166,$C$2:$C$225,$C166))</f>
        <v>790.16000000000008</v>
      </c>
      <c r="AU166" s="253">
        <f ca="1">IF($D166&gt;Standings!$Q$27,"",SUMIFS($AC$2:$AC$225,$D$2:$D$225,$D166,$C$2:$C$225,$C166))</f>
        <v>8904.91</v>
      </c>
    </row>
    <row r="167" spans="1:47">
      <c r="A167" s="190">
        <f t="shared" si="2"/>
        <v>187</v>
      </c>
      <c r="B167" s="5" t="str">
        <f>'ESPN Data'!$L$15</f>
        <v>Team 12</v>
      </c>
      <c r="C167" s="350" t="str">
        <f>VLOOKUP(B167,'ESPN Data'!$L$4:$M$19,2,FALSE)</f>
        <v>Wardo</v>
      </c>
      <c r="D167" s="400">
        <v>12</v>
      </c>
      <c r="E167" s="267" t="str">
        <f t="array" ref="E167">INDEX('ESPN Data'!$C$3:$C$226,MATCH(1,('ESPN Data'!$A$3:$A$226='Point Data'!$D167)*('ESPN Data'!$B$3:$B$226='Point Data'!$B167),0))</f>
        <v>Team 1</v>
      </c>
      <c r="F167" s="250" t="str">
        <f>IF(C167&lt;&gt;VLOOKUP($E167,'ESPN Data'!$L$4:$M$19,2,FALSE),"Non Conf", "Conf")</f>
        <v>Non Conf</v>
      </c>
      <c r="G167" s="246">
        <f t="array" aca="1" ref="G167" ca="1">IF('Point Data'!$D167&gt;Standings!$Q$27,"",(COUNTIFS($D$2:$D$225,$D167,$AM$2:$AM$225,"&gt;"&amp;$AM167)+1))</f>
        <v>15</v>
      </c>
      <c r="H167" s="172">
        <f ca="1">IF('Point Data'!$D167&gt;Standings!$Q$27,"",$G166)</f>
        <v>15</v>
      </c>
      <c r="I167" s="249">
        <f ca="1">IF('Point Data'!D167&gt;Standings!$Q$27,"",H167-G167)</f>
        <v>0</v>
      </c>
      <c r="J167" s="172">
        <f ca="1">IF('Point Data'!D167&gt;Standings!$Q$27,"",OFFSET('ESPN Data'!D$3,$A167,0,1,1))</f>
        <v>85.52</v>
      </c>
      <c r="K167" s="248">
        <f ca="1">IF('Point Data'!D167&gt;Standings!$Q$27,"",OFFSET('ESPN Data'!E$3,$A167,0,1,1))</f>
        <v>98.98</v>
      </c>
      <c r="L167" s="249">
        <f ca="1">IF('Point Data'!D167&gt;Standings!$Q$27,"",OFFSET('ESPN Data'!I$3,$A167,0,1,1))</f>
        <v>38</v>
      </c>
      <c r="M167" s="249">
        <f ca="1">IF('Point Data'!D167&gt;Standings!$Q$27,"",OFFSET('ESPN Data'!I$3,$A167,-2,1,1))</f>
        <v>0</v>
      </c>
      <c r="N167" s="249">
        <f ca="1">IF('Point Data'!D167&gt;Standings!$Q$27,"",SUMIFS($M$2:$M$225,$D$2:$D$225,D167,$C$2:$C$225,C167))</f>
        <v>35</v>
      </c>
      <c r="O167" s="249">
        <f ca="1">IF('Point Data'!D167&gt;Standings!$Q$27,"",SUMIFS($L$2:$L$225,$D$2:$D$225,$D167,$C$2:$C$225,$C167))</f>
        <v>182</v>
      </c>
      <c r="P167" s="249">
        <f ca="1">IF('Point Data'!D167&gt;Standings!$Q$27,"",SUMIFS($M$2:$M$225,$D$2:$D$225,D167))</f>
        <v>41</v>
      </c>
      <c r="Q167" s="249">
        <f ca="1">IF('Point Data'!D167&gt;Standings!$Q$27,"",SUMIFS($L$2:$L$225,$D$2:$D$225,D167))</f>
        <v>411</v>
      </c>
      <c r="R167" s="249">
        <f ca="1">IF($D167&gt;Standings!$Q$27,"",IF(U167="T",(Z167+0.5)/(D167)*100,(Z167/D167)*100))</f>
        <v>25</v>
      </c>
      <c r="S167" s="248">
        <f ca="1">IF($D167&gt;Standings!$Q$27,"",$J167-$K167)</f>
        <v>-13.460000000000008</v>
      </c>
      <c r="T167" s="248">
        <f ca="1">IF($D167&gt;Standings!$Q$27,"",AVERAGE(OFFSET(S167,(-$D167+1),0,1,1):S167))</f>
        <v>-1.888333333333333</v>
      </c>
      <c r="U167" s="172">
        <f ca="1">IF($D167&gt;Standings!$Q$27,"",IF(J167&gt;K167,1,IF(J167=K167,"T",0)))</f>
        <v>0</v>
      </c>
      <c r="V167" s="172">
        <f ca="1">IF($D167&gt;Standings!$Q$27,"",IF(F167="Conf",V166,SUMIFS($U$2:$U$225,$D$2:$D$225,"&lt;="&amp;$D167,$B$2:$B$225,$B167,$F$2:$F$225,"Non Conf")))</f>
        <v>0</v>
      </c>
      <c r="W167" s="172" t="str">
        <f ca="1">IF($D167&gt;Standings!$Q$27,"",$V167&amp;"-"&amp;COUNTIF(OFFSET($F167,(-$D167+1),0,1,1):$F167,"Non Conf")-$V167)</f>
        <v>0-7</v>
      </c>
      <c r="X167" s="172">
        <f ca="1">IF($D167&gt;Standings!$Q$27,"",SUMIFS($U$2:$U$225,$D$2:$D$225,"&lt;="&amp;$D167,$B$2:$B$225,$B167,$F$2:$F$225,"Conf"))</f>
        <v>3</v>
      </c>
      <c r="Y167" s="172" t="str">
        <f ca="1">IF($D167&gt;Standings!$Q$27,"",$X167&amp;"-"&amp;COUNTIF(OFFSET($F167,(-$D167+1),0,1,1):$F167,"Conf")-$X167)</f>
        <v>3-2</v>
      </c>
      <c r="Z167" s="172">
        <f ca="1">IF($D167&gt;Standings!$Q$27,"",SUM(OFFSET(U167,(-$D167+1),0,1,1):U167))</f>
        <v>3</v>
      </c>
      <c r="AA167" s="172">
        <f ca="1">IF($D167&gt;Standings!$Q$27,"",IF(U167=1,1+AA166,0))</f>
        <v>0</v>
      </c>
      <c r="AB167" s="267">
        <f ca="1">IF($D167&gt;Standings!$Q$27,"",IF(AA167=0,1+AB166,0))</f>
        <v>4</v>
      </c>
      <c r="AC167" s="251">
        <f ca="1">IF($D167&gt;Standings!$Q$27,"",SUM(OFFSET(J167,(-$D167+1),0,1,1):J167))</f>
        <v>1108.1099999999999</v>
      </c>
      <c r="AD167" s="248">
        <f ca="1">IF($D167&gt;Standings!$Q$27,"",SUM(OFFSET(K167,(-$D167+1),0,1,1):K167))</f>
        <v>1130.77</v>
      </c>
      <c r="AE167" s="248">
        <f ca="1">IF($D167&gt;Standings!$Q$27,"",$J167-$K167)</f>
        <v>-13.460000000000008</v>
      </c>
      <c r="AF167" s="248">
        <f ca="1">IF($D167&gt;Standings!$Q$27,"",AC167-AD167)</f>
        <v>-22.660000000000082</v>
      </c>
      <c r="AG167" s="252">
        <f ca="1">IF($D167&gt;Standings!$Q$27,"",(COUNTIFS($D$2:$D$225,$D167,$C$2:$C$225,$C167,$AC$2:$AC$225,"&lt;"&amp;$AC167)+1)*0.01)</f>
        <v>0.02</v>
      </c>
      <c r="AH167" s="252">
        <f ca="1">IF($D167&gt;Standings!$Q$27,"",Z167+AG167)</f>
        <v>3.02</v>
      </c>
      <c r="AI167" s="252"/>
      <c r="AJ167" s="172">
        <f t="array" aca="1" ref="AJ167" ca="1">IF($D167&gt;Standings!$Q$27,"",(COUNTIFS($D$2:$D$225,$D167,$C$2:$C$225,$C167,$AM$2:$AM$225,"&gt;"&amp;$AM167)+1))</f>
        <v>8</v>
      </c>
      <c r="AK167" s="172">
        <f t="array" aca="1" ref="AK167" ca="1">IF($D167&gt;Standings!$Q$27,"",IF((COUNTIFS($D$2:$D$225,$D167,$C$2:$C$225,$C167,$AH$2:$AH$225,"&gt;"&amp;$AH167)+1)=2,1,0))</f>
        <v>0</v>
      </c>
      <c r="AL167" s="172">
        <f t="array" aca="1" ref="AL167" ca="1">IF($D167&gt;Standings!$Q$27,"",IF((COUNTIFS($D$2:$D$225,$D167,$C$2:$C$225,$C167,$AH$2:$AH$225,"&gt;"&amp;$AH167)+1)&lt;2,1,0))</f>
        <v>0</v>
      </c>
      <c r="AM167" s="172">
        <f ca="1">IF($D167&gt;Standings!$Q$27,"",IF(AL167=1,200+Z167+(16-AQ167)*0.01+AI167,IF(AK167=1,100+Z167+(16-AQ167)*0.01+AI167,IF(AN167=1,50+Z167+(16-AQ167)*0.01,IF(AO167=1,15+Z167+(16-AQ167)*0.01,Z167+(16-AQ167)*0.01+AI167)))))</f>
        <v>3.02</v>
      </c>
      <c r="AN167" s="172">
        <f ca="1">IF($D167&gt;Standings!$Q$27,"",IF(OR($AK167=1,$AL167=1),"Conf Playoff Spot",COUNTIFS($AL$2:$AL$225,0,$AK$2:$AK$225,0,$C$2:$C$225,$C167,$D$2:$D$225,$D167,$AC$2:$AC$225,"&gt;"&amp;$AC167)+1))</f>
        <v>5</v>
      </c>
      <c r="AO167" s="172">
        <f t="array" aca="1" ref="AO167" ca="1">IF($D167&gt;Standings!$Q$27,"",IF(OR($AK167=1,$AL167=1),"Conf Playoff Spot",COUNTIFS($AK$2:$AK$225,0,$AL$2:$AL$225,0,$D$2:$D$225,$D167,$AH$2:$AH$225,"&gt;"&amp;$AH167)+1))</f>
        <v>11</v>
      </c>
      <c r="AP167" s="172">
        <f t="array" aca="1" ref="AP167" ca="1">IF($D167&gt;Standings!$Q$27,"",(COUNTIFS($D$2:$D$225,$D167,$J$2:$J$225,"&gt;"&amp;$J167)+1))</f>
        <v>13</v>
      </c>
      <c r="AQ167" s="172">
        <f ca="1">IF($D167&gt;Standings!$Q$27,"",(COUNTIFS($D$2:$D$225,$D167,$AC$2:$AC$225,"&gt;"&amp;$AC167)+1))</f>
        <v>14</v>
      </c>
      <c r="AR167" s="172">
        <f ca="1">IF($D167&gt;Standings!$Q$27,"",(COUNTIFS($D$2:$D$225,$D167,$K$2:$K$225,"&gt;"&amp;$K167)+1))</f>
        <v>8</v>
      </c>
      <c r="AS167" s="172">
        <f ca="1">IF($D167&gt;Standings!$Q$27,"",(COUNTIFS($D$2:$D$225,$D167,$AD$2:$AD$225,"&gt;"&amp;$AD167)+1))</f>
        <v>14</v>
      </c>
      <c r="AT167" s="354">
        <f ca="1">IF($D167&gt;Standings!$Q$27,"",SUMIFS($J$2:$J$225,$D$2:$D$225,$D167,$C$2:$C$225,$C167))</f>
        <v>746.43999999999994</v>
      </c>
      <c r="AU167" s="253">
        <f ca="1">IF($D167&gt;Standings!$Q$27,"",SUMIFS($AC$2:$AC$225,$D$2:$D$225,$D167,$C$2:$C$225,$C167))</f>
        <v>9651.35</v>
      </c>
    </row>
    <row r="168" spans="1:47" s="190" customFormat="1">
      <c r="A168" s="190">
        <f t="shared" si="2"/>
        <v>203</v>
      </c>
      <c r="B168" s="56" t="str">
        <f>'ESPN Data'!$L$15</f>
        <v>Team 12</v>
      </c>
      <c r="C168" s="352" t="str">
        <f>VLOOKUP(B168,'ESPN Data'!$L$4:$M$19,2,FALSE)</f>
        <v>Wardo</v>
      </c>
      <c r="D168" s="553">
        <v>13</v>
      </c>
      <c r="E168" s="275" t="str">
        <f t="array" ref="E168">INDEX('ESPN Data'!$C$3:$C$226,MATCH(1,('ESPN Data'!$A$3:$A$226='Point Data'!$D168)*('ESPN Data'!$B$3:$B$226='Point Data'!$B168),0))</f>
        <v>Team 5</v>
      </c>
      <c r="F168" s="274" t="str">
        <f>IF(C168&lt;&gt;VLOOKUP($E168,'ESPN Data'!$L$4:$M$19,2,FALSE),"Non Conf", "Conf")</f>
        <v>Non Conf</v>
      </c>
      <c r="G168" s="271">
        <f t="array" aca="1" ref="G168" ca="1">IF('Point Data'!$D168&gt;Standings!$Q$27,"",(COUNTIFS($D$2:$D$225,$D168,$AM$2:$AM$225,"&gt;"&amp;$AM168)+1))</f>
        <v>15</v>
      </c>
      <c r="H168" s="264">
        <f ca="1">IF('Point Data'!$D168&gt;Standings!$Q$27,"",$G167)</f>
        <v>15</v>
      </c>
      <c r="I168" s="265">
        <f ca="1">IF('Point Data'!D168&gt;Standings!$Q$27,"",H168-G168)</f>
        <v>0</v>
      </c>
      <c r="J168" s="264">
        <f ca="1">IF('Point Data'!D168&gt;Standings!$Q$27,"",OFFSET('ESPN Data'!D$3,$A168,0,1,1))</f>
        <v>90.95</v>
      </c>
      <c r="K168" s="272">
        <f ca="1">IF('Point Data'!D168&gt;Standings!$Q$27,"",OFFSET('ESPN Data'!E$3,$A168,0,1,1))</f>
        <v>90.68</v>
      </c>
      <c r="L168" s="265">
        <f ca="1">IF('Point Data'!D168&gt;Standings!$Q$27,"",OFFSET('ESPN Data'!I$3,$A168,0,1,1))</f>
        <v>38</v>
      </c>
      <c r="M168" s="265">
        <f ca="1">IF('Point Data'!D168&gt;Standings!$Q$27,"",OFFSET('ESPN Data'!I$3,$A168,-2,1,1))</f>
        <v>0</v>
      </c>
      <c r="N168" s="265">
        <f ca="1">IF('Point Data'!D168&gt;Standings!$Q$27,"",SUMIFS($M$2:$M$225,$D$2:$D$225,D168,$C$2:$C$225,C168))</f>
        <v>36</v>
      </c>
      <c r="O168" s="265">
        <f ca="1">IF('Point Data'!D168&gt;Standings!$Q$27,"",SUMIFS($L$2:$L$225,$D$2:$D$225,$D168,$C$2:$C$225,$C168))</f>
        <v>146</v>
      </c>
      <c r="P168" s="265">
        <f ca="1">IF('Point Data'!D168&gt;Standings!$Q$27,"",SUMIFS($M$2:$M$225,$D$2:$D$225,D168))</f>
        <v>41</v>
      </c>
      <c r="Q168" s="265">
        <f ca="1">IF('Point Data'!D168&gt;Standings!$Q$27,"",SUMIFS($L$2:$L$225,$D$2:$D$225,D168))</f>
        <v>370</v>
      </c>
      <c r="R168" s="265">
        <f ca="1">IF($D168&gt;Standings!$Q$27,"",IF(U168="T",(Z168+0.5)/(D168)*100,(Z168/D168)*100))</f>
        <v>30.76923076923077</v>
      </c>
      <c r="S168" s="272">
        <f ca="1">IF($D168&gt;Standings!$Q$27,"",$J168-$K168)</f>
        <v>0.26999999999999602</v>
      </c>
      <c r="T168" s="272">
        <f ca="1">IF($D168&gt;Standings!$Q$27,"",AVERAGE(OFFSET(S168,(-$D168+1),0,1,1):S168))</f>
        <v>-1.7223076923076923</v>
      </c>
      <c r="U168" s="264">
        <f ca="1">IF($D168&gt;Standings!$Q$27,"",IF(J168&gt;K168,1,IF(J168=K168,"T",0)))</f>
        <v>1</v>
      </c>
      <c r="V168" s="264">
        <f ca="1">IF($D168&gt;Standings!$Q$27,"",IF(F168="Conf",V167,SUMIFS($U$2:$U$225,$D$2:$D$225,"&lt;="&amp;$D168,$B$2:$B$225,$B168,$F$2:$F$225,"Non Conf")))</f>
        <v>1</v>
      </c>
      <c r="W168" s="264" t="str">
        <f ca="1">IF($D168&gt;Standings!$Q$27,"",$V168&amp;"-"&amp;COUNTIF(OFFSET($F168,(-$D168+1),0,1,1):$F168,"Non Conf")-$V168)</f>
        <v>1-7</v>
      </c>
      <c r="X168" s="264">
        <f ca="1">IF($D168&gt;Standings!$Q$27,"",SUMIFS($U$2:$U$225,$D$2:$D$225,"&lt;="&amp;$D168,$B$2:$B$225,$B168,$F$2:$F$225,"Conf"))</f>
        <v>3</v>
      </c>
      <c r="Y168" s="264" t="str">
        <f ca="1">IF($D168&gt;Standings!$Q$27,"",$X168&amp;"-"&amp;COUNTIF(OFFSET($F168,(-$D168+1),0,1,1):$F168,"Conf")-$X168)</f>
        <v>3-2</v>
      </c>
      <c r="Z168" s="264">
        <f ca="1">IF($D168&gt;Standings!$Q$27,"",SUM(OFFSET(U168,(-$D168+1),0,1,1):U168))</f>
        <v>4</v>
      </c>
      <c r="AA168" s="264">
        <f ca="1">IF($D168&gt;Standings!$Q$27,"",IF(U168=1,1+AA167,0))</f>
        <v>1</v>
      </c>
      <c r="AB168" s="275">
        <f ca="1">IF($D168&gt;Standings!$Q$27,"",IF(AA168=0,1+AB167,0))</f>
        <v>0</v>
      </c>
      <c r="AC168" s="273">
        <f ca="1">IF($D168&gt;Standings!$Q$27,"",SUM(OFFSET(J168,(-$D168+1),0,1,1):J168))</f>
        <v>1199.06</v>
      </c>
      <c r="AD168" s="272">
        <f ca="1">IF($D168&gt;Standings!$Q$27,"",SUM(OFFSET(K168,(-$D168+1),0,1,1):K168))</f>
        <v>1221.45</v>
      </c>
      <c r="AE168" s="272">
        <f ca="1">IF($D168&gt;Standings!$Q$27,"",$J168-$K168)</f>
        <v>0.26999999999999602</v>
      </c>
      <c r="AF168" s="272">
        <f ca="1">IF($D168&gt;Standings!$Q$27,"",AC168-AD168)</f>
        <v>-22.3900000000001</v>
      </c>
      <c r="AG168" s="263">
        <f ca="1">IF($D168&gt;Standings!$Q$27,"",(COUNTIFS($D$2:$D$225,$D168,$C$2:$C$225,$C168,$AC$2:$AC$225,"&lt;"&amp;$AC168)+1)*0.01)</f>
        <v>0.02</v>
      </c>
      <c r="AH168" s="263">
        <f ca="1">IF($D168&gt;Standings!$Q$27,"",Z168+AG168)</f>
        <v>4.0199999999999996</v>
      </c>
      <c r="AI168" s="263"/>
      <c r="AJ168" s="264">
        <f t="array" aca="1" ref="AJ168" ca="1">IF($D168&gt;Standings!$Q$27,"",(COUNTIFS($D$2:$D$225,$D168,$C$2:$C$225,$C168,$AM$2:$AM$225,"&gt;"&amp;$AM168)+1))</f>
        <v>8</v>
      </c>
      <c r="AK168" s="264">
        <f t="array" aca="1" ref="AK168" ca="1">IF($D168&gt;Standings!$Q$27,"",IF((COUNTIFS($D$2:$D$225,$D168,$C$2:$C$225,$C168,$AH$2:$AH$225,"&gt;"&amp;$AH168)+1)=2,1,0))</f>
        <v>0</v>
      </c>
      <c r="AL168" s="264">
        <f t="array" aca="1" ref="AL168" ca="1">IF($D168&gt;Standings!$Q$27,"",IF((COUNTIFS($D$2:$D$225,$D168,$C$2:$C$225,$C168,$AH$2:$AH$225,"&gt;"&amp;$AH168)+1)&lt;2,1,0))</f>
        <v>0</v>
      </c>
      <c r="AM168" s="264">
        <f ca="1">IF($D168&gt;Standings!$Q$27,"",IF(AL168=1,200+Z168+(16-AQ168)*0.01+AI168,IF(AK168=1,100+Z168+(16-AQ168)*0.01+AI168,IF(AN168=1,50+Z168+(16-AQ168)*0.01,IF(AO168=1,15+Z168+(16-AQ168)*0.01,Z168+(16-AQ168)*0.01+AI168)))))</f>
        <v>4.0199999999999996</v>
      </c>
      <c r="AN168" s="264">
        <f ca="1">IF($D168&gt;Standings!$Q$27,"",IF(OR($AK168=1,$AL168=1),"Conf Playoff Spot",COUNTIFS($AL$2:$AL$225,0,$AK$2:$AK$225,0,$C$2:$C$225,$C168,$D$2:$D$225,$D168,$AC$2:$AC$225,"&gt;"&amp;$AC168)+1))</f>
        <v>5</v>
      </c>
      <c r="AO168" s="264">
        <f t="array" aca="1" ref="AO168" ca="1">IF($D168&gt;Standings!$Q$27,"",IF(OR($AK168=1,$AL168=1),"Conf Playoff Spot",COUNTIFS($AK$2:$AK$225,0,$AL$2:$AL$225,0,$D$2:$D$225,$D168,$AH$2:$AH$225,"&gt;"&amp;$AH168)+1))</f>
        <v>11</v>
      </c>
      <c r="AP168" s="264">
        <f t="array" aca="1" ref="AP168" ca="1">IF($D168&gt;Standings!$Q$27,"",(COUNTIFS($D$2:$D$225,$D168,$J$2:$J$225,"&gt;"&amp;$J168)+1))</f>
        <v>10</v>
      </c>
      <c r="AQ168" s="264">
        <f ca="1">IF($D168&gt;Standings!$Q$27,"",(COUNTIFS($D$2:$D$225,$D168,$AC$2:$AC$225,"&gt;"&amp;$AC168)+1))</f>
        <v>14</v>
      </c>
      <c r="AR168" s="264">
        <f ca="1">IF($D168&gt;Standings!$Q$27,"",(COUNTIFS($D$2:$D$225,$D168,$K$2:$K$225,"&gt;"&amp;$K168)+1))</f>
        <v>12</v>
      </c>
      <c r="AS168" s="264">
        <f ca="1">IF($D168&gt;Standings!$Q$27,"",(COUNTIFS($D$2:$D$225,$D168,$AD$2:$AD$225,"&gt;"&amp;$AD168)+1))</f>
        <v>14</v>
      </c>
      <c r="AT168" s="356">
        <f ca="1">IF($D168&gt;Standings!$Q$27,"",SUMIFS($J$2:$J$225,$D$2:$D$225,$D168,$C$2:$C$225,$C168))</f>
        <v>885.58</v>
      </c>
      <c r="AU168" s="340">
        <f ca="1">IF($D168&gt;Standings!$Q$27,"",SUMIFS($AC$2:$AC$225,$D$2:$D$225,$D168,$C$2:$C$225,$C168))</f>
        <v>10536.93</v>
      </c>
    </row>
    <row r="169" spans="1:47" ht="16" thickBot="1">
      <c r="A169" s="190">
        <f t="shared" si="2"/>
        <v>219</v>
      </c>
      <c r="B169" s="10" t="str">
        <f>'ESPN Data'!$L$15</f>
        <v>Team 12</v>
      </c>
      <c r="C169" s="352" t="str">
        <f>VLOOKUP(B169,'ESPN Data'!$L$4:$M$19,2,FALSE)</f>
        <v>Wardo</v>
      </c>
      <c r="D169" s="401">
        <v>14</v>
      </c>
      <c r="E169" s="268" t="str">
        <f t="array" ref="E169">INDEX('ESPN Data'!$C$3:$C$226,MATCH(1,('ESPN Data'!$A$3:$A$226='Point Data'!$D169)*('ESPN Data'!$B$3:$B$226='Point Data'!$B169),0))</f>
        <v>Team 5</v>
      </c>
      <c r="F169" s="274" t="str">
        <f>IF(C169&lt;&gt;VLOOKUP($E169,'ESPN Data'!$L$4:$M$19,2,FALSE),"Non Conf", "Conf")</f>
        <v>Non Conf</v>
      </c>
      <c r="G169" s="271" t="str">
        <f t="array" ref="G169">IF('Point Data'!$D169&gt;Standings!$Q$27,"",(COUNTIFS($D$2:$D$225,$D169,$AM$2:$AM$225,"&gt;"&amp;$AM169)+1))</f>
        <v/>
      </c>
      <c r="H169" s="264" t="str">
        <f>IF('Point Data'!$D169&gt;Standings!$Q$27,"",$G167)</f>
        <v/>
      </c>
      <c r="I169" s="265" t="str">
        <f>IF('Point Data'!D169&gt;Standings!$Q$27,"",H169-G169)</f>
        <v/>
      </c>
      <c r="J169" s="264" t="str">
        <f ca="1">IF('Point Data'!D169&gt;Standings!$Q$27,"",OFFSET('ESPN Data'!D$3,$A169,0,1,1))</f>
        <v/>
      </c>
      <c r="K169" s="272" t="str">
        <f ca="1">IF('Point Data'!D169&gt;Standings!$Q$27,"",OFFSET('ESPN Data'!E$3,$A169,0,1,1))</f>
        <v/>
      </c>
      <c r="L169" s="265" t="str">
        <f ca="1">IF('Point Data'!D169&gt;Standings!$Q$27,"",OFFSET('ESPN Data'!I$3,$A169,0,1,1))</f>
        <v/>
      </c>
      <c r="M169" s="265" t="str">
        <f ca="1">IF('Point Data'!D169&gt;Standings!$Q$27,"",OFFSET('ESPN Data'!I$3,$A169,-2,1,1))</f>
        <v/>
      </c>
      <c r="N169" s="265" t="str">
        <f>IF('Point Data'!D169&gt;Standings!$Q$27,"",SUMIFS($M$2:$M$225,$D$2:$D$225,D169,$C$2:$C$225,C169))</f>
        <v/>
      </c>
      <c r="O169" s="265" t="str">
        <f>IF('Point Data'!D169&gt;Standings!$Q$27,"",SUMIFS($L$2:$L$225,$D$2:$D$225,$D169,$C$2:$C$225,$C169))</f>
        <v/>
      </c>
      <c r="P169" s="265" t="str">
        <f>IF('Point Data'!D169&gt;Standings!$Q$27,"",SUMIFS($M$2:$M$225,$D$2:$D$225,D169))</f>
        <v/>
      </c>
      <c r="Q169" s="265" t="str">
        <f>IF('Point Data'!D169&gt;Standings!$Q$27,"",SUMIFS($L$2:$L$225,$D$2:$D$225,D169))</f>
        <v/>
      </c>
      <c r="R169" s="256" t="str">
        <f>IF($D169&gt;Standings!$Q$27,"",IF(U169="T",(Z169+0.5)/(D169)*100,(Z169/D169)*100))</f>
        <v/>
      </c>
      <c r="S169" s="272" t="str">
        <f>IF($D169&gt;Standings!$Q$27,"",$J169-$K169)</f>
        <v/>
      </c>
      <c r="T169" s="272" t="str">
        <f ca="1">IF($D169&gt;Standings!$Q$27,"",AVERAGE(OFFSET(S169,(-$D169+1),0,1,1):S169))</f>
        <v/>
      </c>
      <c r="U169" s="264" t="str">
        <f>IF($D169&gt;Standings!$Q$27,"",IF(J169&gt;K169,1,IF(J169=K169,"T",0)))</f>
        <v/>
      </c>
      <c r="V169" s="264" t="str">
        <f>IF($D169&gt;Standings!$Q$27,"",SUMIFS($U$2:$U$225,$D$2:$D$225,"&lt;="&amp;$D169,$B$2:$B$225,$B169,$F$2:$F$225,"Non Conf"))</f>
        <v/>
      </c>
      <c r="W169" s="264" t="str">
        <f ca="1">IF($D169&gt;Standings!$Q$27,"",$V169&amp;"-"&amp;COUNTIF(OFFSET($F169,(-$D169+1),0,1,1):$F169,"Non Conf")-$V169)</f>
        <v/>
      </c>
      <c r="X169" s="264" t="str">
        <f>IF($D169&gt;Standings!$Q$27,"",SUMIFS($U$2:$U$225,$D$2:$D$225,"&lt;="&amp;$D169,$B$2:$B$225,$B169,$F$2:$F$225,"Conf"))</f>
        <v/>
      </c>
      <c r="Y169" s="264" t="str">
        <f ca="1">IF($D169&gt;Standings!$Q$27,"",$X169&amp;"-"&amp;COUNTIF(OFFSET($F169,(-$D169+1),0,1,1):$F169,"Conf")-$X169)</f>
        <v/>
      </c>
      <c r="Z169" s="264" t="str">
        <f ca="1">IF($D169&gt;Standings!$Q$27,"",SUM(OFFSET(U169,(-$D169+1),0,1,1):U169))</f>
        <v/>
      </c>
      <c r="AA169" s="264" t="str">
        <f>IF($D169&gt;Standings!$Q$27,"",IF(U169=1,1+AA167,0))</f>
        <v/>
      </c>
      <c r="AB169" s="275" t="str">
        <f>IF($D169&gt;Standings!$Q$27,"",IF(AA169=0,1+AB167,0))</f>
        <v/>
      </c>
      <c r="AC169" s="273" t="str">
        <f ca="1">IF($D169&gt;Standings!$Q$27,"",SUM(OFFSET(J169,(-$D169+1),0,1,1):J169))</f>
        <v/>
      </c>
      <c r="AD169" s="272" t="str">
        <f ca="1">IF($D169&gt;Standings!$Q$27,"",SUM(OFFSET(K169,(-$D169+1),0,1,1):K169))</f>
        <v/>
      </c>
      <c r="AE169" s="272" t="str">
        <f>IF($D169&gt;Standings!$Q$27,"",$J169-$K169)</f>
        <v/>
      </c>
      <c r="AF169" s="272" t="str">
        <f>IF($D169&gt;Standings!$Q$27,"",AC169-AD169)</f>
        <v/>
      </c>
      <c r="AG169" s="263" t="str">
        <f>IF($D169&gt;Standings!$Q$27,"",(COUNTIFS($D$2:$D$225,$D169,$C$2:$C$225,$C169,$AC$2:$AC$225,"&lt;"&amp;$AC169)+1)*0.01)</f>
        <v/>
      </c>
      <c r="AH169" s="263" t="str">
        <f>IF($D169&gt;Standings!$Q$27,"",Z169+AG169)</f>
        <v/>
      </c>
      <c r="AI169" s="263"/>
      <c r="AJ169" s="264" t="str">
        <f t="array" ref="AJ169">IF($D169&gt;Standings!$Q$27,"",(COUNTIFS($D$2:$D$225,$D169,$C$2:$C$225,$C169,$AM$2:$AM$225,"&gt;"&amp;$AM169)+1))</f>
        <v/>
      </c>
      <c r="AK169" s="264" t="str">
        <f t="array" ref="AK169">IF($D169&gt;Standings!$Q$27,"",IF((COUNTIFS($D$2:$D$225,$D169,$C$2:$C$225,$C169,$AH$2:$AH$225,"&gt;"&amp;$AH169)+1)=2,1,0))</f>
        <v/>
      </c>
      <c r="AL169" s="264" t="str">
        <f t="array" ref="AL169">IF($D169&gt;Standings!$Q$27,"",IF((COUNTIFS($D$2:$D$225,$D169,$C$2:$C$225,$C169,$AH$2:$AH$225,"&gt;"&amp;$AH169)+1)&lt;2,1,0))</f>
        <v/>
      </c>
      <c r="AM169" s="264" t="str">
        <f>IF($D169&gt;Standings!$Q$27,"",IF(AL169=1,200+Z169+(16-AQ169)*0.01+AI169,IF(AK169=1,100+Z169+(16-AQ169)*0.01+AI169,IF(AN169=1,50+Z169+(16-AQ169)*0.01,IF(AO169=1,15+Z169+(16-AQ169)*0.01,Z169+(16-AQ169)*0.01+AI169)))))</f>
        <v/>
      </c>
      <c r="AN169" s="264" t="str">
        <f>IF($D169&gt;Standings!$Q$27,"",IF(OR($AK169=1,$AL169=1),"Conf Playoff Spot",COUNTIFS($AL$2:$AL$225,0,$AK$2:$AK$225,0,$C$2:$C$225,$C169,$D$2:$D$225,$D169,$AC$2:$AC$225,"&gt;"&amp;$AC169)+1))</f>
        <v/>
      </c>
      <c r="AO169" s="264" t="str">
        <f t="array" ref="AO169">IF($D169&gt;Standings!$Q$27,"",IF(OR($AK169=1,$AL169=1),"Conf Playoff Spot",COUNTIFS($AK$2:$AK$225,0,$AL$2:$AL$225,0,$D$2:$D$225,$D169,$AH$2:$AH$225,"&gt;"&amp;$AH169)+1))</f>
        <v/>
      </c>
      <c r="AP169" s="264" t="str">
        <f t="array" ref="AP169">IF($D169&gt;Standings!$Q$27,"",(COUNTIFS($D$2:$D$225,$D169,$J$2:$J$225,"&gt;"&amp;$J169)+1))</f>
        <v/>
      </c>
      <c r="AQ169" s="264" t="str">
        <f>IF($D169&gt;Standings!$Q$27,"",(COUNTIFS($D$2:$D$225,$D169,$AC$2:$AC$225,"&gt;"&amp;$AC169)+1))</f>
        <v/>
      </c>
      <c r="AR169" s="264" t="str">
        <f>IF($D169&gt;Standings!$Q$27,"",(COUNTIFS($D$2:$D$225,$D169,$K$2:$K$225,"&gt;"&amp;$K169)+1))</f>
        <v/>
      </c>
      <c r="AS169" s="264" t="str">
        <f>IF($D169&gt;Standings!$Q$27,"",(COUNTIFS($D$2:$D$225,$D169,$AD$2:$AD$225,"&gt;"&amp;$AD169)+1))</f>
        <v/>
      </c>
      <c r="AT169" s="355" t="str">
        <f>IF($D169&gt;Standings!$Q$27,"",SUMIFS($J$2:$J$225,$D$2:$D$225,$D169,$C$2:$C$225,$C169))</f>
        <v/>
      </c>
      <c r="AU169" s="261" t="str">
        <f>IF($D169&gt;Standings!$Q$27,"",SUMIFS($AC$2:$AC$225,$D$2:$D$225,$D169,$C$2:$C$225,$C169))</f>
        <v/>
      </c>
    </row>
    <row r="170" spans="1:47">
      <c r="A170" s="190">
        <f t="shared" si="2"/>
        <v>12</v>
      </c>
      <c r="B170" s="3" t="str">
        <f>'ESPN Data'!$L$16</f>
        <v>Team 13</v>
      </c>
      <c r="C170" s="349" t="str">
        <f>VLOOKUP(B170,'ESPN Data'!$L$4:$M$19,2,FALSE)</f>
        <v>Wardo</v>
      </c>
      <c r="D170" s="399">
        <v>1</v>
      </c>
      <c r="E170" s="266" t="str">
        <f t="array" ref="E170">INDEX('ESPN Data'!$C$3:$C$226,MATCH(1,('ESPN Data'!$A$3:$A$226='Point Data'!$D170)*('ESPN Data'!$B$3:$B$226='Point Data'!$B170),0))</f>
        <v>Team 14</v>
      </c>
      <c r="F170" s="242" t="str">
        <f>IF(C170&lt;&gt;VLOOKUP($E170,'ESPN Data'!$L$4:$M$19,2,FALSE),"Non Conf", "Conf")</f>
        <v>Conf</v>
      </c>
      <c r="G170" s="237">
        <f t="array" aca="1" ref="G170" ca="1">IF('Point Data'!$D170&gt;Standings!$Q$27,"",(COUNTIFS($D$2:$D$225,$D170,$AM$2:$AM$225,"&gt;"&amp;$AM170)+1))</f>
        <v>15</v>
      </c>
      <c r="H170" s="241">
        <f>IF('Point Data'!$D170&gt;Standings!$Q$27,"",VLOOKUP($B170,'ESPN Data'!$L$4:$N$19,3,FALSE))</f>
        <v>7</v>
      </c>
      <c r="I170" s="240">
        <f ca="1">IF('Point Data'!$D170&gt;Standings!$Q$27,"",H170-G170)</f>
        <v>-8</v>
      </c>
      <c r="J170" s="241">
        <f ca="1">IF('Point Data'!D170&gt;Standings!$Q$27,"",OFFSET('ESPN Data'!D$3,$A170,0,1,1))</f>
        <v>90.29</v>
      </c>
      <c r="K170" s="239">
        <f ca="1">IF('Point Data'!D170&gt;Standings!$Q$27,"",OFFSET('ESPN Data'!E$3,$A170,0,1,1))</f>
        <v>114.11</v>
      </c>
      <c r="L170" s="240">
        <f ca="1">IF('Point Data'!D170&gt;Standings!$Q$27,"",OFFSET('ESPN Data'!I$3,$A170,0,1,1))</f>
        <v>100</v>
      </c>
      <c r="M170" s="240">
        <f ca="1">IF('Point Data'!D170&gt;Standings!$Q$27,"",OFFSET('ESPN Data'!I$3,$A170,-2,1,1))</f>
        <v>0</v>
      </c>
      <c r="N170" s="240">
        <f ca="1">IF('Point Data'!D170&gt;Standings!$Q$27,"",SUMIFS($M$2:$M$225,$D$2:$D$225,D170,$C$2:$C$225,C170))</f>
        <v>0</v>
      </c>
      <c r="O170" s="240">
        <f ca="1">IF('Point Data'!D170&gt;Standings!$Q$27,"",SUMIFS($L$2:$L$225,$D$2:$D$225,$D170,$C$2:$C$225,$C170))</f>
        <v>800</v>
      </c>
      <c r="P170" s="240">
        <f ca="1">IF('Point Data'!D170&gt;Standings!$Q$27,"",SUMIFS($M$2:$M$225,$D$2:$D$225,D170))</f>
        <v>3</v>
      </c>
      <c r="Q170" s="240">
        <f ca="1">IF('Point Data'!D170&gt;Standings!$Q$27,"",SUMIFS($L$2:$L$225,$D$2:$D$225,$D170))</f>
        <v>1597</v>
      </c>
      <c r="R170" s="240">
        <f ca="1">IF($D170&gt;Standings!$Q$27,"",IF(U170="T",(Z170+0.5)/(D170)*100,(Z170/D170)*100))</f>
        <v>0</v>
      </c>
      <c r="S170" s="239">
        <f ca="1">IF($D170&gt;Standings!$Q$27,"",$J170-$K170)</f>
        <v>-23.819999999999993</v>
      </c>
      <c r="T170" s="239">
        <f ca="1">IF($D170&gt;Standings!$Q$27,"",AVERAGE(OFFSET(S170,(-$D170+1),0,1,1):S170))</f>
        <v>-23.819999999999993</v>
      </c>
      <c r="U170" s="241">
        <f ca="1">IF($D170&gt;Standings!$Q$27,"",IF(J170&gt;K170,1,IF(J170=K170,"T",0)))</f>
        <v>0</v>
      </c>
      <c r="V170" s="241">
        <f>IF($D170&gt;Standings!$Q$27,"",IF(F170="Conf",0,SUMIFS($U$2:$U$225,$D$2:$D$225,"&lt;="&amp;$D170,$B$2:$B$225,$B170,$F$2:$F$225,"Non Conf")))</f>
        <v>0</v>
      </c>
      <c r="W170" s="241" t="str">
        <f ca="1">IF($D170&gt;Standings!$Q$27,"",$V170&amp;"-"&amp;COUNTIF(OFFSET($F170,(-$D170+1),0,1,1):$F170,"Non Conf")-$V170)</f>
        <v>0-0</v>
      </c>
      <c r="X170" s="241">
        <f ca="1">IF($D170&gt;Standings!$Q$27,"",SUMIFS($U$2:$U$225,$D$2:$D$225,"&lt;="&amp;$D170,$B$2:$B$225,$B170,$F$2:$F$225,"Conf"))</f>
        <v>0</v>
      </c>
      <c r="Y170" s="241" t="str">
        <f ca="1">IF($D170&gt;Standings!$Q$27,"",$X170&amp;"-"&amp;COUNTIF(OFFSET($F170,(-$D170+1),0,1,1):$F170,"Conf")-$X170)</f>
        <v>0-1</v>
      </c>
      <c r="Z170" s="241">
        <f ca="1">IF($D170&gt;Standings!$Q$27,"",SUM(OFFSET(U170,(-$D170+1),0,1,1):U170))</f>
        <v>0</v>
      </c>
      <c r="AA170" s="241">
        <f ca="1">IF($D170&gt;Standings!$Q$27,"",IF(U170=1,1,0))</f>
        <v>0</v>
      </c>
      <c r="AB170" s="242">
        <f ca="1">IF($D170&gt;Standings!$Q$27,"",IF(AA170=0,1,0))</f>
        <v>1</v>
      </c>
      <c r="AC170" s="245">
        <f ca="1">IF($D170&gt;Standings!$Q$27,"",SUM(OFFSET(J170,(-$D170+1),0,1,1):J170))</f>
        <v>90.29</v>
      </c>
      <c r="AD170" s="239">
        <f ca="1">IF($D170&gt;Standings!$Q$27,"",SUM(OFFSET(K170,(-$D170+1),0,1,1):K170))</f>
        <v>114.11</v>
      </c>
      <c r="AE170" s="239">
        <f ca="1">IF($D170&gt;Standings!$Q$27,"",$J170-$K170)</f>
        <v>-23.819999999999993</v>
      </c>
      <c r="AF170" s="239">
        <f ca="1">IF($D170&gt;Standings!$Q$27,"",AC170-AD170)</f>
        <v>-23.819999999999993</v>
      </c>
      <c r="AG170" s="233">
        <f ca="1">IF($D170&gt;Standings!$Q$27,"",(COUNTIFS($D$2:$D$225,$D170,$C$2:$C$225,$C170,$AC$2:$AC$225,"&lt;"&amp;$AC170)+1)*0.01)</f>
        <v>0.02</v>
      </c>
      <c r="AH170" s="233">
        <f ca="1">IF($D170&gt;Standings!$Q$27,"",Z170+AG170)</f>
        <v>0.02</v>
      </c>
      <c r="AI170" s="233"/>
      <c r="AJ170" s="241">
        <f t="array" aca="1" ref="AJ170" ca="1">IF($D170&gt;Standings!$Q$27,"",(COUNTIFS($D$2:$D$225,$D170,$C$2:$C$225,$C170,$AM$2:$AM$225,"&gt;"&amp;$AM170)+1))</f>
        <v>7</v>
      </c>
      <c r="AK170" s="241">
        <f t="array" aca="1" ref="AK170" ca="1">IF($D170&gt;Standings!$Q$27,"",IF((COUNTIFS($D$2:$D$225,$D170,$C$2:$C$225,$C170,$AH$2:$AH$225,"&gt;"&amp;$AH170)+1)=2,1,0))</f>
        <v>0</v>
      </c>
      <c r="AL170" s="241">
        <f t="array" aca="1" ref="AL170" ca="1">IF($D170&gt;Standings!$Q$27,"",IF((COUNTIFS($D$2:$D$225,$D170,$C$2:$C$225,$C170,$AH$2:$AH$225,"&gt;"&amp;$AH170)+1)&lt;2,1,0))</f>
        <v>0</v>
      </c>
      <c r="AM170" s="241">
        <f ca="1">IF($D170&gt;Standings!$Q$27,"",IF(AL170=1,200+Z170+(16-AQ170)*0.01+AI170,IF(AK170=1,100+Z170+(16-AQ170)*0.01+AI170,IF(AN170=1,50+Z170+(16-AQ170)*0.01,IF(AO170=1,15+Z170+(16-AQ170)*0.01,Z170+(16-AQ170)*0.01+AI170)))))</f>
        <v>0.02</v>
      </c>
      <c r="AN170" s="241">
        <f ca="1">IF($D170&gt;Standings!$Q$27,"",IF(OR($AK170=1,$AL170=1),"Conf Playoff Spot",COUNTIFS($AL$2:$AL$225,0,$AK$2:$AK$225,0,$C$2:$C$225,$C170,$D$2:$D$225,$D170,$AC$2:$AC$225,"&gt;"&amp;$AC170)+1))</f>
        <v>5</v>
      </c>
      <c r="AO170" s="241">
        <f t="array" aca="1" ref="AO170" ca="1">IF($D170&gt;Standings!$Q$27,"",IF(OR($AK170=1,$AL170=1),"Conf Playoff Spot",COUNTIFS($AK$2:$AK$225,0,$AL$2:$AL$225,0,$D$2:$D$225,$D170,$AH$2:$AH$225,"&gt;"&amp;$AH170)+1))</f>
        <v>10</v>
      </c>
      <c r="AP170" s="241">
        <f t="array" aca="1" ref="AP170" ca="1">IF($D170&gt;Standings!$Q$27,"",(COUNTIFS($D$2:$D$225,$D170,$J$2:$J$225,"&gt;"&amp;$J170)+1))</f>
        <v>14</v>
      </c>
      <c r="AQ170" s="241">
        <f ca="1">IF($D170&gt;Standings!$Q$27,"",(COUNTIFS($D$2:$D$225,$D170,$AC$2:$AC$225,"&gt;"&amp;$AC170)+1))</f>
        <v>14</v>
      </c>
      <c r="AR170" s="241">
        <f ca="1">IF($D170&gt;Standings!$Q$27,"",(COUNTIFS($D$2:$D$225,$D170,$K$2:$K$225,"&gt;"&amp;$K170)+1))</f>
        <v>5</v>
      </c>
      <c r="AS170" s="241">
        <f ca="1">IF($D170&gt;Standings!$Q$27,"",(COUNTIFS($D$2:$D$225,$D170,$AD$2:$AD$225,"&gt;"&amp;$AD170)+1))</f>
        <v>5</v>
      </c>
      <c r="AT170" s="357">
        <f ca="1">IF($D170&gt;Standings!$Q$27,"",SUMIFS($J$2:$J$225,$D$2:$D$225,$D170,$C$2:$C$225,$C170))</f>
        <v>872.36000000000013</v>
      </c>
      <c r="AU170" s="245">
        <f ca="1">IF($D170&gt;Standings!$Q$27,"",SUMIFS($AC$2:$AC$225,$D$2:$D$225,$D170,$C$2:$C$225,$C170))</f>
        <v>872.36000000000013</v>
      </c>
    </row>
    <row r="171" spans="1:47">
      <c r="A171" s="190">
        <f t="shared" si="2"/>
        <v>28</v>
      </c>
      <c r="B171" s="5" t="str">
        <f>'ESPN Data'!$L$16</f>
        <v>Team 13</v>
      </c>
      <c r="C171" s="350" t="str">
        <f>VLOOKUP(B171,'ESPN Data'!$L$4:$M$19,2,FALSE)</f>
        <v>Wardo</v>
      </c>
      <c r="D171" s="400">
        <v>2</v>
      </c>
      <c r="E171" s="267" t="str">
        <f t="array" ref="E171">INDEX('ESPN Data'!$C$3:$C$226,MATCH(1,('ESPN Data'!$A$3:$A$226='Point Data'!$D171)*('ESPN Data'!$B$3:$B$226='Point Data'!$B171),0))</f>
        <v>Team 15</v>
      </c>
      <c r="F171" s="250" t="str">
        <f>IF(C171&lt;&gt;VLOOKUP($E171,'ESPN Data'!$L$4:$M$19,2,FALSE),"Non Conf", "Conf")</f>
        <v>Conf</v>
      </c>
      <c r="G171" s="246">
        <f t="array" aca="1" ref="G171" ca="1">IF('Point Data'!$D171&gt;Standings!$Q$27,"",(COUNTIFS($D$2:$D$225,$D171,$AM$2:$AM$225,"&gt;"&amp;$AM171)+1))</f>
        <v>16</v>
      </c>
      <c r="H171" s="172">
        <f ca="1">IF('Point Data'!$D171&gt;Standings!$Q$27,"",$G170)</f>
        <v>15</v>
      </c>
      <c r="I171" s="249">
        <f ca="1">IF('Point Data'!D171&gt;Standings!$Q$27,"",H171-G171)</f>
        <v>-1</v>
      </c>
      <c r="J171" s="172">
        <f ca="1">IF('Point Data'!D171&gt;Standings!$Q$27,"",OFFSET('ESPN Data'!D$3,$A171,0,1,1))</f>
        <v>79.11</v>
      </c>
      <c r="K171" s="248">
        <f ca="1">IF('Point Data'!D171&gt;Standings!$Q$27,"",OFFSET('ESPN Data'!E$3,$A171,0,1,1))</f>
        <v>148.19</v>
      </c>
      <c r="L171" s="249">
        <f ca="1">IF('Point Data'!D171&gt;Standings!$Q$27,"",OFFSET('ESPN Data'!I$3,$A171,0,1,1))</f>
        <v>100</v>
      </c>
      <c r="M171" s="249">
        <f ca="1">IF('Point Data'!D171&gt;Standings!$Q$27,"",OFFSET('ESPN Data'!I$3,$A171,-2,1,1))</f>
        <v>0</v>
      </c>
      <c r="N171" s="249">
        <f ca="1">IF('Point Data'!D171&gt;Standings!$Q$27,"",SUMIFS($M$2:$M$225,$D$2:$D$225,D171,$C$2:$C$225,C171))</f>
        <v>29</v>
      </c>
      <c r="O171" s="249">
        <f ca="1">IF('Point Data'!D171&gt;Standings!$Q$27,"",SUMIFS($L$2:$L$225,$D$2:$D$225,$D171,$C$2:$C$225,$C171))</f>
        <v>771</v>
      </c>
      <c r="P171" s="249">
        <f ca="1">IF('Point Data'!D171&gt;Standings!$Q$27,"",SUMIFS($M$2:$M$225,$D$2:$D$225,D171))</f>
        <v>73</v>
      </c>
      <c r="Q171" s="249">
        <f ca="1">IF('Point Data'!D171&gt;Standings!$Q$27,"",SUMIFS($L$2:$L$225,$D$2:$D$225,D171))</f>
        <v>1524</v>
      </c>
      <c r="R171" s="249">
        <f ca="1">IF($D171&gt;Standings!$Q$27,"",IF(U171="T",(Z171+0.5)/(D171)*100,(Z171/D171)*100))</f>
        <v>0</v>
      </c>
      <c r="S171" s="248">
        <f ca="1">IF($D171&gt;Standings!$Q$27,"",$J171-$K171)</f>
        <v>-69.08</v>
      </c>
      <c r="T171" s="248">
        <f ca="1">IF($D171&gt;Standings!$Q$27,"",AVERAGE(OFFSET(S171,(-$D171+1),0,1,1):S171))</f>
        <v>-46.449999999999996</v>
      </c>
      <c r="U171" s="172">
        <f ca="1">IF($D171&gt;Standings!$Q$27,"",IF(J171&gt;K171,1,IF(J171=K171,"T",0)))</f>
        <v>0</v>
      </c>
      <c r="V171" s="172">
        <f>IF($D171&gt;Standings!$Q$27,"",IF(F171="Conf",V170,SUMIFS($U$2:$U$225,$D$2:$D$225,"&lt;="&amp;$D171,$B$2:$B$225,$B171,$F$2:$F$225,"Non Conf")))</f>
        <v>0</v>
      </c>
      <c r="W171" s="172" t="str">
        <f ca="1">IF($D171&gt;Standings!$Q$27,"",$V171&amp;"-"&amp;COUNTIF(OFFSET($F171,(-$D171+1),0,1,1):$F171,"Non Conf")-$V171)</f>
        <v>0-0</v>
      </c>
      <c r="X171" s="172">
        <f ca="1">IF($D171&gt;Standings!$Q$27,"",SUMIFS($U$2:$U$225,$D$2:$D$225,"&lt;="&amp;$D171,$B$2:$B$225,$B171,$F$2:$F$225,"Conf"))</f>
        <v>0</v>
      </c>
      <c r="Y171" s="172" t="str">
        <f ca="1">IF($D171&gt;Standings!$Q$27,"",$X171&amp;"-"&amp;COUNTIF(OFFSET($F171,(-$D171+1),0,1,1):$F171,"Conf")-$X171)</f>
        <v>0-2</v>
      </c>
      <c r="Z171" s="172">
        <f ca="1">IF($D171&gt;Standings!$Q$27,"",SUM(OFFSET(U171,(-$D171+1),0,1,1):U171))</f>
        <v>0</v>
      </c>
      <c r="AA171" s="172">
        <f ca="1">IF($D171&gt;Standings!$Q$27,"",IF(U171=1,1+AA170,0))</f>
        <v>0</v>
      </c>
      <c r="AB171" s="250">
        <f ca="1">IF($D171&gt;Standings!$Q$27,"",IF(AA171=0,1+AB170,0))</f>
        <v>2</v>
      </c>
      <c r="AC171" s="253">
        <f ca="1">IF($D171&gt;Standings!$Q$27,"",SUM(OFFSET(J171,(-$D171+1),0,1,1):J171))</f>
        <v>169.4</v>
      </c>
      <c r="AD171" s="248">
        <f ca="1">IF($D171&gt;Standings!$Q$27,"",SUM(OFFSET(K171,(-$D171+1),0,1,1):K171))</f>
        <v>262.3</v>
      </c>
      <c r="AE171" s="248">
        <f ca="1">IF($D171&gt;Standings!$Q$27,"",$J171-$K171)</f>
        <v>-69.08</v>
      </c>
      <c r="AF171" s="248">
        <f ca="1">IF($D171&gt;Standings!$Q$27,"",AC171-AD171)</f>
        <v>-92.9</v>
      </c>
      <c r="AG171" s="234">
        <f ca="1">IF($D171&gt;Standings!$Q$27,"",(COUNTIFS($D$2:$D$225,$D171,$C$2:$C$225,$C171,$AC$2:$AC$225,"&lt;"&amp;$AC171)+1)*0.01)</f>
        <v>0.01</v>
      </c>
      <c r="AH171" s="234">
        <f ca="1">IF($D171&gt;Standings!$Q$27,"",Z171+AG171)</f>
        <v>0.01</v>
      </c>
      <c r="AI171" s="234"/>
      <c r="AJ171" s="172">
        <f t="array" aca="1" ref="AJ171" ca="1">IF($D171&gt;Standings!$Q$27,"",(COUNTIFS($D$2:$D$225,$D171,$C$2:$C$225,$C171,$AM$2:$AM$225,"&gt;"&amp;$AM171)+1))</f>
        <v>8</v>
      </c>
      <c r="AK171" s="172">
        <f t="array" aca="1" ref="AK171" ca="1">IF($D171&gt;Standings!$Q$27,"",IF((COUNTIFS($D$2:$D$225,$D171,$C$2:$C$225,$C171,$AH$2:$AH$225,"&gt;"&amp;$AH171)+1)=2,1,0))</f>
        <v>0</v>
      </c>
      <c r="AL171" s="172">
        <f t="array" aca="1" ref="AL171" ca="1">IF($D171&gt;Standings!$Q$27,"",IF((COUNTIFS($D$2:$D$225,$D171,$C$2:$C$225,$C171,$AH$2:$AH$225,"&gt;"&amp;$AH171)+1)&lt;2,1,0))</f>
        <v>0</v>
      </c>
      <c r="AM171" s="172">
        <f ca="1">IF($D171&gt;Standings!$Q$27,"",IF(AL171=1,200+Z171+(16-AQ171)*0.01+AI171,IF(AK171=1,100+Z171+(16-AQ171)*0.01+AI171,IF(AN171=1,50+Z171+(16-AQ171)*0.01,IF(AO171=1,15+Z171+(16-AQ171)*0.01,Z171+(16-AQ171)*0.01+AI171)))))</f>
        <v>0</v>
      </c>
      <c r="AN171" s="172">
        <f ca="1">IF($D171&gt;Standings!$Q$27,"",IF(OR($AK171=1,$AL171=1),"Conf Playoff Spot",COUNTIFS($AL$2:$AL$225,0,$AK$2:$AK$225,0,$C$2:$C$225,$C171,$D$2:$D$225,$D171,$AC$2:$AC$225,"&gt;"&amp;$AC171)+1))</f>
        <v>6</v>
      </c>
      <c r="AO171" s="172">
        <f t="array" aca="1" ref="AO171" ca="1">IF($D171&gt;Standings!$Q$27,"",IF(OR($AK171=1,$AL171=1),"Conf Playoff Spot",COUNTIFS($AK$2:$AK$225,0,$AL$2:$AL$225,0,$D$2:$D$225,$D171,$AH$2:$AH$225,"&gt;"&amp;$AH171)+1))</f>
        <v>12</v>
      </c>
      <c r="AP171" s="172">
        <f t="array" aca="1" ref="AP171" ca="1">IF($D171&gt;Standings!$Q$27,"",(COUNTIFS($D$2:$D$225,$D171,$J$2:$J$225,"&gt;"&amp;$J171)+1))</f>
        <v>16</v>
      </c>
      <c r="AQ171" s="172">
        <f ca="1">IF($D171&gt;Standings!$Q$27,"",(COUNTIFS($D$2:$D$225,$D171,$AC$2:$AC$225,"&gt;"&amp;$AC171)+1))</f>
        <v>16</v>
      </c>
      <c r="AR171" s="172">
        <f ca="1">IF($D171&gt;Standings!$Q$27,"",(COUNTIFS($D$2:$D$225,$D171,$K$2:$K$225,"&gt;"&amp;$K171)+1))</f>
        <v>1</v>
      </c>
      <c r="AS171" s="172">
        <f ca="1">IF($D171&gt;Standings!$Q$27,"",(COUNTIFS($D$2:$D$225,$D171,$AD$2:$AD$225,"&gt;"&amp;$AD171)+1))</f>
        <v>1</v>
      </c>
      <c r="AT171" s="354">
        <f ca="1">IF($D171&gt;Standings!$Q$27,"",SUMIFS($J$2:$J$225,$D$2:$D$225,$D171,$C$2:$C$225,$C171))</f>
        <v>937.28000000000009</v>
      </c>
      <c r="AU171" s="253">
        <f ca="1">IF($D171&gt;Standings!$Q$27,"",SUMIFS($AC$2:$AC$225,$D$2:$D$225,$D171,$C$2:$C$225,$C171))</f>
        <v>1809.64</v>
      </c>
    </row>
    <row r="172" spans="1:47">
      <c r="A172" s="190">
        <f t="shared" si="2"/>
        <v>44</v>
      </c>
      <c r="B172" s="5" t="str">
        <f>'ESPN Data'!$L$16</f>
        <v>Team 13</v>
      </c>
      <c r="C172" s="350" t="str">
        <f>VLOOKUP(B172,'ESPN Data'!$L$4:$M$19,2,FALSE)</f>
        <v>Wardo</v>
      </c>
      <c r="D172" s="400">
        <v>3</v>
      </c>
      <c r="E172" s="267" t="str">
        <f t="array" ref="E172">INDEX('ESPN Data'!$C$3:$C$226,MATCH(1,('ESPN Data'!$A$3:$A$226='Point Data'!$D172)*('ESPN Data'!$B$3:$B$226='Point Data'!$B172),0))</f>
        <v>Team 10</v>
      </c>
      <c r="F172" s="250" t="str">
        <f>IF(C172&lt;&gt;VLOOKUP($E172,'ESPN Data'!$L$4:$M$19,2,FALSE),"Non Conf", "Conf")</f>
        <v>Conf</v>
      </c>
      <c r="G172" s="246">
        <f t="array" aca="1" ref="G172" ca="1">IF('Point Data'!$D172&gt;Standings!$Q$27,"",(COUNTIFS($D$2:$D$225,$D172,$AM$2:$AM$225,"&gt;"&amp;$AM172)+1))</f>
        <v>16</v>
      </c>
      <c r="H172" s="172">
        <f ca="1">IF('Point Data'!$D172&gt;Standings!$Q$27,"",$G171)</f>
        <v>16</v>
      </c>
      <c r="I172" s="249">
        <f ca="1">IF('Point Data'!D172&gt;Standings!$Q$27,"",H172-G172)</f>
        <v>0</v>
      </c>
      <c r="J172" s="172">
        <f ca="1">IF('Point Data'!D172&gt;Standings!$Q$27,"",OFFSET('ESPN Data'!D$3,$A172,0,1,1))</f>
        <v>88.72</v>
      </c>
      <c r="K172" s="248">
        <f ca="1">IF('Point Data'!D172&gt;Standings!$Q$27,"",OFFSET('ESPN Data'!E$3,$A172,0,1,1))</f>
        <v>122.66</v>
      </c>
      <c r="L172" s="249">
        <f ca="1">IF('Point Data'!D172&gt;Standings!$Q$27,"",OFFSET('ESPN Data'!I$3,$A172,0,1,1))</f>
        <v>100</v>
      </c>
      <c r="M172" s="249">
        <f ca="1">IF('Point Data'!D172&gt;Standings!$Q$27,"",OFFSET('ESPN Data'!I$3,$A172,-2,1,1))</f>
        <v>0</v>
      </c>
      <c r="N172" s="249">
        <f ca="1">IF('Point Data'!D172&gt;Standings!$Q$27,"",SUMIFS($M$2:$M$225,$D$2:$D$225,D172,$C$2:$C$225,C172))</f>
        <v>185</v>
      </c>
      <c r="O172" s="249">
        <f ca="1">IF('Point Data'!D172&gt;Standings!$Q$27,"",SUMIFS($L$2:$L$225,$D$2:$D$225,$D172,$C$2:$C$225,$C172))</f>
        <v>586</v>
      </c>
      <c r="P172" s="249">
        <f ca="1">IF('Point Data'!D172&gt;Standings!$Q$27,"",SUMIFS($M$2:$M$225,$D$2:$D$225,D172))</f>
        <v>210</v>
      </c>
      <c r="Q172" s="249">
        <f ca="1">IF('Point Data'!D172&gt;Standings!$Q$27,"",SUMIFS($L$2:$L$225,$D$2:$D$225,D172))</f>
        <v>1314</v>
      </c>
      <c r="R172" s="249">
        <f ca="1">IF($D172&gt;Standings!$Q$27,"",IF(U172="T",(Z172+0.5)/(D172)*100,(Z172/D172)*100))</f>
        <v>0</v>
      </c>
      <c r="S172" s="248">
        <f ca="1">IF($D172&gt;Standings!$Q$27,"",$J172-$K172)</f>
        <v>-33.94</v>
      </c>
      <c r="T172" s="248">
        <f ca="1">IF($D172&gt;Standings!$Q$27,"",AVERAGE(OFFSET(S172,(-$D172+1),0,1,1):S172))</f>
        <v>-42.279999999999994</v>
      </c>
      <c r="U172" s="172">
        <f ca="1">IF($D172&gt;Standings!$Q$27,"",IF(J172&gt;K172,1,IF(J172=K172,"T",0)))</f>
        <v>0</v>
      </c>
      <c r="V172" s="172">
        <f>IF($D172&gt;Standings!$Q$27,"",IF(F172="Conf",V171,SUMIFS($U$2:$U$225,$D$2:$D$225,"&lt;="&amp;$D172,$B$2:$B$225,$B172,$F$2:$F$225,"Non Conf")))</f>
        <v>0</v>
      </c>
      <c r="W172" s="172" t="str">
        <f ca="1">IF($D172&gt;Standings!$Q$27,"",$V172&amp;"-"&amp;COUNTIF(OFFSET($F172,(-$D172+1),0,1,1):$F172,"Non Conf")-$V172)</f>
        <v>0-0</v>
      </c>
      <c r="X172" s="172">
        <f ca="1">IF($D172&gt;Standings!$Q$27,"",SUMIFS($U$2:$U$225,$D$2:$D$225,"&lt;="&amp;$D172,$B$2:$B$225,$B172,$F$2:$F$225,"Conf"))</f>
        <v>0</v>
      </c>
      <c r="Y172" s="172" t="str">
        <f ca="1">IF($D172&gt;Standings!$Q$27,"",$X172&amp;"-"&amp;COUNTIF(OFFSET($F172,(-$D172+1),0,1,1):$F172,"Conf")-$X172)</f>
        <v>0-3</v>
      </c>
      <c r="Z172" s="172">
        <f ca="1">IF($D172&gt;Standings!$Q$27,"",SUM(OFFSET(U172,(-$D172+1),0,1,1):U172))</f>
        <v>0</v>
      </c>
      <c r="AA172" s="172">
        <f ca="1">IF($D172&gt;Standings!$Q$27,"",IF(U172=1,1+AA171,0))</f>
        <v>0</v>
      </c>
      <c r="AB172" s="250">
        <f ca="1">IF($D172&gt;Standings!$Q$27,"",IF(AA172=0,1+AB171,0))</f>
        <v>3</v>
      </c>
      <c r="AC172" s="253">
        <f ca="1">IF($D172&gt;Standings!$Q$27,"",SUM(OFFSET(J172,(-$D172+1),0,1,1):J172))</f>
        <v>258.12</v>
      </c>
      <c r="AD172" s="248">
        <f ca="1">IF($D172&gt;Standings!$Q$27,"",SUM(OFFSET(K172,(-$D172+1),0,1,1):K172))</f>
        <v>384.96000000000004</v>
      </c>
      <c r="AE172" s="248">
        <f ca="1">IF($D172&gt;Standings!$Q$27,"",$J172-$K172)</f>
        <v>-33.94</v>
      </c>
      <c r="AF172" s="248">
        <f ca="1">IF($D172&gt;Standings!$Q$27,"",AC172-AD172)</f>
        <v>-126.84000000000003</v>
      </c>
      <c r="AG172" s="234">
        <f ca="1">IF($D172&gt;Standings!$Q$27,"",(COUNTIFS($D$2:$D$225,$D172,$C$2:$C$225,$C172,$AC$2:$AC$225,"&lt;"&amp;$AC172)+1)*0.01)</f>
        <v>0.01</v>
      </c>
      <c r="AH172" s="234">
        <f ca="1">IF($D172&gt;Standings!$Q$27,"",Z172+AG172)</f>
        <v>0.01</v>
      </c>
      <c r="AI172" s="234"/>
      <c r="AJ172" s="172">
        <f t="array" aca="1" ref="AJ172" ca="1">IF($D172&gt;Standings!$Q$27,"",(COUNTIFS($D$2:$D$225,$D172,$C$2:$C$225,$C172,$AM$2:$AM$225,"&gt;"&amp;$AM172)+1))</f>
        <v>8</v>
      </c>
      <c r="AK172" s="172">
        <f t="array" aca="1" ref="AK172" ca="1">IF($D172&gt;Standings!$Q$27,"",IF((COUNTIFS($D$2:$D$225,$D172,$C$2:$C$225,$C172,$AH$2:$AH$225,"&gt;"&amp;$AH172)+1)=2,1,0))</f>
        <v>0</v>
      </c>
      <c r="AL172" s="172">
        <f t="array" aca="1" ref="AL172" ca="1">IF($D172&gt;Standings!$Q$27,"",IF((COUNTIFS($D$2:$D$225,$D172,$C$2:$C$225,$C172,$AH$2:$AH$225,"&gt;"&amp;$AH172)+1)&lt;2,1,0))</f>
        <v>0</v>
      </c>
      <c r="AM172" s="172">
        <f ca="1">IF($D172&gt;Standings!$Q$27,"",IF(AL172=1,200+Z172+(16-AQ172)*0.01+AI172,IF(AK172=1,100+Z172+(16-AQ172)*0.01+AI172,IF(AN172=1,50+Z172+(16-AQ172)*0.01,IF(AO172=1,15+Z172+(16-AQ172)*0.01,Z172+(16-AQ172)*0.01+AI172)))))</f>
        <v>0</v>
      </c>
      <c r="AN172" s="172">
        <f ca="1">IF($D172&gt;Standings!$Q$27,"",IF(OR($AK172=1,$AL172=1),"Conf Playoff Spot",COUNTIFS($AL$2:$AL$225,0,$AK$2:$AK$225,0,$C$2:$C$225,$C172,$D$2:$D$225,$D172,$AC$2:$AC$225,"&gt;"&amp;$AC172)+1))</f>
        <v>6</v>
      </c>
      <c r="AO172" s="172">
        <f t="array" aca="1" ref="AO172" ca="1">IF($D172&gt;Standings!$Q$27,"",IF(OR($AK172=1,$AL172=1),"Conf Playoff Spot",COUNTIFS($AK$2:$AK$225,0,$AL$2:$AL$225,0,$D$2:$D$225,$D172,$AH$2:$AH$225,"&gt;"&amp;$AH172)+1))</f>
        <v>11</v>
      </c>
      <c r="AP172" s="172">
        <f t="array" aca="1" ref="AP172" ca="1">IF($D172&gt;Standings!$Q$27,"",(COUNTIFS($D$2:$D$225,$D172,$J$2:$J$225,"&gt;"&amp;$J172)+1))</f>
        <v>13</v>
      </c>
      <c r="AQ172" s="172">
        <f ca="1">IF($D172&gt;Standings!$Q$27,"",(COUNTIFS($D$2:$D$225,$D172,$AC$2:$AC$225,"&gt;"&amp;$AC172)+1))</f>
        <v>16</v>
      </c>
      <c r="AR172" s="172">
        <f ca="1">IF($D172&gt;Standings!$Q$27,"",(COUNTIFS($D$2:$D$225,$D172,$K$2:$K$225,"&gt;"&amp;$K172)+1))</f>
        <v>4</v>
      </c>
      <c r="AS172" s="172">
        <f ca="1">IF($D172&gt;Standings!$Q$27,"",(COUNTIFS($D$2:$D$225,$D172,$AD$2:$AD$225,"&gt;"&amp;$AD172)+1))</f>
        <v>2</v>
      </c>
      <c r="AT172" s="354">
        <f ca="1">IF($D172&gt;Standings!$Q$27,"",SUMIFS($J$2:$J$225,$D$2:$D$225,$D172,$C$2:$C$225,$C172))</f>
        <v>832.04000000000008</v>
      </c>
      <c r="AU172" s="253">
        <f ca="1">IF($D172&gt;Standings!$Q$27,"",SUMIFS($AC$2:$AC$225,$D$2:$D$225,$D172,$C$2:$C$225,$C172))</f>
        <v>2641.68</v>
      </c>
    </row>
    <row r="173" spans="1:47">
      <c r="A173" s="190">
        <f t="shared" si="2"/>
        <v>60</v>
      </c>
      <c r="B173" s="5" t="str">
        <f>'ESPN Data'!$L$16</f>
        <v>Team 13</v>
      </c>
      <c r="C173" s="350" t="str">
        <f>VLOOKUP(B173,'ESPN Data'!$L$4:$M$19,2,FALSE)</f>
        <v>Wardo</v>
      </c>
      <c r="D173" s="400">
        <v>4</v>
      </c>
      <c r="E173" s="267" t="str">
        <f t="array" ref="E173">INDEX('ESPN Data'!$C$3:$C$226,MATCH(1,('ESPN Data'!$A$3:$A$226='Point Data'!$D173)*('ESPN Data'!$B$3:$B$226='Point Data'!$B173),0))</f>
        <v>Team 4</v>
      </c>
      <c r="F173" s="250" t="str">
        <f>IF(C173&lt;&gt;VLOOKUP($E173,'ESPN Data'!$L$4:$M$19,2,FALSE),"Non Conf", "Conf")</f>
        <v>Non Conf</v>
      </c>
      <c r="G173" s="246">
        <f t="array" aca="1" ref="G173" ca="1">IF('Point Data'!$D173&gt;Standings!$Q$27,"",(COUNTIFS($D$2:$D$225,$D173,$AM$2:$AM$225,"&gt;"&amp;$AM173)+1))</f>
        <v>15</v>
      </c>
      <c r="H173" s="172">
        <f ca="1">IF('Point Data'!$D173&gt;Standings!$Q$27,"",$G172)</f>
        <v>16</v>
      </c>
      <c r="I173" s="249">
        <f ca="1">IF('Point Data'!D173&gt;Standings!$Q$27,"",H173-G173)</f>
        <v>1</v>
      </c>
      <c r="J173" s="172">
        <f ca="1">IF('Point Data'!D173&gt;Standings!$Q$27,"",OFFSET('ESPN Data'!D$3,$A173,0,1,1))</f>
        <v>121.54</v>
      </c>
      <c r="K173" s="248">
        <f ca="1">IF('Point Data'!D173&gt;Standings!$Q$27,"",OFFSET('ESPN Data'!E$3,$A173,0,1,1))</f>
        <v>84.76</v>
      </c>
      <c r="L173" s="249">
        <f ca="1">IF('Point Data'!D173&gt;Standings!$Q$27,"",OFFSET('ESPN Data'!I$3,$A173,0,1,1))</f>
        <v>95</v>
      </c>
      <c r="M173" s="249">
        <f ca="1">IF('Point Data'!D173&gt;Standings!$Q$27,"",OFFSET('ESPN Data'!I$3,$A173,-2,1,1))</f>
        <v>5</v>
      </c>
      <c r="N173" s="249">
        <f ca="1">IF('Point Data'!D173&gt;Standings!$Q$27,"",SUMIFS($M$2:$M$225,$D$2:$D$225,D173,$C$2:$C$225,C173))</f>
        <v>10</v>
      </c>
      <c r="O173" s="249">
        <f ca="1">IF('Point Data'!D173&gt;Standings!$Q$27,"",SUMIFS($L$2:$L$225,$D$2:$D$225,$D173,$C$2:$C$225,$C173))</f>
        <v>576</v>
      </c>
      <c r="P173" s="249">
        <f ca="1">IF('Point Data'!D173&gt;Standings!$Q$27,"",SUMIFS($M$2:$M$225,$D$2:$D$225,D173))</f>
        <v>171</v>
      </c>
      <c r="Q173" s="249">
        <f ca="1">IF('Point Data'!D173&gt;Standings!$Q$27,"",SUMIFS($L$2:$L$225,$D$2:$D$225,D173))</f>
        <v>1143</v>
      </c>
      <c r="R173" s="249">
        <f ca="1">IF($D173&gt;Standings!$Q$27,"",IF(U173="T",(Z173+0.5)/(D173)*100,(Z173/D173)*100))</f>
        <v>25</v>
      </c>
      <c r="S173" s="248">
        <f ca="1">IF($D173&gt;Standings!$Q$27,"",$J173-$K173)</f>
        <v>36.78</v>
      </c>
      <c r="T173" s="248">
        <f ca="1">IF($D173&gt;Standings!$Q$27,"",AVERAGE(OFFSET(S173,(-$D173+1),0,1,1):S173))</f>
        <v>-22.514999999999997</v>
      </c>
      <c r="U173" s="172">
        <f ca="1">IF($D173&gt;Standings!$Q$27,"",IF(J173&gt;K173,1,IF(J173=K173,"T",0)))</f>
        <v>1</v>
      </c>
      <c r="V173" s="172">
        <f ca="1">IF($D173&gt;Standings!$Q$27,"",IF(F173="Conf",V172,SUMIFS($U$2:$U$225,$D$2:$D$225,"&lt;="&amp;$D173,$B$2:$B$225,$B173,$F$2:$F$225,"Non Conf")))</f>
        <v>1</v>
      </c>
      <c r="W173" s="172" t="str">
        <f ca="1">IF($D173&gt;Standings!$Q$27,"",$V173&amp;"-"&amp;COUNTIF(OFFSET($F173,(-$D173+1),0,1,1):$F173,"Non Conf")-$V173)</f>
        <v>1-0</v>
      </c>
      <c r="X173" s="172">
        <f ca="1">IF($D173&gt;Standings!$Q$27,"",SUMIFS($U$2:$U$225,$D$2:$D$225,"&lt;="&amp;$D173,$B$2:$B$225,$B173,$F$2:$F$225,"Conf"))</f>
        <v>0</v>
      </c>
      <c r="Y173" s="172" t="str">
        <f ca="1">IF($D173&gt;Standings!$Q$27,"",$X173&amp;"-"&amp;COUNTIF(OFFSET($F173,(-$D173+1),0,1,1):$F173,"Conf")-$X173)</f>
        <v>0-3</v>
      </c>
      <c r="Z173" s="172">
        <f ca="1">IF($D173&gt;Standings!$Q$27,"",SUM(OFFSET(U173,(-$D173+1),0,1,1):U173))</f>
        <v>1</v>
      </c>
      <c r="AA173" s="172">
        <f ca="1">IF($D173&gt;Standings!$Q$27,"",IF(U173=1,1+AA172,0))</f>
        <v>1</v>
      </c>
      <c r="AB173" s="250">
        <f ca="1">IF($D173&gt;Standings!$Q$27,"",IF(AA173=0,1+AB172,0))</f>
        <v>0</v>
      </c>
      <c r="AC173" s="253">
        <f ca="1">IF($D173&gt;Standings!$Q$27,"",SUM(OFFSET(J173,(-$D173+1),0,1,1):J173))</f>
        <v>379.66</v>
      </c>
      <c r="AD173" s="248">
        <f ca="1">IF($D173&gt;Standings!$Q$27,"",SUM(OFFSET(K173,(-$D173+1),0,1,1):K173))</f>
        <v>469.72</v>
      </c>
      <c r="AE173" s="248">
        <f ca="1">IF($D173&gt;Standings!$Q$27,"",$J173-$K173)</f>
        <v>36.78</v>
      </c>
      <c r="AF173" s="248">
        <f ca="1">IF($D173&gt;Standings!$Q$27,"",AC173-AD173)</f>
        <v>-90.06</v>
      </c>
      <c r="AG173" s="234">
        <f ca="1">IF($D173&gt;Standings!$Q$27,"",(COUNTIFS($D$2:$D$225,$D173,$C$2:$C$225,$C173,$AC$2:$AC$225,"&lt;"&amp;$AC173)+1)*0.01)</f>
        <v>0.01</v>
      </c>
      <c r="AH173" s="234">
        <f ca="1">IF($D173&gt;Standings!$Q$27,"",Z173+AG173)</f>
        <v>1.01</v>
      </c>
      <c r="AI173" s="234"/>
      <c r="AJ173" s="172">
        <f t="array" aca="1" ref="AJ173" ca="1">IF($D173&gt;Standings!$Q$27,"",(COUNTIFS($D$2:$D$225,$D173,$C$2:$C$225,$C173,$AM$2:$AM$225,"&gt;"&amp;$AM173)+1))</f>
        <v>8</v>
      </c>
      <c r="AK173" s="172">
        <f t="array" aca="1" ref="AK173" ca="1">IF($D173&gt;Standings!$Q$27,"",IF((COUNTIFS($D$2:$D$225,$D173,$C$2:$C$225,$C173,$AH$2:$AH$225,"&gt;"&amp;$AH173)+1)=2,1,0))</f>
        <v>0</v>
      </c>
      <c r="AL173" s="172">
        <f t="array" aca="1" ref="AL173" ca="1">IF($D173&gt;Standings!$Q$27,"",IF((COUNTIFS($D$2:$D$225,$D173,$C$2:$C$225,$C173,$AH$2:$AH$225,"&gt;"&amp;$AH173)+1)&lt;2,1,0))</f>
        <v>0</v>
      </c>
      <c r="AM173" s="172">
        <f ca="1">IF($D173&gt;Standings!$Q$27,"",IF(AL173=1,200+Z173+(16-AQ173)*0.01+AI173,IF(AK173=1,100+Z173+(16-AQ173)*0.01+AI173,IF(AN173=1,50+Z173+(16-AQ173)*0.01,IF(AO173=1,15+Z173+(16-AQ173)*0.01,Z173+(16-AQ173)*0.01+AI173)))))</f>
        <v>1</v>
      </c>
      <c r="AN173" s="172">
        <f ca="1">IF($D173&gt;Standings!$Q$27,"",IF(OR($AK173=1,$AL173=1),"Conf Playoff Spot",COUNTIFS($AL$2:$AL$225,0,$AK$2:$AK$225,0,$C$2:$C$225,$C173,$D$2:$D$225,$D173,$AC$2:$AC$225,"&gt;"&amp;$AC173)+1))</f>
        <v>6</v>
      </c>
      <c r="AO173" s="172">
        <f t="array" aca="1" ref="AO173" ca="1">IF($D173&gt;Standings!$Q$27,"",IF(OR($AK173=1,$AL173=1),"Conf Playoff Spot",COUNTIFS($AK$2:$AK$225,0,$AL$2:$AL$225,0,$D$2:$D$225,$D173,$AH$2:$AH$225,"&gt;"&amp;$AH173)+1))</f>
        <v>11</v>
      </c>
      <c r="AP173" s="172">
        <f t="array" aca="1" ref="AP173" ca="1">IF($D173&gt;Standings!$Q$27,"",(COUNTIFS($D$2:$D$225,$D173,$J$2:$J$225,"&gt;"&amp;$J173)+1))</f>
        <v>2</v>
      </c>
      <c r="AQ173" s="172">
        <f ca="1">IF($D173&gt;Standings!$Q$27,"",(COUNTIFS($D$2:$D$225,$D173,$AC$2:$AC$225,"&gt;"&amp;$AC173)+1))</f>
        <v>16</v>
      </c>
      <c r="AR173" s="172">
        <f ca="1">IF($D173&gt;Standings!$Q$27,"",(COUNTIFS($D$2:$D$225,$D173,$K$2:$K$225,"&gt;"&amp;$K173)+1))</f>
        <v>15</v>
      </c>
      <c r="AS173" s="172">
        <f ca="1">IF($D173&gt;Standings!$Q$27,"",(COUNTIFS($D$2:$D$225,$D173,$AD$2:$AD$225,"&gt;"&amp;$AD173)+1))</f>
        <v>2</v>
      </c>
      <c r="AT173" s="354">
        <f ca="1">IF($D173&gt;Standings!$Q$27,"",SUMIFS($J$2:$J$225,$D$2:$D$225,$D173,$C$2:$C$225,$C173))</f>
        <v>827.84</v>
      </c>
      <c r="AU173" s="253">
        <f ca="1">IF($D173&gt;Standings!$Q$27,"",SUMIFS($AC$2:$AC$225,$D$2:$D$225,$D173,$C$2:$C$225,$C173))</f>
        <v>3469.52</v>
      </c>
    </row>
    <row r="174" spans="1:47">
      <c r="A174" s="190">
        <f t="shared" si="2"/>
        <v>76</v>
      </c>
      <c r="B174" s="5" t="str">
        <f>'ESPN Data'!$L$16</f>
        <v>Team 13</v>
      </c>
      <c r="C174" s="350" t="str">
        <f>VLOOKUP(B174,'ESPN Data'!$L$4:$M$19,2,FALSE)</f>
        <v>Wardo</v>
      </c>
      <c r="D174" s="400">
        <v>5</v>
      </c>
      <c r="E174" s="267" t="str">
        <f t="array" ref="E174">INDEX('ESPN Data'!$C$3:$C$226,MATCH(1,('ESPN Data'!$A$3:$A$226='Point Data'!$D174)*('ESPN Data'!$B$3:$B$226='Point Data'!$B174),0))</f>
        <v>Team 8</v>
      </c>
      <c r="F174" s="250" t="str">
        <f>IF(C174&lt;&gt;VLOOKUP($E174,'ESPN Data'!$L$4:$M$19,2,FALSE),"Non Conf", "Conf")</f>
        <v>Non Conf</v>
      </c>
      <c r="G174" s="246">
        <f t="array" aca="1" ref="G174" ca="1">IF('Point Data'!$D174&gt;Standings!$Q$27,"",(COUNTIFS($D$2:$D$225,$D174,$AM$2:$AM$225,"&gt;"&amp;$AM174)+1))</f>
        <v>16</v>
      </c>
      <c r="H174" s="172">
        <f ca="1">IF('Point Data'!$D174&gt;Standings!$Q$27,"",$G173)</f>
        <v>15</v>
      </c>
      <c r="I174" s="249">
        <f ca="1">IF('Point Data'!D174&gt;Standings!$Q$27,"",H174-G174)</f>
        <v>-1</v>
      </c>
      <c r="J174" s="172">
        <f ca="1">IF('Point Data'!D174&gt;Standings!$Q$27,"",OFFSET('ESPN Data'!D$3,$A174,0,1,1))</f>
        <v>54.24</v>
      </c>
      <c r="K174" s="248">
        <f ca="1">IF('Point Data'!D174&gt;Standings!$Q$27,"",OFFSET('ESPN Data'!E$3,$A174,0,1,1))</f>
        <v>81.97</v>
      </c>
      <c r="L174" s="249">
        <f ca="1">IF('Point Data'!D174&gt;Standings!$Q$27,"",OFFSET('ESPN Data'!I$3,$A174,0,1,1))</f>
        <v>90</v>
      </c>
      <c r="M174" s="249">
        <f ca="1">IF('Point Data'!D174&gt;Standings!$Q$27,"",OFFSET('ESPN Data'!I$3,$A174,-2,1,1))</f>
        <v>5</v>
      </c>
      <c r="N174" s="249">
        <f ca="1">IF('Point Data'!D174&gt;Standings!$Q$27,"",SUMIFS($M$2:$M$225,$D$2:$D$225,D174,$C$2:$C$225,C174))</f>
        <v>39</v>
      </c>
      <c r="O174" s="249">
        <f ca="1">IF('Point Data'!D174&gt;Standings!$Q$27,"",SUMIFS($L$2:$L$225,$D$2:$D$225,$D174,$C$2:$C$225,$C174))</f>
        <v>537</v>
      </c>
      <c r="P174" s="249">
        <f ca="1">IF('Point Data'!D174&gt;Standings!$Q$27,"",SUMIFS($M$2:$M$225,$D$2:$D$225,D174))</f>
        <v>104</v>
      </c>
      <c r="Q174" s="249">
        <f ca="1">IF('Point Data'!D174&gt;Standings!$Q$27,"",SUMIFS($L$2:$L$225,$D$2:$D$225,D174))</f>
        <v>1039</v>
      </c>
      <c r="R174" s="249">
        <f ca="1">IF($D174&gt;Standings!$Q$27,"",IF(U174="T",(Z174+0.5)/(D174)*100,(Z174/D174)*100))</f>
        <v>20</v>
      </c>
      <c r="S174" s="248">
        <f ca="1">IF($D174&gt;Standings!$Q$27,"",$J174-$K174)</f>
        <v>-27.729999999999997</v>
      </c>
      <c r="T174" s="248">
        <f ca="1">IF($D174&gt;Standings!$Q$27,"",AVERAGE(OFFSET(S174,(-$D174+1),0,1,1):S174))</f>
        <v>-23.558</v>
      </c>
      <c r="U174" s="172">
        <f ca="1">IF($D174&gt;Standings!$Q$27,"",IF(J174&gt;K174,1,IF(J174=K174,"T",0)))</f>
        <v>0</v>
      </c>
      <c r="V174" s="172">
        <f ca="1">IF($D174&gt;Standings!$Q$27,"",IF(F174="Conf",V173,SUMIFS($U$2:$U$225,$D$2:$D$225,"&lt;="&amp;$D174,$B$2:$B$225,$B174,$F$2:$F$225,"Non Conf")))</f>
        <v>1</v>
      </c>
      <c r="W174" s="172" t="str">
        <f ca="1">IF($D174&gt;Standings!$Q$27,"",$V174&amp;"-"&amp;COUNTIF(OFFSET($F174,(-$D174+1),0,1,1):$F174,"Non Conf")-$V174)</f>
        <v>1-1</v>
      </c>
      <c r="X174" s="172">
        <f ca="1">IF($D174&gt;Standings!$Q$27,"",SUMIFS($U$2:$U$225,$D$2:$D$225,"&lt;="&amp;$D174,$B$2:$B$225,$B174,$F$2:$F$225,"Conf"))</f>
        <v>0</v>
      </c>
      <c r="Y174" s="172" t="str">
        <f ca="1">IF($D174&gt;Standings!$Q$27,"",$X174&amp;"-"&amp;COUNTIF(OFFSET($F174,(-$D174+1),0,1,1):$F174,"Conf")-$X174)</f>
        <v>0-3</v>
      </c>
      <c r="Z174" s="172">
        <f ca="1">IF($D174&gt;Standings!$Q$27,"",SUM(OFFSET(U174,(-$D174+1),0,1,1):U174))</f>
        <v>1</v>
      </c>
      <c r="AA174" s="172">
        <f ca="1">IF($D174&gt;Standings!$Q$27,"",IF(U174=1,1+AA173,0))</f>
        <v>0</v>
      </c>
      <c r="AB174" s="250">
        <f ca="1">IF($D174&gt;Standings!$Q$27,"",IF(AA174=0,1+AB173,0))</f>
        <v>1</v>
      </c>
      <c r="AC174" s="253">
        <f ca="1">IF($D174&gt;Standings!$Q$27,"",SUM(OFFSET(J174,(-$D174+1),0,1,1):J174))</f>
        <v>433.90000000000003</v>
      </c>
      <c r="AD174" s="248">
        <f ca="1">IF($D174&gt;Standings!$Q$27,"",SUM(OFFSET(K174,(-$D174+1),0,1,1):K174))</f>
        <v>551.69000000000005</v>
      </c>
      <c r="AE174" s="248">
        <f ca="1">IF($D174&gt;Standings!$Q$27,"",$J174-$K174)</f>
        <v>-27.729999999999997</v>
      </c>
      <c r="AF174" s="248">
        <f ca="1">IF($D174&gt;Standings!$Q$27,"",AC174-AD174)</f>
        <v>-117.79000000000002</v>
      </c>
      <c r="AG174" s="234">
        <f ca="1">IF($D174&gt;Standings!$Q$27,"",(COUNTIFS($D$2:$D$225,$D174,$C$2:$C$225,$C174,$AC$2:$AC$225,"&lt;"&amp;$AC174)+1)*0.01)</f>
        <v>0.01</v>
      </c>
      <c r="AH174" s="234">
        <f ca="1">IF($D174&gt;Standings!$Q$27,"",Z174+AG174)</f>
        <v>1.01</v>
      </c>
      <c r="AI174" s="234"/>
      <c r="AJ174" s="172">
        <f t="array" aca="1" ref="AJ174" ca="1">IF($D174&gt;Standings!$Q$27,"",(COUNTIFS($D$2:$D$225,$D174,$C$2:$C$225,$C174,$AM$2:$AM$225,"&gt;"&amp;$AM174)+1))</f>
        <v>8</v>
      </c>
      <c r="AK174" s="172">
        <f t="array" aca="1" ref="AK174" ca="1">IF($D174&gt;Standings!$Q$27,"",IF((COUNTIFS($D$2:$D$225,$D174,$C$2:$C$225,$C174,$AH$2:$AH$225,"&gt;"&amp;$AH174)+1)=2,1,0))</f>
        <v>0</v>
      </c>
      <c r="AL174" s="172">
        <f t="array" aca="1" ref="AL174" ca="1">IF($D174&gt;Standings!$Q$27,"",IF((COUNTIFS($D$2:$D$225,$D174,$C$2:$C$225,$C174,$AH$2:$AH$225,"&gt;"&amp;$AH174)+1)&lt;2,1,0))</f>
        <v>0</v>
      </c>
      <c r="AM174" s="172">
        <f ca="1">IF($D174&gt;Standings!$Q$27,"",IF(AL174=1,200+Z174+(16-AQ174)*0.01+AI174,IF(AK174=1,100+Z174+(16-AQ174)*0.01+AI174,IF(AN174=1,50+Z174+(16-AQ174)*0.01,IF(AO174=1,15+Z174+(16-AQ174)*0.01,Z174+(16-AQ174)*0.01+AI174)))))</f>
        <v>1</v>
      </c>
      <c r="AN174" s="172">
        <f ca="1">IF($D174&gt;Standings!$Q$27,"",IF(OR($AK174=1,$AL174=1),"Conf Playoff Spot",COUNTIFS($AL$2:$AL$225,0,$AK$2:$AK$225,0,$C$2:$C$225,$C174,$D$2:$D$225,$D174,$AC$2:$AC$225,"&gt;"&amp;$AC174)+1))</f>
        <v>6</v>
      </c>
      <c r="AO174" s="172">
        <f t="array" aca="1" ref="AO174" ca="1">IF($D174&gt;Standings!$Q$27,"",IF(OR($AK174=1,$AL174=1),"Conf Playoff Spot",COUNTIFS($AK$2:$AK$225,0,$AL$2:$AL$225,0,$D$2:$D$225,$D174,$AH$2:$AH$225,"&gt;"&amp;$AH174)+1))</f>
        <v>12</v>
      </c>
      <c r="AP174" s="172">
        <f t="array" aca="1" ref="AP174" ca="1">IF($D174&gt;Standings!$Q$27,"",(COUNTIFS($D$2:$D$225,$D174,$J$2:$J$225,"&gt;"&amp;$J174)+1))</f>
        <v>16</v>
      </c>
      <c r="AQ174" s="172">
        <f ca="1">IF($D174&gt;Standings!$Q$27,"",(COUNTIFS($D$2:$D$225,$D174,$AC$2:$AC$225,"&gt;"&amp;$AC174)+1))</f>
        <v>16</v>
      </c>
      <c r="AR174" s="172">
        <f ca="1">IF($D174&gt;Standings!$Q$27,"",(COUNTIFS($D$2:$D$225,$D174,$K$2:$K$225,"&gt;"&amp;$K174)+1))</f>
        <v>14</v>
      </c>
      <c r="AS174" s="172">
        <f ca="1">IF($D174&gt;Standings!$Q$27,"",(COUNTIFS($D$2:$D$225,$D174,$AD$2:$AD$225,"&gt;"&amp;$AD174)+1))</f>
        <v>6</v>
      </c>
      <c r="AT174" s="354">
        <f ca="1">IF($D174&gt;Standings!$Q$27,"",SUMIFS($J$2:$J$225,$D$2:$D$225,$D174,$C$2:$C$225,$C174))</f>
        <v>855.19</v>
      </c>
      <c r="AU174" s="253">
        <f ca="1">IF($D174&gt;Standings!$Q$27,"",SUMIFS($AC$2:$AC$225,$D$2:$D$225,$D174,$C$2:$C$225,$C174))</f>
        <v>4324.71</v>
      </c>
    </row>
    <row r="175" spans="1:47">
      <c r="A175" s="190">
        <f t="shared" si="2"/>
        <v>92</v>
      </c>
      <c r="B175" s="5" t="str">
        <f>'ESPN Data'!$L$16</f>
        <v>Team 13</v>
      </c>
      <c r="C175" s="350" t="str">
        <f>VLOOKUP(B175,'ESPN Data'!$L$4:$M$19,2,FALSE)</f>
        <v>Wardo</v>
      </c>
      <c r="D175" s="400">
        <v>6</v>
      </c>
      <c r="E175" s="267" t="str">
        <f t="array" ref="E175">INDEX('ESPN Data'!$C$3:$C$226,MATCH(1,('ESPN Data'!$A$3:$A$226='Point Data'!$D175)*('ESPN Data'!$B$3:$B$226='Point Data'!$B175),0))</f>
        <v>Team 6</v>
      </c>
      <c r="F175" s="250" t="str">
        <f>IF(C175&lt;&gt;VLOOKUP($E175,'ESPN Data'!$L$4:$M$19,2,FALSE),"Non Conf", "Conf")</f>
        <v>Non Conf</v>
      </c>
      <c r="G175" s="246">
        <f t="array" aca="1" ref="G175" ca="1">IF('Point Data'!$D175&gt;Standings!$Q$27,"",(COUNTIFS($D$2:$D$225,$D175,$AM$2:$AM$225,"&gt;"&amp;$AM175)+1))</f>
        <v>14</v>
      </c>
      <c r="H175" s="172">
        <f ca="1">IF('Point Data'!$D175&gt;Standings!$Q$27,"",$G174)</f>
        <v>16</v>
      </c>
      <c r="I175" s="249">
        <f ca="1">IF('Point Data'!D175&gt;Standings!$Q$27,"",H175-G175)</f>
        <v>2</v>
      </c>
      <c r="J175" s="172">
        <f ca="1">IF('Point Data'!D175&gt;Standings!$Q$27,"",OFFSET('ESPN Data'!D$3,$A175,0,1,1))</f>
        <v>118.5</v>
      </c>
      <c r="K175" s="248">
        <f ca="1">IF('Point Data'!D175&gt;Standings!$Q$27,"",OFFSET('ESPN Data'!E$3,$A175,0,1,1))</f>
        <v>91.59</v>
      </c>
      <c r="L175" s="249">
        <f ca="1">IF('Point Data'!D175&gt;Standings!$Q$27,"",OFFSET('ESPN Data'!I$3,$A175,0,1,1))</f>
        <v>90</v>
      </c>
      <c r="M175" s="249">
        <f ca="1">IF('Point Data'!D175&gt;Standings!$Q$27,"",OFFSET('ESPN Data'!I$3,$A175,-2,1,1))</f>
        <v>0</v>
      </c>
      <c r="N175" s="249">
        <f ca="1">IF('Point Data'!D175&gt;Standings!$Q$27,"",SUMIFS($M$2:$M$225,$D$2:$D$225,D175,$C$2:$C$225,C175))</f>
        <v>67</v>
      </c>
      <c r="O175" s="249">
        <f ca="1">IF('Point Data'!D175&gt;Standings!$Q$27,"",SUMIFS($L$2:$L$225,$D$2:$D$225,$D175,$C$2:$C$225,$C175))</f>
        <v>470</v>
      </c>
      <c r="P175" s="249">
        <f ca="1">IF('Point Data'!D175&gt;Standings!$Q$27,"",SUMIFS($M$2:$M$225,$D$2:$D$225,D175))</f>
        <v>183</v>
      </c>
      <c r="Q175" s="249">
        <f ca="1">IF('Point Data'!D175&gt;Standings!$Q$27,"",SUMIFS($L$2:$L$225,$D$2:$D$225,D175))</f>
        <v>856</v>
      </c>
      <c r="R175" s="249">
        <f ca="1">IF($D175&gt;Standings!$Q$27,"",IF(U175="T",(Z175+0.5)/(D175)*100,(Z175/D175)*100))</f>
        <v>33.333333333333329</v>
      </c>
      <c r="S175" s="248">
        <f ca="1">IF($D175&gt;Standings!$Q$27,"",$J175-$K175)</f>
        <v>26.909999999999997</v>
      </c>
      <c r="T175" s="248">
        <f ca="1">IF($D175&gt;Standings!$Q$27,"",AVERAGE(OFFSET(S175,(-$D175+1),0,1,1):S175))</f>
        <v>-15.146666666666667</v>
      </c>
      <c r="U175" s="172">
        <f ca="1">IF($D175&gt;Standings!$Q$27,"",IF(J175&gt;K175,1,IF(J175=K175,"T",0)))</f>
        <v>1</v>
      </c>
      <c r="V175" s="172">
        <f ca="1">IF($D175&gt;Standings!$Q$27,"",IF(F175="Conf",V174,SUMIFS($U$2:$U$225,$D$2:$D$225,"&lt;="&amp;$D175,$B$2:$B$225,$B175,$F$2:$F$225,"Non Conf")))</f>
        <v>2</v>
      </c>
      <c r="W175" s="172" t="str">
        <f ca="1">IF($D175&gt;Standings!$Q$27,"",$V175&amp;"-"&amp;COUNTIF(OFFSET($F175,(-$D175+1),0,1,1):$F175,"Non Conf")-$V175)</f>
        <v>2-1</v>
      </c>
      <c r="X175" s="172">
        <f ca="1">IF($D175&gt;Standings!$Q$27,"",SUMIFS($U$2:$U$225,$D$2:$D$225,"&lt;="&amp;$D175,$B$2:$B$225,$B175,$F$2:$F$225,"Conf"))</f>
        <v>0</v>
      </c>
      <c r="Y175" s="172" t="str">
        <f ca="1">IF($D175&gt;Standings!$Q$27,"",$X175&amp;"-"&amp;COUNTIF(OFFSET($F175,(-$D175+1),0,1,1):$F175,"Conf")-$X175)</f>
        <v>0-3</v>
      </c>
      <c r="Z175" s="172">
        <f ca="1">IF($D175&gt;Standings!$Q$27,"",SUM(OFFSET(U175,(-$D175+1),0,1,1):U175))</f>
        <v>2</v>
      </c>
      <c r="AA175" s="172">
        <f ca="1">IF($D175&gt;Standings!$Q$27,"",IF(U175=1,1+AA174,0))</f>
        <v>1</v>
      </c>
      <c r="AB175" s="250">
        <f ca="1">IF($D175&gt;Standings!$Q$27,"",IF(AA175=0,1+AB174,0))</f>
        <v>0</v>
      </c>
      <c r="AC175" s="253">
        <f ca="1">IF($D175&gt;Standings!$Q$27,"",SUM(OFFSET(J175,(-$D175+1),0,1,1):J175))</f>
        <v>552.40000000000009</v>
      </c>
      <c r="AD175" s="248">
        <f ca="1">IF($D175&gt;Standings!$Q$27,"",SUM(OFFSET(K175,(-$D175+1),0,1,1):K175))</f>
        <v>643.28000000000009</v>
      </c>
      <c r="AE175" s="248">
        <f ca="1">IF($D175&gt;Standings!$Q$27,"",$J175-$K175)</f>
        <v>26.909999999999997</v>
      </c>
      <c r="AF175" s="248">
        <f ca="1">IF($D175&gt;Standings!$Q$27,"",AC175-AD175)</f>
        <v>-90.88</v>
      </c>
      <c r="AG175" s="234">
        <f ca="1">IF($D175&gt;Standings!$Q$27,"",(COUNTIFS($D$2:$D$225,$D175,$C$2:$C$225,$C175,$AC$2:$AC$225,"&lt;"&amp;$AC175)+1)*0.01)</f>
        <v>0.01</v>
      </c>
      <c r="AH175" s="234">
        <f ca="1">IF($D175&gt;Standings!$Q$27,"",Z175+AG175)</f>
        <v>2.0099999999999998</v>
      </c>
      <c r="AI175" s="234"/>
      <c r="AJ175" s="172">
        <f t="array" aca="1" ref="AJ175" ca="1">IF($D175&gt;Standings!$Q$27,"",(COUNTIFS($D$2:$D$225,$D175,$C$2:$C$225,$C175,$AM$2:$AM$225,"&gt;"&amp;$AM175)+1))</f>
        <v>8</v>
      </c>
      <c r="AK175" s="172">
        <f t="array" aca="1" ref="AK175" ca="1">IF($D175&gt;Standings!$Q$27,"",IF((COUNTIFS($D$2:$D$225,$D175,$C$2:$C$225,$C175,$AH$2:$AH$225,"&gt;"&amp;$AH175)+1)=2,1,0))</f>
        <v>0</v>
      </c>
      <c r="AL175" s="172">
        <f t="array" aca="1" ref="AL175" ca="1">IF($D175&gt;Standings!$Q$27,"",IF((COUNTIFS($D$2:$D$225,$D175,$C$2:$C$225,$C175,$AH$2:$AH$225,"&gt;"&amp;$AH175)+1)&lt;2,1,0))</f>
        <v>0</v>
      </c>
      <c r="AM175" s="172">
        <f ca="1">IF($D175&gt;Standings!$Q$27,"",IF(AL175=1,200+Z175+(16-AQ175)*0.01+AI175,IF(AK175=1,100+Z175+(16-AQ175)*0.01+AI175,IF(AN175=1,50+Z175+(16-AQ175)*0.01,IF(AO175=1,15+Z175+(16-AQ175)*0.01,Z175+(16-AQ175)*0.01+AI175)))))</f>
        <v>2</v>
      </c>
      <c r="AN175" s="172">
        <f ca="1">IF($D175&gt;Standings!$Q$27,"",IF(OR($AK175=1,$AL175=1),"Conf Playoff Spot",COUNTIFS($AL$2:$AL$225,0,$AK$2:$AK$225,0,$C$2:$C$225,$C175,$D$2:$D$225,$D175,$AC$2:$AC$225,"&gt;"&amp;$AC175)+1))</f>
        <v>6</v>
      </c>
      <c r="AO175" s="172">
        <f t="array" aca="1" ref="AO175" ca="1">IF($D175&gt;Standings!$Q$27,"",IF(OR($AK175=1,$AL175=1),"Conf Playoff Spot",COUNTIFS($AK$2:$AK$225,0,$AL$2:$AL$225,0,$D$2:$D$225,$D175,$AH$2:$AH$225,"&gt;"&amp;$AH175)+1))</f>
        <v>10</v>
      </c>
      <c r="AP175" s="172">
        <f t="array" aca="1" ref="AP175" ca="1">IF($D175&gt;Standings!$Q$27,"",(COUNTIFS($D$2:$D$225,$D175,$J$2:$J$225,"&gt;"&amp;$J175)+1))</f>
        <v>2</v>
      </c>
      <c r="AQ175" s="172">
        <f ca="1">IF($D175&gt;Standings!$Q$27,"",(COUNTIFS($D$2:$D$225,$D175,$AC$2:$AC$225,"&gt;"&amp;$AC175)+1))</f>
        <v>16</v>
      </c>
      <c r="AR175" s="172">
        <f ca="1">IF($D175&gt;Standings!$Q$27,"",(COUNTIFS($D$2:$D$225,$D175,$K$2:$K$225,"&gt;"&amp;$K175)+1))</f>
        <v>11</v>
      </c>
      <c r="AS175" s="172">
        <f ca="1">IF($D175&gt;Standings!$Q$27,"",(COUNTIFS($D$2:$D$225,$D175,$AD$2:$AD$225,"&gt;"&amp;$AD175)+1))</f>
        <v>7</v>
      </c>
      <c r="AT175" s="354">
        <f ca="1">IF($D175&gt;Standings!$Q$27,"",SUMIFS($J$2:$J$225,$D$2:$D$225,$D175,$C$2:$C$225,$C175))</f>
        <v>768.68000000000006</v>
      </c>
      <c r="AU175" s="253">
        <f ca="1">IF($D175&gt;Standings!$Q$27,"",SUMIFS($AC$2:$AC$225,$D$2:$D$225,$D175,$C$2:$C$225,$C175))</f>
        <v>5093.3900000000003</v>
      </c>
    </row>
    <row r="176" spans="1:47">
      <c r="A176" s="190">
        <f t="shared" si="2"/>
        <v>108</v>
      </c>
      <c r="B176" s="5" t="str">
        <f>'ESPN Data'!$L$16</f>
        <v>Team 13</v>
      </c>
      <c r="C176" s="350" t="str">
        <f>VLOOKUP(B176,'ESPN Data'!$L$4:$M$19,2,FALSE)</f>
        <v>Wardo</v>
      </c>
      <c r="D176" s="400">
        <v>7</v>
      </c>
      <c r="E176" s="267" t="str">
        <f t="array" ref="E176">INDEX('ESPN Data'!$C$3:$C$226,MATCH(1,('ESPN Data'!$A$3:$A$226='Point Data'!$D176)*('ESPN Data'!$B$3:$B$226='Point Data'!$B176),0))</f>
        <v>Team 16</v>
      </c>
      <c r="F176" s="250" t="str">
        <f>IF(C176&lt;&gt;VLOOKUP($E176,'ESPN Data'!$L$4:$M$19,2,FALSE),"Non Conf", "Conf")</f>
        <v>Conf</v>
      </c>
      <c r="G176" s="246">
        <f t="array" aca="1" ref="G176" ca="1">IF('Point Data'!$D176&gt;Standings!$Q$27,"",(COUNTIFS($D$2:$D$225,$D176,$AM$2:$AM$225,"&gt;"&amp;$AM176)+1))</f>
        <v>12</v>
      </c>
      <c r="H176" s="172">
        <f ca="1">IF('Point Data'!$D176&gt;Standings!$Q$27,"",$G175)</f>
        <v>14</v>
      </c>
      <c r="I176" s="249">
        <f ca="1">IF('Point Data'!D176&gt;Standings!$Q$27,"",H176-G176)</f>
        <v>2</v>
      </c>
      <c r="J176" s="172">
        <f ca="1">IF('Point Data'!D176&gt;Standings!$Q$27,"",OFFSET('ESPN Data'!D$3,$A176,0,1,1))</f>
        <v>104.38</v>
      </c>
      <c r="K176" s="248">
        <f ca="1">IF('Point Data'!D176&gt;Standings!$Q$27,"",OFFSET('ESPN Data'!E$3,$A176,0,1,1))</f>
        <v>66.319999999999993</v>
      </c>
      <c r="L176" s="249">
        <f ca="1">IF('Point Data'!D176&gt;Standings!$Q$27,"",OFFSET('ESPN Data'!I$3,$A176,0,1,1))</f>
        <v>12</v>
      </c>
      <c r="M176" s="249">
        <f ca="1">IF('Point Data'!D176&gt;Standings!$Q$27,"",OFFSET('ESPN Data'!I$3,$A176,-2,1,1))</f>
        <v>78</v>
      </c>
      <c r="N176" s="249">
        <f ca="1">IF('Point Data'!D176&gt;Standings!$Q$27,"",SUMIFS($M$2:$M$225,$D$2:$D$225,D176,$C$2:$C$225,C176))</f>
        <v>140</v>
      </c>
      <c r="O176" s="249">
        <f ca="1">IF('Point Data'!D176&gt;Standings!$Q$27,"",SUMIFS($L$2:$L$225,$D$2:$D$225,$D176,$C$2:$C$225,$C176))</f>
        <v>330</v>
      </c>
      <c r="P176" s="249">
        <f ca="1">IF('Point Data'!D176&gt;Standings!$Q$27,"",SUMIFS($M$2:$M$225,$D$2:$D$225,D176))</f>
        <v>168</v>
      </c>
      <c r="Q176" s="249">
        <f ca="1">IF('Point Data'!D176&gt;Standings!$Q$27,"",SUMIFS($L$2:$L$225,$D$2:$D$225,D176))</f>
        <v>688</v>
      </c>
      <c r="R176" s="249">
        <f ca="1">IF($D176&gt;Standings!$Q$27,"",IF(U176="T",(Z176+0.5)/(D176)*100,(Z176/D176)*100))</f>
        <v>42.857142857142854</v>
      </c>
      <c r="S176" s="248">
        <f ca="1">IF($D176&gt;Standings!$Q$27,"",$J176-$K176)</f>
        <v>38.06</v>
      </c>
      <c r="T176" s="248">
        <f ca="1">IF($D176&gt;Standings!$Q$27,"",AVERAGE(OFFSET(S176,(-$D176+1),0,1,1):S176))</f>
        <v>-7.5457142857142845</v>
      </c>
      <c r="U176" s="172">
        <f ca="1">IF($D176&gt;Standings!$Q$27,"",IF(J176&gt;K176,1,IF(J176=K176,"T",0)))</f>
        <v>1</v>
      </c>
      <c r="V176" s="172">
        <f ca="1">IF($D176&gt;Standings!$Q$27,"",IF(F176="Conf",V175,SUMIFS($U$2:$U$225,$D$2:$D$225,"&lt;="&amp;$D176,$B$2:$B$225,$B176,$F$2:$F$225,"Non Conf")))</f>
        <v>2</v>
      </c>
      <c r="W176" s="172" t="str">
        <f ca="1">IF($D176&gt;Standings!$Q$27,"",$V176&amp;"-"&amp;COUNTIF(OFFSET($F176,(-$D176+1),0,1,1):$F176,"Non Conf")-$V176)</f>
        <v>2-1</v>
      </c>
      <c r="X176" s="172">
        <f ca="1">IF($D176&gt;Standings!$Q$27,"",SUMIFS($U$2:$U$225,$D$2:$D$225,"&lt;="&amp;$D176,$B$2:$B$225,$B176,$F$2:$F$225,"Conf"))</f>
        <v>1</v>
      </c>
      <c r="Y176" s="172" t="str">
        <f ca="1">IF($D176&gt;Standings!$Q$27,"",$X176&amp;"-"&amp;COUNTIF(OFFSET($F176,(-$D176+1),0,1,1):$F176,"Conf")-$X176)</f>
        <v>1-3</v>
      </c>
      <c r="Z176" s="172">
        <f ca="1">IF($D176&gt;Standings!$Q$27,"",SUM(OFFSET(U176,(-$D176+1),0,1,1):U176))</f>
        <v>3</v>
      </c>
      <c r="AA176" s="172">
        <f ca="1">IF($D176&gt;Standings!$Q$27,"",IF(U176=1,1+AA175,0))</f>
        <v>2</v>
      </c>
      <c r="AB176" s="250">
        <f ca="1">IF($D176&gt;Standings!$Q$27,"",IF(AA176=0,1+AB175,0))</f>
        <v>0</v>
      </c>
      <c r="AC176" s="253">
        <f ca="1">IF($D176&gt;Standings!$Q$27,"",SUM(OFFSET(J176,(-$D176+1),0,1,1):J176))</f>
        <v>656.78000000000009</v>
      </c>
      <c r="AD176" s="248">
        <f ca="1">IF($D176&gt;Standings!$Q$27,"",SUM(OFFSET(K176,(-$D176+1),0,1,1):K176))</f>
        <v>709.60000000000014</v>
      </c>
      <c r="AE176" s="248">
        <f ca="1">IF($D176&gt;Standings!$Q$27,"",$J176-$K176)</f>
        <v>38.06</v>
      </c>
      <c r="AF176" s="248">
        <f ca="1">IF($D176&gt;Standings!$Q$27,"",AC176-AD176)</f>
        <v>-52.82000000000005</v>
      </c>
      <c r="AG176" s="234">
        <f ca="1">IF($D176&gt;Standings!$Q$27,"",(COUNTIFS($D$2:$D$225,$D176,$C$2:$C$225,$C176,$AC$2:$AC$225,"&lt;"&amp;$AC176)+1)*0.01)</f>
        <v>0.01</v>
      </c>
      <c r="AH176" s="234">
        <f ca="1">IF($D176&gt;Standings!$Q$27,"",Z176+AG176)</f>
        <v>3.01</v>
      </c>
      <c r="AI176" s="234"/>
      <c r="AJ176" s="172">
        <f t="array" aca="1" ref="AJ176" ca="1">IF($D176&gt;Standings!$Q$27,"",(COUNTIFS($D$2:$D$225,$D176,$C$2:$C$225,$C176,$AM$2:$AM$225,"&gt;"&amp;$AM176)+1))</f>
        <v>6</v>
      </c>
      <c r="AK176" s="172">
        <f t="array" aca="1" ref="AK176" ca="1">IF($D176&gt;Standings!$Q$27,"",IF((COUNTIFS($D$2:$D$225,$D176,$C$2:$C$225,$C176,$AH$2:$AH$225,"&gt;"&amp;$AH176)+1)=2,1,0))</f>
        <v>0</v>
      </c>
      <c r="AL176" s="172">
        <f t="array" aca="1" ref="AL176" ca="1">IF($D176&gt;Standings!$Q$27,"",IF((COUNTIFS($D$2:$D$225,$D176,$C$2:$C$225,$C176,$AH$2:$AH$225,"&gt;"&amp;$AH176)+1)&lt;2,1,0))</f>
        <v>0</v>
      </c>
      <c r="AM176" s="172">
        <f ca="1">IF($D176&gt;Standings!$Q$27,"",IF(AL176=1,200+Z176+(16-AQ176)*0.01+AI176,IF(AK176=1,100+Z176+(16-AQ176)*0.01+AI176,IF(AN176=1,50+Z176+(16-AQ176)*0.01,IF(AO176=1,15+Z176+(16-AQ176)*0.01,Z176+(16-AQ176)*0.01+AI176)))))</f>
        <v>3.01</v>
      </c>
      <c r="AN176" s="172">
        <f ca="1">IF($D176&gt;Standings!$Q$27,"",IF(OR($AK176=1,$AL176=1),"Conf Playoff Spot",COUNTIFS($AL$2:$AL$225,0,$AK$2:$AK$225,0,$C$2:$C$225,$C176,$D$2:$D$225,$D176,$AC$2:$AC$225,"&gt;"&amp;$AC176)+1))</f>
        <v>6</v>
      </c>
      <c r="AO176" s="172">
        <f t="array" aca="1" ref="AO176" ca="1">IF($D176&gt;Standings!$Q$27,"",IF(OR($AK176=1,$AL176=1),"Conf Playoff Spot",COUNTIFS($AK$2:$AK$225,0,$AL$2:$AL$225,0,$D$2:$D$225,$D176,$AH$2:$AH$225,"&gt;"&amp;$AH176)+1))</f>
        <v>7</v>
      </c>
      <c r="AP176" s="172">
        <f t="array" aca="1" ref="AP176" ca="1">IF($D176&gt;Standings!$Q$27,"",(COUNTIFS($D$2:$D$225,$D176,$J$2:$J$225,"&gt;"&amp;$J176)+1))</f>
        <v>7</v>
      </c>
      <c r="AQ176" s="172">
        <f ca="1">IF($D176&gt;Standings!$Q$27,"",(COUNTIFS($D$2:$D$225,$D176,$AC$2:$AC$225,"&gt;"&amp;$AC176)+1))</f>
        <v>15</v>
      </c>
      <c r="AR176" s="172">
        <f ca="1">IF($D176&gt;Standings!$Q$27,"",(COUNTIFS($D$2:$D$225,$D176,$K$2:$K$225,"&gt;"&amp;$K176)+1))</f>
        <v>16</v>
      </c>
      <c r="AS176" s="172">
        <f ca="1">IF($D176&gt;Standings!$Q$27,"",(COUNTIFS($D$2:$D$225,$D176,$AD$2:$AD$225,"&gt;"&amp;$AD176)+1))</f>
        <v>11</v>
      </c>
      <c r="AT176" s="354">
        <f ca="1">IF($D176&gt;Standings!$Q$27,"",SUMIFS($J$2:$J$225,$D$2:$D$225,$D176,$C$2:$C$225,$C176))</f>
        <v>714.95</v>
      </c>
      <c r="AU176" s="253">
        <f ca="1">IF($D176&gt;Standings!$Q$27,"",SUMIFS($AC$2:$AC$225,$D$2:$D$225,$D176,$C$2:$C$225,$C176))</f>
        <v>5808.34</v>
      </c>
    </row>
    <row r="177" spans="1:47">
      <c r="A177" s="190">
        <f t="shared" si="2"/>
        <v>124</v>
      </c>
      <c r="B177" s="5" t="str">
        <f>'ESPN Data'!$L$16</f>
        <v>Team 13</v>
      </c>
      <c r="C177" s="350" t="str">
        <f>VLOOKUP(B177,'ESPN Data'!$L$4:$M$19,2,FALSE)</f>
        <v>Wardo</v>
      </c>
      <c r="D177" s="400">
        <v>8</v>
      </c>
      <c r="E177" s="267" t="str">
        <f t="array" ref="E177">INDEX('ESPN Data'!$C$3:$C$226,MATCH(1,('ESPN Data'!$A$3:$A$226='Point Data'!$D177)*('ESPN Data'!$B$3:$B$226='Point Data'!$B177),0))</f>
        <v>Team 3</v>
      </c>
      <c r="F177" s="250" t="str">
        <f>IF(C177&lt;&gt;VLOOKUP($E177,'ESPN Data'!$L$4:$M$19,2,FALSE),"Non Conf", "Conf")</f>
        <v>Non Conf</v>
      </c>
      <c r="G177" s="246">
        <f t="array" aca="1" ref="G177" ca="1">IF('Point Data'!$D177&gt;Standings!$Q$27,"",(COUNTIFS($D$2:$D$225,$D177,$AM$2:$AM$225,"&gt;"&amp;$AM177)+1))</f>
        <v>14</v>
      </c>
      <c r="H177" s="172">
        <f ca="1">IF('Point Data'!$D177&gt;Standings!$Q$27,"",$G176)</f>
        <v>12</v>
      </c>
      <c r="I177" s="249">
        <f ca="1">IF('Point Data'!D177&gt;Standings!$Q$27,"",H177-G177)</f>
        <v>-2</v>
      </c>
      <c r="J177" s="172">
        <f ca="1">IF('Point Data'!D177&gt;Standings!$Q$27,"",OFFSET('ESPN Data'!D$3,$A177,0,1,1))</f>
        <v>73.22</v>
      </c>
      <c r="K177" s="248">
        <f ca="1">IF('Point Data'!D177&gt;Standings!$Q$27,"",OFFSET('ESPN Data'!E$3,$A177,0,1,1))</f>
        <v>80.22</v>
      </c>
      <c r="L177" s="249">
        <f ca="1">IF('Point Data'!D177&gt;Standings!$Q$27,"",OFFSET('ESPN Data'!I$3,$A177,0,1,1))</f>
        <v>6</v>
      </c>
      <c r="M177" s="249">
        <f ca="1">IF('Point Data'!D177&gt;Standings!$Q$27,"",OFFSET('ESPN Data'!I$3,$A177,-2,1,1))</f>
        <v>6</v>
      </c>
      <c r="N177" s="249">
        <f ca="1">IF('Point Data'!D177&gt;Standings!$Q$27,"",SUMIFS($M$2:$M$225,$D$2:$D$225,D177,$C$2:$C$225,C177))</f>
        <v>62</v>
      </c>
      <c r="O177" s="249">
        <f ca="1">IF('Point Data'!D177&gt;Standings!$Q$27,"",SUMIFS($L$2:$L$225,$D$2:$D$225,$D177,$C$2:$C$225,$C177))</f>
        <v>268</v>
      </c>
      <c r="P177" s="249">
        <f ca="1">IF('Point Data'!D177&gt;Standings!$Q$27,"",SUMIFS($M$2:$M$225,$D$2:$D$225,D177))</f>
        <v>80</v>
      </c>
      <c r="Q177" s="249">
        <f ca="1">IF('Point Data'!D177&gt;Standings!$Q$27,"",SUMIFS($L$2:$L$225,$D$2:$D$225,D177))</f>
        <v>608</v>
      </c>
      <c r="R177" s="249">
        <f ca="1">IF($D177&gt;Standings!$Q$27,"",IF(U177="T",(Z177+0.5)/(D177)*100,(Z177/D177)*100))</f>
        <v>37.5</v>
      </c>
      <c r="S177" s="248">
        <f ca="1">IF($D177&gt;Standings!$Q$27,"",$J177-$K177)</f>
        <v>-7</v>
      </c>
      <c r="T177" s="248">
        <f ca="1">IF($D177&gt;Standings!$Q$27,"",AVERAGE(OFFSET(S177,(-$D177+1),0,1,1):S177))</f>
        <v>-7.4774999999999991</v>
      </c>
      <c r="U177" s="172">
        <f ca="1">IF($D177&gt;Standings!$Q$27,"",IF(J177&gt;K177,1,IF(J177=K177,"T",0)))</f>
        <v>0</v>
      </c>
      <c r="V177" s="172">
        <f ca="1">IF($D177&gt;Standings!$Q$27,"",IF(F177="Conf",V176,SUMIFS($U$2:$U$225,$D$2:$D$225,"&lt;="&amp;$D177,$B$2:$B$225,$B177,$F$2:$F$225,"Non Conf")))</f>
        <v>2</v>
      </c>
      <c r="W177" s="172" t="str">
        <f ca="1">IF($D177&gt;Standings!$Q$27,"",$V177&amp;"-"&amp;COUNTIF(OFFSET($F177,(-$D177+1),0,1,1):$F177,"Non Conf")-$V177)</f>
        <v>2-2</v>
      </c>
      <c r="X177" s="172">
        <f ca="1">IF($D177&gt;Standings!$Q$27,"",SUMIFS($U$2:$U$225,$D$2:$D$225,"&lt;="&amp;$D177,$B$2:$B$225,$B177,$F$2:$F$225,"Conf"))</f>
        <v>1</v>
      </c>
      <c r="Y177" s="172" t="str">
        <f ca="1">IF($D177&gt;Standings!$Q$27,"",$X177&amp;"-"&amp;COUNTIF(OFFSET($F177,(-$D177+1),0,1,1):$F177,"Conf")-$X177)</f>
        <v>1-3</v>
      </c>
      <c r="Z177" s="172">
        <f ca="1">IF($D177&gt;Standings!$Q$27,"",SUM(OFFSET(U177,(-$D177+1),0,1,1):U177))</f>
        <v>3</v>
      </c>
      <c r="AA177" s="172">
        <f ca="1">IF($D177&gt;Standings!$Q$27,"",IF(U177=1,1+AA176,0))</f>
        <v>0</v>
      </c>
      <c r="AB177" s="250">
        <f ca="1">IF($D177&gt;Standings!$Q$27,"",IF(AA177=0,1+AB176,0))</f>
        <v>1</v>
      </c>
      <c r="AC177" s="253">
        <f ca="1">IF($D177&gt;Standings!$Q$27,"",SUM(OFFSET(J177,(-$D177+1),0,1,1):J177))</f>
        <v>730.00000000000011</v>
      </c>
      <c r="AD177" s="248">
        <f ca="1">IF($D177&gt;Standings!$Q$27,"",SUM(OFFSET(K177,(-$D177+1),0,1,1):K177))</f>
        <v>789.82000000000016</v>
      </c>
      <c r="AE177" s="248">
        <f ca="1">IF($D177&gt;Standings!$Q$27,"",$J177-$K177)</f>
        <v>-7</v>
      </c>
      <c r="AF177" s="248">
        <f ca="1">IF($D177&gt;Standings!$Q$27,"",AC177-AD177)</f>
        <v>-59.82000000000005</v>
      </c>
      <c r="AG177" s="234">
        <f ca="1">IF($D177&gt;Standings!$Q$27,"",(COUNTIFS($D$2:$D$225,$D177,$C$2:$C$225,$C177,$AC$2:$AC$225,"&lt;"&amp;$AC177)+1)*0.01)</f>
        <v>0.01</v>
      </c>
      <c r="AH177" s="234">
        <f ca="1">IF($D177&gt;Standings!$Q$27,"",Z177+AG177)</f>
        <v>3.01</v>
      </c>
      <c r="AI177" s="234"/>
      <c r="AJ177" s="172">
        <f t="array" aca="1" ref="AJ177" ca="1">IF($D177&gt;Standings!$Q$27,"",(COUNTIFS($D$2:$D$225,$D177,$C$2:$C$225,$C177,$AM$2:$AM$225,"&gt;"&amp;$AM177)+1))</f>
        <v>7</v>
      </c>
      <c r="AK177" s="172">
        <f t="array" aca="1" ref="AK177" ca="1">IF($D177&gt;Standings!$Q$27,"",IF((COUNTIFS($D$2:$D$225,$D177,$C$2:$C$225,$C177,$AH$2:$AH$225,"&gt;"&amp;$AH177)+1)=2,1,0))</f>
        <v>0</v>
      </c>
      <c r="AL177" s="172">
        <f t="array" aca="1" ref="AL177" ca="1">IF($D177&gt;Standings!$Q$27,"",IF((COUNTIFS($D$2:$D$225,$D177,$C$2:$C$225,$C177,$AH$2:$AH$225,"&gt;"&amp;$AH177)+1)&lt;2,1,0))</f>
        <v>0</v>
      </c>
      <c r="AM177" s="172">
        <f ca="1">IF($D177&gt;Standings!$Q$27,"",IF(AL177=1,200+Z177+(16-AQ177)*0.01+AI177,IF(AK177=1,100+Z177+(16-AQ177)*0.01+AI177,IF(AN177=1,50+Z177+(16-AQ177)*0.01,IF(AO177=1,15+Z177+(16-AQ177)*0.01,Z177+(16-AQ177)*0.01+AI177)))))</f>
        <v>3.01</v>
      </c>
      <c r="AN177" s="172">
        <f ca="1">IF($D177&gt;Standings!$Q$27,"",IF(OR($AK177=1,$AL177=1),"Conf Playoff Spot",COUNTIFS($AL$2:$AL$225,0,$AK$2:$AK$225,0,$C$2:$C$225,$C177,$D$2:$D$225,$D177,$AC$2:$AC$225,"&gt;"&amp;$AC177)+1))</f>
        <v>6</v>
      </c>
      <c r="AO177" s="172">
        <f t="array" aca="1" ref="AO177" ca="1">IF($D177&gt;Standings!$Q$27,"",IF(OR($AK177=1,$AL177=1),"Conf Playoff Spot",COUNTIFS($AK$2:$AK$225,0,$AL$2:$AL$225,0,$D$2:$D$225,$D177,$AH$2:$AH$225,"&gt;"&amp;$AH177)+1))</f>
        <v>10</v>
      </c>
      <c r="AP177" s="172">
        <f t="array" aca="1" ref="AP177" ca="1">IF($D177&gt;Standings!$Q$27,"",(COUNTIFS($D$2:$D$225,$D177,$J$2:$J$225,"&gt;"&amp;$J177)+1))</f>
        <v>13</v>
      </c>
      <c r="AQ177" s="172">
        <f ca="1">IF($D177&gt;Standings!$Q$27,"",(COUNTIFS($D$2:$D$225,$D177,$AC$2:$AC$225,"&gt;"&amp;$AC177)+1))</f>
        <v>15</v>
      </c>
      <c r="AR177" s="172">
        <f ca="1">IF($D177&gt;Standings!$Q$27,"",(COUNTIFS($D$2:$D$225,$D177,$K$2:$K$225,"&gt;"&amp;$K177)+1))</f>
        <v>12</v>
      </c>
      <c r="AS177" s="172">
        <f ca="1">IF($D177&gt;Standings!$Q$27,"",(COUNTIFS($D$2:$D$225,$D177,$AD$2:$AD$225,"&gt;"&amp;$AD177)+1))</f>
        <v>13</v>
      </c>
      <c r="AT177" s="354">
        <f ca="1">IF($D177&gt;Standings!$Q$27,"",SUMIFS($J$2:$J$225,$D$2:$D$225,$D177,$C$2:$C$225,$C177))</f>
        <v>755.84</v>
      </c>
      <c r="AU177" s="253">
        <f ca="1">IF($D177&gt;Standings!$Q$27,"",SUMIFS($AC$2:$AC$225,$D$2:$D$225,$D177,$C$2:$C$225,$C177))</f>
        <v>6564.1799999999994</v>
      </c>
    </row>
    <row r="178" spans="1:47">
      <c r="A178" s="190">
        <f t="shared" si="2"/>
        <v>140</v>
      </c>
      <c r="B178" s="5" t="str">
        <f>'ESPN Data'!$L$16</f>
        <v>Team 13</v>
      </c>
      <c r="C178" s="350" t="str">
        <f>VLOOKUP(B178,'ESPN Data'!$L$4:$M$19,2,FALSE)</f>
        <v>Wardo</v>
      </c>
      <c r="D178" s="400">
        <v>9</v>
      </c>
      <c r="E178" s="267" t="str">
        <f t="array" ref="E178">INDEX('ESPN Data'!$C$3:$C$226,MATCH(1,('ESPN Data'!$A$3:$A$226='Point Data'!$D178)*('ESPN Data'!$B$3:$B$226='Point Data'!$B178),0))</f>
        <v>Team 9</v>
      </c>
      <c r="F178" s="250" t="str">
        <f>IF(C178&lt;&gt;VLOOKUP($E178,'ESPN Data'!$L$4:$M$19,2,FALSE),"Non Conf", "Conf")</f>
        <v>Conf</v>
      </c>
      <c r="G178" s="246">
        <f t="array" aca="1" ref="G178" ca="1">IF('Point Data'!$D178&gt;Standings!$Q$27,"",(COUNTIFS($D$2:$D$225,$D178,$AM$2:$AM$225,"&gt;"&amp;$AM178)+1))</f>
        <v>14</v>
      </c>
      <c r="H178" s="172">
        <f ca="1">IF('Point Data'!$D178&gt;Standings!$Q$27,"",$G177)</f>
        <v>14</v>
      </c>
      <c r="I178" s="249">
        <f ca="1">IF('Point Data'!D178&gt;Standings!$Q$27,"",H178-G178)</f>
        <v>0</v>
      </c>
      <c r="J178" s="172">
        <f ca="1">IF('Point Data'!D178&gt;Standings!$Q$27,"",OFFSET('ESPN Data'!D$3,$A178,0,1,1))</f>
        <v>90.79</v>
      </c>
      <c r="K178" s="248">
        <f ca="1">IF('Point Data'!D178&gt;Standings!$Q$27,"",OFFSET('ESPN Data'!E$3,$A178,0,1,1))</f>
        <v>117.03</v>
      </c>
      <c r="L178" s="249">
        <f ca="1">IF('Point Data'!D178&gt;Standings!$Q$27,"",OFFSET('ESPN Data'!I$3,$A178,0,1,1))</f>
        <v>6</v>
      </c>
      <c r="M178" s="249">
        <f ca="1">IF('Point Data'!D178&gt;Standings!$Q$27,"",OFFSET('ESPN Data'!I$3,$A178,-2,1,1))</f>
        <v>0</v>
      </c>
      <c r="N178" s="249">
        <f ca="1">IF('Point Data'!D178&gt;Standings!$Q$27,"",SUMIFS($M$2:$M$225,$D$2:$D$225,D178,$C$2:$C$225,C178))</f>
        <v>28</v>
      </c>
      <c r="O178" s="249">
        <f ca="1">IF('Point Data'!D178&gt;Standings!$Q$27,"",SUMIFS($L$2:$L$225,$D$2:$D$225,$D178,$C$2:$C$225,$C178))</f>
        <v>240</v>
      </c>
      <c r="P178" s="249">
        <f ca="1">IF('Point Data'!D178&gt;Standings!$Q$27,"",SUMIFS($M$2:$M$225,$D$2:$D$225,D178))</f>
        <v>63</v>
      </c>
      <c r="Q178" s="249">
        <f ca="1">IF('Point Data'!D178&gt;Standings!$Q$27,"",SUMIFS($L$2:$L$225,$D$2:$D$225,D178))</f>
        <v>545</v>
      </c>
      <c r="R178" s="249">
        <f ca="1">IF($D178&gt;Standings!$Q$27,"",IF(U178="T",(Z178+0.5)/(D178)*100,(Z178/D178)*100))</f>
        <v>33.333333333333329</v>
      </c>
      <c r="S178" s="248">
        <f ca="1">IF($D178&gt;Standings!$Q$27,"",$J178-$K178)</f>
        <v>-26.239999999999995</v>
      </c>
      <c r="T178" s="248">
        <f ca="1">IF($D178&gt;Standings!$Q$27,"",AVERAGE(OFFSET(S178,(-$D178+1),0,1,1):S178))</f>
        <v>-9.5622222222222213</v>
      </c>
      <c r="U178" s="172">
        <f ca="1">IF($D178&gt;Standings!$Q$27,"",IF(J178&gt;K178,1,IF(J178=K178,"T",0)))</f>
        <v>0</v>
      </c>
      <c r="V178" s="172">
        <f ca="1">IF($D178&gt;Standings!$Q$27,"",IF(F178="Conf",V177,SUMIFS($U$2:$U$225,$D$2:$D$225,"&lt;="&amp;$D178,$B$2:$B$225,$B178,$F$2:$F$225,"Non Conf")))</f>
        <v>2</v>
      </c>
      <c r="W178" s="172" t="str">
        <f ca="1">IF($D178&gt;Standings!$Q$27,"",$V178&amp;"-"&amp;COUNTIF(OFFSET($F178,(-$D178+1),0,1,1):$F178,"Non Conf")-$V178)</f>
        <v>2-2</v>
      </c>
      <c r="X178" s="172">
        <f ca="1">IF($D178&gt;Standings!$Q$27,"",SUMIFS($U$2:$U$225,$D$2:$D$225,"&lt;="&amp;$D178,$B$2:$B$225,$B178,$F$2:$F$225,"Conf"))</f>
        <v>1</v>
      </c>
      <c r="Y178" s="172" t="str">
        <f ca="1">IF($D178&gt;Standings!$Q$27,"",$X178&amp;"-"&amp;COUNTIF(OFFSET($F178,(-$D178+1),0,1,1):$F178,"Conf")-$X178)</f>
        <v>1-4</v>
      </c>
      <c r="Z178" s="172">
        <f ca="1">IF($D178&gt;Standings!$Q$27,"",SUM(OFFSET(U178,(-$D178+1),0,1,1):U178))</f>
        <v>3</v>
      </c>
      <c r="AA178" s="172">
        <f ca="1">IF($D178&gt;Standings!$Q$27,"",IF(U178=1,1+AA177,0))</f>
        <v>0</v>
      </c>
      <c r="AB178" s="250">
        <f ca="1">IF($D178&gt;Standings!$Q$27,"",IF(AA178=0,1+AB177,0))</f>
        <v>2</v>
      </c>
      <c r="AC178" s="253">
        <f ca="1">IF($D178&gt;Standings!$Q$27,"",SUM(OFFSET(J178,(-$D178+1),0,1,1):J178))</f>
        <v>820.79000000000008</v>
      </c>
      <c r="AD178" s="248">
        <f ca="1">IF($D178&gt;Standings!$Q$27,"",SUM(OFFSET(K178,(-$D178+1),0,1,1):K178))</f>
        <v>906.85000000000014</v>
      </c>
      <c r="AE178" s="248">
        <f ca="1">IF($D178&gt;Standings!$Q$27,"",$J178-$K178)</f>
        <v>-26.239999999999995</v>
      </c>
      <c r="AF178" s="248">
        <f ca="1">IF($D178&gt;Standings!$Q$27,"",AC178-AD178)</f>
        <v>-86.060000000000059</v>
      </c>
      <c r="AG178" s="234">
        <f ca="1">IF($D178&gt;Standings!$Q$27,"",(COUNTIFS($D$2:$D$225,$D178,$C$2:$C$225,$C178,$AC$2:$AC$225,"&lt;"&amp;$AC178)+1)*0.01)</f>
        <v>0.01</v>
      </c>
      <c r="AH178" s="234">
        <f ca="1">IF($D178&gt;Standings!$Q$27,"",Z178+AG178)</f>
        <v>3.01</v>
      </c>
      <c r="AI178" s="234"/>
      <c r="AJ178" s="172">
        <f t="array" aca="1" ref="AJ178" ca="1">IF($D178&gt;Standings!$Q$27,"",(COUNTIFS($D$2:$D$225,$D178,$C$2:$C$225,$C178,$AM$2:$AM$225,"&gt;"&amp;$AM178)+1))</f>
        <v>7</v>
      </c>
      <c r="AK178" s="172">
        <f t="array" aca="1" ref="AK178" ca="1">IF($D178&gt;Standings!$Q$27,"",IF((COUNTIFS($D$2:$D$225,$D178,$C$2:$C$225,$C178,$AH$2:$AH$225,"&gt;"&amp;$AH178)+1)=2,1,0))</f>
        <v>0</v>
      </c>
      <c r="AL178" s="172">
        <f t="array" aca="1" ref="AL178" ca="1">IF($D178&gt;Standings!$Q$27,"",IF((COUNTIFS($D$2:$D$225,$D178,$C$2:$C$225,$C178,$AH$2:$AH$225,"&gt;"&amp;$AH178)+1)&lt;2,1,0))</f>
        <v>0</v>
      </c>
      <c r="AM178" s="172">
        <f ca="1">IF($D178&gt;Standings!$Q$27,"",IF(AL178=1,200+Z178+(16-AQ178)*0.01+AI178,IF(AK178=1,100+Z178+(16-AQ178)*0.01+AI178,IF(AN178=1,50+Z178+(16-AQ178)*0.01,IF(AO178=1,15+Z178+(16-AQ178)*0.01,Z178+(16-AQ178)*0.01+AI178)))))</f>
        <v>3.01</v>
      </c>
      <c r="AN178" s="172">
        <f ca="1">IF($D178&gt;Standings!$Q$27,"",IF(OR($AK178=1,$AL178=1),"Conf Playoff Spot",COUNTIFS($AL$2:$AL$225,0,$AK$2:$AK$225,0,$C$2:$C$225,$C178,$D$2:$D$225,$D178,$AC$2:$AC$225,"&gt;"&amp;$AC178)+1))</f>
        <v>6</v>
      </c>
      <c r="AO178" s="172">
        <f t="array" aca="1" ref="AO178" ca="1">IF($D178&gt;Standings!$Q$27,"",IF(OR($AK178=1,$AL178=1),"Conf Playoff Spot",COUNTIFS($AK$2:$AK$225,0,$AL$2:$AL$225,0,$D$2:$D$225,$D178,$AH$2:$AH$225,"&gt;"&amp;$AH178)+1))</f>
        <v>10</v>
      </c>
      <c r="AP178" s="172">
        <f t="array" aca="1" ref="AP178" ca="1">IF($D178&gt;Standings!$Q$27,"",(COUNTIFS($D$2:$D$225,$D178,$J$2:$J$225,"&gt;"&amp;$J178)+1))</f>
        <v>8</v>
      </c>
      <c r="AQ178" s="172">
        <f ca="1">IF($D178&gt;Standings!$Q$27,"",(COUNTIFS($D$2:$D$225,$D178,$AC$2:$AC$225,"&gt;"&amp;$AC178)+1))</f>
        <v>15</v>
      </c>
      <c r="AR178" s="172">
        <f ca="1">IF($D178&gt;Standings!$Q$27,"",(COUNTIFS($D$2:$D$225,$D178,$K$2:$K$225,"&gt;"&amp;$K178)+1))</f>
        <v>5</v>
      </c>
      <c r="AS178" s="172">
        <f ca="1">IF($D178&gt;Standings!$Q$27,"",(COUNTIFS($D$2:$D$225,$D178,$AD$2:$AD$225,"&gt;"&amp;$AD178)+1))</f>
        <v>11</v>
      </c>
      <c r="AT178" s="354">
        <f ca="1">IF($D178&gt;Standings!$Q$27,"",SUMIFS($J$2:$J$225,$D$2:$D$225,$D178,$C$2:$C$225,$C178))</f>
        <v>813.24</v>
      </c>
      <c r="AU178" s="253">
        <f ca="1">IF($D178&gt;Standings!$Q$27,"",SUMIFS($AC$2:$AC$225,$D$2:$D$225,$D178,$C$2:$C$225,$C178))</f>
        <v>7377.42</v>
      </c>
    </row>
    <row r="179" spans="1:47">
      <c r="A179" s="190">
        <f t="shared" si="2"/>
        <v>156</v>
      </c>
      <c r="B179" s="5" t="str">
        <f>'ESPN Data'!$L$16</f>
        <v>Team 13</v>
      </c>
      <c r="C179" s="350" t="str">
        <f>VLOOKUP(B179,'ESPN Data'!$L$4:$M$19,2,FALSE)</f>
        <v>Wardo</v>
      </c>
      <c r="D179" s="400">
        <v>10</v>
      </c>
      <c r="E179" s="267" t="str">
        <f t="array" ref="E179">INDEX('ESPN Data'!$C$3:$C$226,MATCH(1,('ESPN Data'!$A$3:$A$226='Point Data'!$D179)*('ESPN Data'!$B$3:$B$226='Point Data'!$B179),0))</f>
        <v>Team 2</v>
      </c>
      <c r="F179" s="250" t="str">
        <f>IF(C179&lt;&gt;VLOOKUP($E179,'ESPN Data'!$L$4:$M$19,2,FALSE),"Non Conf", "Conf")</f>
        <v>Non Conf</v>
      </c>
      <c r="G179" s="246">
        <f t="array" aca="1" ref="G179" ca="1">IF('Point Data'!$D179&gt;Standings!$Q$27,"",(COUNTIFS($D$2:$D$225,$D179,$AM$2:$AM$225,"&gt;"&amp;$AM179)+1))</f>
        <v>13</v>
      </c>
      <c r="H179" s="172">
        <f ca="1">IF('Point Data'!$D179&gt;Standings!$Q$27,"",$G178)</f>
        <v>14</v>
      </c>
      <c r="I179" s="249">
        <f ca="1">IF('Point Data'!D179&gt;Standings!$Q$27,"",H179-G179)</f>
        <v>1</v>
      </c>
      <c r="J179" s="172">
        <f ca="1">IF('Point Data'!D179&gt;Standings!$Q$27,"",OFFSET('ESPN Data'!D$3,$A179,0,1,1))</f>
        <v>85.59</v>
      </c>
      <c r="K179" s="248">
        <f ca="1">IF('Point Data'!D179&gt;Standings!$Q$27,"",OFFSET('ESPN Data'!E$3,$A179,0,1,1))</f>
        <v>72.900000000000006</v>
      </c>
      <c r="L179" s="249">
        <f ca="1">IF('Point Data'!D179&gt;Standings!$Q$27,"",OFFSET('ESPN Data'!I$3,$A179,0,1,1))</f>
        <v>5</v>
      </c>
      <c r="M179" s="249">
        <f ca="1">IF('Point Data'!D179&gt;Standings!$Q$27,"",OFFSET('ESPN Data'!I$3,$A179,-2,1,1))</f>
        <v>1</v>
      </c>
      <c r="N179" s="249">
        <f ca="1">IF('Point Data'!D179&gt;Standings!$Q$27,"",SUMIFS($M$2:$M$225,$D$2:$D$225,D179,$C$2:$C$225,C179))</f>
        <v>13</v>
      </c>
      <c r="O179" s="249">
        <f ca="1">IF('Point Data'!D179&gt;Standings!$Q$27,"",SUMIFS($L$2:$L$225,$D$2:$D$225,$D179,$C$2:$C$225,$C179))</f>
        <v>227</v>
      </c>
      <c r="P179" s="249">
        <f ca="1">IF('Point Data'!D179&gt;Standings!$Q$27,"",SUMIFS($M$2:$M$225,$D$2:$D$225,D179))</f>
        <v>32</v>
      </c>
      <c r="Q179" s="249">
        <f ca="1">IF('Point Data'!D179&gt;Standings!$Q$27,"",SUMIFS($L$2:$L$225,$D$2:$D$225,D179))</f>
        <v>513</v>
      </c>
      <c r="R179" s="249">
        <f ca="1">IF($D179&gt;Standings!$Q$27,"",IF(U179="T",(Z179+0.5)/(D179)*100,(Z179/D179)*100))</f>
        <v>40</v>
      </c>
      <c r="S179" s="248">
        <f ca="1">IF($D179&gt;Standings!$Q$27,"",$J179-$K179)</f>
        <v>12.689999999999998</v>
      </c>
      <c r="T179" s="248">
        <f ca="1">IF($D179&gt;Standings!$Q$27,"",AVERAGE(OFFSET(S179,(-$D179+1),0,1,1):S179))</f>
        <v>-7.3369999999999989</v>
      </c>
      <c r="U179" s="172">
        <f ca="1">IF($D179&gt;Standings!$Q$27,"",IF(J179&gt;K179,1,IF(J179=K179,"T",0)))</f>
        <v>1</v>
      </c>
      <c r="V179" s="172">
        <f ca="1">IF($D179&gt;Standings!$Q$27,"",IF(F179="Conf",V178,SUMIFS($U$2:$U$225,$D$2:$D$225,"&lt;="&amp;$D179,$B$2:$B$225,$B179,$F$2:$F$225,"Non Conf")))</f>
        <v>3</v>
      </c>
      <c r="W179" s="172" t="str">
        <f ca="1">IF($D179&gt;Standings!$Q$27,"",$V179&amp;"-"&amp;COUNTIF(OFFSET($F179,(-$D179+1),0,1,1):$F179,"Non Conf")-$V179)</f>
        <v>3-2</v>
      </c>
      <c r="X179" s="172">
        <f ca="1">IF($D179&gt;Standings!$Q$27,"",SUMIFS($U$2:$U$225,$D$2:$D$225,"&lt;="&amp;$D179,$B$2:$B$225,$B179,$F$2:$F$225,"Conf"))</f>
        <v>1</v>
      </c>
      <c r="Y179" s="172" t="str">
        <f ca="1">IF($D179&gt;Standings!$Q$27,"",$X179&amp;"-"&amp;COUNTIF(OFFSET($F179,(-$D179+1),0,1,1):$F179,"Conf")-$X179)</f>
        <v>1-4</v>
      </c>
      <c r="Z179" s="172">
        <f ca="1">IF($D179&gt;Standings!$Q$27,"",SUM(OFFSET(U179,(-$D179+1),0,1,1):U179))</f>
        <v>4</v>
      </c>
      <c r="AA179" s="172">
        <f ca="1">IF($D179&gt;Standings!$Q$27,"",IF(U179=1,1+AA178,0))</f>
        <v>1</v>
      </c>
      <c r="AB179" s="250">
        <f ca="1">IF($D179&gt;Standings!$Q$27,"",IF(AA179=0,1+AB178,0))</f>
        <v>0</v>
      </c>
      <c r="AC179" s="253">
        <f ca="1">IF($D179&gt;Standings!$Q$27,"",SUM(OFFSET(J179,(-$D179+1),0,1,1):J179))</f>
        <v>906.38000000000011</v>
      </c>
      <c r="AD179" s="248">
        <f ca="1">IF($D179&gt;Standings!$Q$27,"",SUM(OFFSET(K179,(-$D179+1),0,1,1):K179))</f>
        <v>979.75000000000011</v>
      </c>
      <c r="AE179" s="248">
        <f ca="1">IF($D179&gt;Standings!$Q$27,"",$J179-$K179)</f>
        <v>12.689999999999998</v>
      </c>
      <c r="AF179" s="248">
        <f ca="1">IF($D179&gt;Standings!$Q$27,"",AC179-AD179)</f>
        <v>-73.37</v>
      </c>
      <c r="AG179" s="234">
        <f ca="1">IF($D179&gt;Standings!$Q$27,"",(COUNTIFS($D$2:$D$225,$D179,$C$2:$C$225,$C179,$AC$2:$AC$225,"&lt;"&amp;$AC179)+1)*0.01)</f>
        <v>0.01</v>
      </c>
      <c r="AH179" s="234">
        <f ca="1">IF($D179&gt;Standings!$Q$27,"",Z179+AG179)</f>
        <v>4.01</v>
      </c>
      <c r="AI179" s="234"/>
      <c r="AJ179" s="172">
        <f t="array" aca="1" ref="AJ179" ca="1">IF($D179&gt;Standings!$Q$27,"",(COUNTIFS($D$2:$D$225,$D179,$C$2:$C$225,$C179,$AM$2:$AM$225,"&gt;"&amp;$AM179)+1))</f>
        <v>6</v>
      </c>
      <c r="AK179" s="172">
        <f t="array" aca="1" ref="AK179" ca="1">IF($D179&gt;Standings!$Q$27,"",IF((COUNTIFS($D$2:$D$225,$D179,$C$2:$C$225,$C179,$AH$2:$AH$225,"&gt;"&amp;$AH179)+1)=2,1,0))</f>
        <v>0</v>
      </c>
      <c r="AL179" s="172">
        <f t="array" aca="1" ref="AL179" ca="1">IF($D179&gt;Standings!$Q$27,"",IF((COUNTIFS($D$2:$D$225,$D179,$C$2:$C$225,$C179,$AH$2:$AH$225,"&gt;"&amp;$AH179)+1)&lt;2,1,0))</f>
        <v>0</v>
      </c>
      <c r="AM179" s="172">
        <f ca="1">IF($D179&gt;Standings!$Q$27,"",IF(AL179=1,200+Z179+(16-AQ179)*0.01+AI179,IF(AK179=1,100+Z179+(16-AQ179)*0.01+AI179,IF(AN179=1,50+Z179+(16-AQ179)*0.01,IF(AO179=1,15+Z179+(16-AQ179)*0.01,Z179+(16-AQ179)*0.01+AI179)))))</f>
        <v>4.01</v>
      </c>
      <c r="AN179" s="172">
        <f ca="1">IF($D179&gt;Standings!$Q$27,"",IF(OR($AK179=1,$AL179=1),"Conf Playoff Spot",COUNTIFS($AL$2:$AL$225,0,$AK$2:$AK$225,0,$C$2:$C$225,$C179,$D$2:$D$225,$D179,$AC$2:$AC$225,"&gt;"&amp;$AC179)+1))</f>
        <v>6</v>
      </c>
      <c r="AO179" s="172">
        <f t="array" aca="1" ref="AO179" ca="1">IF($D179&gt;Standings!$Q$27,"",IF(OR($AK179=1,$AL179=1),"Conf Playoff Spot",COUNTIFS($AK$2:$AK$225,0,$AL$2:$AL$225,0,$D$2:$D$225,$D179,$AH$2:$AH$225,"&gt;"&amp;$AH179)+1))</f>
        <v>8</v>
      </c>
      <c r="AP179" s="172">
        <f t="array" aca="1" ref="AP179" ca="1">IF($D179&gt;Standings!$Q$27,"",(COUNTIFS($D$2:$D$225,$D179,$J$2:$J$225,"&gt;"&amp;$J179)+1))</f>
        <v>9</v>
      </c>
      <c r="AQ179" s="172">
        <f ca="1">IF($D179&gt;Standings!$Q$27,"",(COUNTIFS($D$2:$D$225,$D179,$AC$2:$AC$225,"&gt;"&amp;$AC179)+1))</f>
        <v>15</v>
      </c>
      <c r="AR179" s="172">
        <f ca="1">IF($D179&gt;Standings!$Q$27,"",(COUNTIFS($D$2:$D$225,$D179,$K$2:$K$225,"&gt;"&amp;$K179)+1))</f>
        <v>14</v>
      </c>
      <c r="AS179" s="172">
        <f ca="1">IF($D179&gt;Standings!$Q$27,"",(COUNTIFS($D$2:$D$225,$D179,$AD$2:$AD$225,"&gt;"&amp;$AD179)+1))</f>
        <v>12</v>
      </c>
      <c r="AT179" s="354">
        <f ca="1">IF($D179&gt;Standings!$Q$27,"",SUMIFS($J$2:$J$225,$D$2:$D$225,$D179,$C$2:$C$225,$C179))</f>
        <v>737.32999999999993</v>
      </c>
      <c r="AU179" s="253">
        <f ca="1">IF($D179&gt;Standings!$Q$27,"",SUMIFS($AC$2:$AC$225,$D$2:$D$225,$D179,$C$2:$C$225,$C179))</f>
        <v>8114.7500000000009</v>
      </c>
    </row>
    <row r="180" spans="1:47">
      <c r="A180" s="190">
        <f t="shared" si="2"/>
        <v>172</v>
      </c>
      <c r="B180" s="5" t="str">
        <f>'ESPN Data'!$L$16</f>
        <v>Team 13</v>
      </c>
      <c r="C180" s="350" t="str">
        <f>VLOOKUP(B180,'ESPN Data'!$L$4:$M$19,2,FALSE)</f>
        <v>Wardo</v>
      </c>
      <c r="D180" s="400">
        <v>11</v>
      </c>
      <c r="E180" s="267" t="str">
        <f t="array" ref="E180">INDEX('ESPN Data'!$C$3:$C$226,MATCH(1,('ESPN Data'!$A$3:$A$226='Point Data'!$D180)*('ESPN Data'!$B$3:$B$226='Point Data'!$B180),0))</f>
        <v>Team 12</v>
      </c>
      <c r="F180" s="250" t="str">
        <f>IF(C180&lt;&gt;VLOOKUP($E180,'ESPN Data'!$L$4:$M$19,2,FALSE),"Non Conf", "Conf")</f>
        <v>Conf</v>
      </c>
      <c r="G180" s="246">
        <f t="array" aca="1" ref="G180" ca="1">IF('Point Data'!$D180&gt;Standings!$Q$27,"",(COUNTIFS($D$2:$D$225,$D180,$AM$2:$AM$225,"&gt;"&amp;$AM180)+1))</f>
        <v>12</v>
      </c>
      <c r="H180" s="172">
        <f ca="1">IF('Point Data'!$D180&gt;Standings!$Q$27,"",$G179)</f>
        <v>13</v>
      </c>
      <c r="I180" s="249">
        <f ca="1">IF('Point Data'!D180&gt;Standings!$Q$27,"",H180-G180)</f>
        <v>1</v>
      </c>
      <c r="J180" s="172">
        <f ca="1">IF('Point Data'!D180&gt;Standings!$Q$27,"",OFFSET('ESPN Data'!D$3,$A180,0,1,1))</f>
        <v>85.8</v>
      </c>
      <c r="K180" s="248">
        <f ca="1">IF('Point Data'!D180&gt;Standings!$Q$27,"",OFFSET('ESPN Data'!E$3,$A180,0,1,1))</f>
        <v>69.319999999999993</v>
      </c>
      <c r="L180" s="249">
        <f ca="1">IF('Point Data'!D180&gt;Standings!$Q$27,"",OFFSET('ESPN Data'!I$3,$A180,0,1,1))</f>
        <v>0</v>
      </c>
      <c r="M180" s="249">
        <f ca="1">IF('Point Data'!D180&gt;Standings!$Q$27,"",OFFSET('ESPN Data'!I$3,$A180,-2,1,1))</f>
        <v>5</v>
      </c>
      <c r="N180" s="249">
        <f ca="1">IF('Point Data'!D180&gt;Standings!$Q$27,"",SUMIFS($M$2:$M$225,$D$2:$D$225,D180,$C$2:$C$225,C180))</f>
        <v>10</v>
      </c>
      <c r="O180" s="249">
        <f ca="1">IF('Point Data'!D180&gt;Standings!$Q$27,"",SUMIFS($L$2:$L$225,$D$2:$D$225,$D180,$C$2:$C$225,$C180))</f>
        <v>217</v>
      </c>
      <c r="P180" s="249">
        <f ca="1">IF('Point Data'!D180&gt;Standings!$Q$27,"",SUMIFS($M$2:$M$225,$D$2:$D$225,D180))</f>
        <v>61</v>
      </c>
      <c r="Q180" s="249">
        <f ca="1">IF('Point Data'!D180&gt;Standings!$Q$27,"",SUMIFS($L$2:$L$225,$D$2:$D$225,D180))</f>
        <v>452</v>
      </c>
      <c r="R180" s="249">
        <f ca="1">IF($D180&gt;Standings!$Q$27,"",IF(U180="T",(Z180+0.5)/(D180)*100,(Z180/D180)*100))</f>
        <v>45.454545454545453</v>
      </c>
      <c r="S180" s="248">
        <f ca="1">IF($D180&gt;Standings!$Q$27,"",$J180-$K180)</f>
        <v>16.480000000000004</v>
      </c>
      <c r="T180" s="248">
        <f ca="1">IF($D180&gt;Standings!$Q$27,"",AVERAGE(OFFSET(S180,(-$D180+1),0,1,1):S180))</f>
        <v>-5.171818181818181</v>
      </c>
      <c r="U180" s="172">
        <f ca="1">IF($D180&gt;Standings!$Q$27,"",IF(J180&gt;K180,1,IF(J180=K180,"T",0)))</f>
        <v>1</v>
      </c>
      <c r="V180" s="172">
        <f ca="1">IF($D180&gt;Standings!$Q$27,"",IF(F180="Conf",V179,SUMIFS($U$2:$U$225,$D$2:$D$225,"&lt;="&amp;$D180,$B$2:$B$225,$B180,$F$2:$F$225,"Non Conf")))</f>
        <v>3</v>
      </c>
      <c r="W180" s="172" t="str">
        <f ca="1">IF($D180&gt;Standings!$Q$27,"",$V180&amp;"-"&amp;COUNTIF(OFFSET($F180,(-$D180+1),0,1,1):$F180,"Non Conf")-$V180)</f>
        <v>3-2</v>
      </c>
      <c r="X180" s="172">
        <f ca="1">IF($D180&gt;Standings!$Q$27,"",SUMIFS($U$2:$U$225,$D$2:$D$225,"&lt;="&amp;$D180,$B$2:$B$225,$B180,$F$2:$F$225,"Conf"))</f>
        <v>2</v>
      </c>
      <c r="Y180" s="172" t="str">
        <f ca="1">IF($D180&gt;Standings!$Q$27,"",$X180&amp;"-"&amp;COUNTIF(OFFSET($F180,(-$D180+1),0,1,1):$F180,"Conf")-$X180)</f>
        <v>2-4</v>
      </c>
      <c r="Z180" s="172">
        <f ca="1">IF($D180&gt;Standings!$Q$27,"",SUM(OFFSET(U180,(-$D180+1),0,1,1):U180))</f>
        <v>5</v>
      </c>
      <c r="AA180" s="172">
        <f ca="1">IF($D180&gt;Standings!$Q$27,"",IF(U180=1,1+AA179,0))</f>
        <v>2</v>
      </c>
      <c r="AB180" s="250">
        <f ca="1">IF($D180&gt;Standings!$Q$27,"",IF(AA180=0,1+AB179,0))</f>
        <v>0</v>
      </c>
      <c r="AC180" s="253">
        <f ca="1">IF($D180&gt;Standings!$Q$27,"",SUM(OFFSET(J180,(-$D180+1),0,1,1):J180))</f>
        <v>992.18000000000006</v>
      </c>
      <c r="AD180" s="248">
        <f ca="1">IF($D180&gt;Standings!$Q$27,"",SUM(OFFSET(K180,(-$D180+1),0,1,1):K180))</f>
        <v>1049.0700000000002</v>
      </c>
      <c r="AE180" s="248">
        <f ca="1">IF($D180&gt;Standings!$Q$27,"",$J180-$K180)</f>
        <v>16.480000000000004</v>
      </c>
      <c r="AF180" s="248">
        <f ca="1">IF($D180&gt;Standings!$Q$27,"",AC180-AD180)</f>
        <v>-56.8900000000001</v>
      </c>
      <c r="AG180" s="234">
        <f ca="1">IF($D180&gt;Standings!$Q$27,"",(COUNTIFS($D$2:$D$225,$D180,$C$2:$C$225,$C180,$AC$2:$AC$225,"&lt;"&amp;$AC180)+1)*0.01)</f>
        <v>0.01</v>
      </c>
      <c r="AH180" s="234">
        <f ca="1">IF($D180&gt;Standings!$Q$27,"",Z180+AG180)</f>
        <v>5.01</v>
      </c>
      <c r="AI180" s="234"/>
      <c r="AJ180" s="172">
        <f t="array" aca="1" ref="AJ180" ca="1">IF($D180&gt;Standings!$Q$27,"",(COUNTIFS($D$2:$D$225,$D180,$C$2:$C$225,$C180,$AM$2:$AM$225,"&gt;"&amp;$AM180)+1))</f>
        <v>6</v>
      </c>
      <c r="AK180" s="172">
        <f t="array" aca="1" ref="AK180" ca="1">IF($D180&gt;Standings!$Q$27,"",IF((COUNTIFS($D$2:$D$225,$D180,$C$2:$C$225,$C180,$AH$2:$AH$225,"&gt;"&amp;$AH180)+1)=2,1,0))</f>
        <v>0</v>
      </c>
      <c r="AL180" s="172">
        <f t="array" aca="1" ref="AL180" ca="1">IF($D180&gt;Standings!$Q$27,"",IF((COUNTIFS($D$2:$D$225,$D180,$C$2:$C$225,$C180,$AH$2:$AH$225,"&gt;"&amp;$AH180)+1)&lt;2,1,0))</f>
        <v>0</v>
      </c>
      <c r="AM180" s="172">
        <f ca="1">IF($D180&gt;Standings!$Q$27,"",IF(AL180=1,200+Z180+(16-AQ180)*0.01+AI180,IF(AK180=1,100+Z180+(16-AQ180)*0.01+AI180,IF(AN180=1,50+Z180+(16-AQ180)*0.01,IF(AO180=1,15+Z180+(16-AQ180)*0.01,Z180+(16-AQ180)*0.01+AI180)))))</f>
        <v>5.01</v>
      </c>
      <c r="AN180" s="172">
        <f ca="1">IF($D180&gt;Standings!$Q$27,"",IF(OR($AK180=1,$AL180=1),"Conf Playoff Spot",COUNTIFS($AL$2:$AL$225,0,$AK$2:$AK$225,0,$C$2:$C$225,$C180,$D$2:$D$225,$D180,$AC$2:$AC$225,"&gt;"&amp;$AC180)+1))</f>
        <v>6</v>
      </c>
      <c r="AO180" s="172">
        <f t="array" aca="1" ref="AO180" ca="1">IF($D180&gt;Standings!$Q$27,"",IF(OR($AK180=1,$AL180=1),"Conf Playoff Spot",COUNTIFS($AK$2:$AK$225,0,$AL$2:$AL$225,0,$D$2:$D$225,$D180,$AH$2:$AH$225,"&gt;"&amp;$AH180)+1))</f>
        <v>7</v>
      </c>
      <c r="AP180" s="172">
        <f t="array" aca="1" ref="AP180" ca="1">IF($D180&gt;Standings!$Q$27,"",(COUNTIFS($D$2:$D$225,$D180,$J$2:$J$225,"&gt;"&amp;$J180)+1))</f>
        <v>13</v>
      </c>
      <c r="AQ180" s="172">
        <f ca="1">IF($D180&gt;Standings!$Q$27,"",(COUNTIFS($D$2:$D$225,$D180,$AC$2:$AC$225,"&gt;"&amp;$AC180)+1))</f>
        <v>15</v>
      </c>
      <c r="AR180" s="172">
        <f ca="1">IF($D180&gt;Standings!$Q$27,"",(COUNTIFS($D$2:$D$225,$D180,$K$2:$K$225,"&gt;"&amp;$K180)+1))</f>
        <v>16</v>
      </c>
      <c r="AS180" s="172">
        <f ca="1">IF($D180&gt;Standings!$Q$27,"",(COUNTIFS($D$2:$D$225,$D180,$AD$2:$AD$225,"&gt;"&amp;$AD180)+1))</f>
        <v>13</v>
      </c>
      <c r="AT180" s="354">
        <f ca="1">IF($D180&gt;Standings!$Q$27,"",SUMIFS($J$2:$J$225,$D$2:$D$225,$D180,$C$2:$C$225,$C180))</f>
        <v>790.16000000000008</v>
      </c>
      <c r="AU180" s="253">
        <f ca="1">IF($D180&gt;Standings!$Q$27,"",SUMIFS($AC$2:$AC$225,$D$2:$D$225,$D180,$C$2:$C$225,$C180))</f>
        <v>8904.91</v>
      </c>
    </row>
    <row r="181" spans="1:47">
      <c r="A181" s="190">
        <f t="shared" si="2"/>
        <v>188</v>
      </c>
      <c r="B181" s="5" t="str">
        <f>'ESPN Data'!$L$16</f>
        <v>Team 13</v>
      </c>
      <c r="C181" s="350" t="str">
        <f>VLOOKUP(B181,'ESPN Data'!$L$4:$M$19,2,FALSE)</f>
        <v>Wardo</v>
      </c>
      <c r="D181" s="400">
        <v>12</v>
      </c>
      <c r="E181" s="267" t="str">
        <f t="array" ref="E181">INDEX('ESPN Data'!$C$3:$C$226,MATCH(1,('ESPN Data'!$A$3:$A$226='Point Data'!$D181)*('ESPN Data'!$B$3:$B$226='Point Data'!$B181),0))</f>
        <v>Team 5</v>
      </c>
      <c r="F181" s="250" t="str">
        <f>IF(C181&lt;&gt;VLOOKUP($E181,'ESPN Data'!$L$4:$M$19,2,FALSE),"Non Conf", "Conf")</f>
        <v>Non Conf</v>
      </c>
      <c r="G181" s="246">
        <f t="array" aca="1" ref="G181" ca="1">IF('Point Data'!$D181&gt;Standings!$Q$27,"",(COUNTIFS($D$2:$D$225,$D181,$AM$2:$AM$225,"&gt;"&amp;$AM181)+1))</f>
        <v>11</v>
      </c>
      <c r="H181" s="172">
        <f ca="1">IF('Point Data'!$D181&gt;Standings!$Q$27,"",$G180)</f>
        <v>12</v>
      </c>
      <c r="I181" s="249">
        <f ca="1">IF('Point Data'!D181&gt;Standings!$Q$27,"",H181-G181)</f>
        <v>1</v>
      </c>
      <c r="J181" s="172">
        <f ca="1">IF('Point Data'!D181&gt;Standings!$Q$27,"",OFFSET('ESPN Data'!D$3,$A181,0,1,1))</f>
        <v>72.25</v>
      </c>
      <c r="K181" s="248">
        <f ca="1">IF('Point Data'!D181&gt;Standings!$Q$27,"",OFFSET('ESPN Data'!E$3,$A181,0,1,1))</f>
        <v>88.25</v>
      </c>
      <c r="L181" s="249">
        <f ca="1">IF('Point Data'!D181&gt;Standings!$Q$27,"",OFFSET('ESPN Data'!I$3,$A181,0,1,1))</f>
        <v>0</v>
      </c>
      <c r="M181" s="249">
        <f ca="1">IF('Point Data'!D181&gt;Standings!$Q$27,"",OFFSET('ESPN Data'!I$3,$A181,-2,1,1))</f>
        <v>0</v>
      </c>
      <c r="N181" s="249">
        <f ca="1">IF('Point Data'!D181&gt;Standings!$Q$27,"",SUMIFS($M$2:$M$225,$D$2:$D$225,D181,$C$2:$C$225,C181))</f>
        <v>35</v>
      </c>
      <c r="O181" s="249">
        <f ca="1">IF('Point Data'!D181&gt;Standings!$Q$27,"",SUMIFS($L$2:$L$225,$D$2:$D$225,$D181,$C$2:$C$225,$C181))</f>
        <v>182</v>
      </c>
      <c r="P181" s="249">
        <f ca="1">IF('Point Data'!D181&gt;Standings!$Q$27,"",SUMIFS($M$2:$M$225,$D$2:$D$225,D181))</f>
        <v>41</v>
      </c>
      <c r="Q181" s="249">
        <f ca="1">IF('Point Data'!D181&gt;Standings!$Q$27,"",SUMIFS($L$2:$L$225,$D$2:$D$225,D181))</f>
        <v>411</v>
      </c>
      <c r="R181" s="249">
        <f ca="1">IF($D181&gt;Standings!$Q$27,"",IF(U181="T",(Z181+0.5)/(D181)*100,(Z181/D181)*100))</f>
        <v>41.666666666666671</v>
      </c>
      <c r="S181" s="248">
        <f ca="1">IF($D181&gt;Standings!$Q$27,"",$J181-$K181)</f>
        <v>-16</v>
      </c>
      <c r="T181" s="248">
        <f ca="1">IF($D181&gt;Standings!$Q$27,"",AVERAGE(OFFSET(S181,(-$D181+1),0,1,1):S181))</f>
        <v>-6.0741666666666658</v>
      </c>
      <c r="U181" s="172">
        <f ca="1">IF($D181&gt;Standings!$Q$27,"",IF(J181&gt;K181,1,IF(J181=K181,"T",0)))</f>
        <v>0</v>
      </c>
      <c r="V181" s="172">
        <f ca="1">IF($D181&gt;Standings!$Q$27,"",IF(F181="Conf",V180,SUMIFS($U$2:$U$225,$D$2:$D$225,"&lt;="&amp;$D181,$B$2:$B$225,$B181,$F$2:$F$225,"Non Conf")))</f>
        <v>3</v>
      </c>
      <c r="W181" s="172" t="str">
        <f ca="1">IF($D181&gt;Standings!$Q$27,"",$V181&amp;"-"&amp;COUNTIF(OFFSET($F181,(-$D181+1),0,1,1):$F181,"Non Conf")-$V181)</f>
        <v>3-3</v>
      </c>
      <c r="X181" s="172">
        <f ca="1">IF($D181&gt;Standings!$Q$27,"",SUMIFS($U$2:$U$225,$D$2:$D$225,"&lt;="&amp;$D181,$B$2:$B$225,$B181,$F$2:$F$225,"Conf"))</f>
        <v>2</v>
      </c>
      <c r="Y181" s="172" t="str">
        <f ca="1">IF($D181&gt;Standings!$Q$27,"",$X181&amp;"-"&amp;COUNTIF(OFFSET($F181,(-$D181+1),0,1,1):$F181,"Conf")-$X181)</f>
        <v>2-4</v>
      </c>
      <c r="Z181" s="172">
        <f ca="1">IF($D181&gt;Standings!$Q$27,"",SUM(OFFSET(U181,(-$D181+1),0,1,1):U181))</f>
        <v>5</v>
      </c>
      <c r="AA181" s="172">
        <f ca="1">IF($D181&gt;Standings!$Q$27,"",IF(U181=1,1+AA180,0))</f>
        <v>0</v>
      </c>
      <c r="AB181" s="250">
        <f ca="1">IF($D181&gt;Standings!$Q$27,"",IF(AA181=0,1+AB180,0))</f>
        <v>1</v>
      </c>
      <c r="AC181" s="253">
        <f ca="1">IF($D181&gt;Standings!$Q$27,"",SUM(OFFSET(J181,(-$D181+1),0,1,1):J181))</f>
        <v>1064.43</v>
      </c>
      <c r="AD181" s="248">
        <f ca="1">IF($D181&gt;Standings!$Q$27,"",SUM(OFFSET(K181,(-$D181+1),0,1,1):K181))</f>
        <v>1137.3200000000002</v>
      </c>
      <c r="AE181" s="248">
        <f ca="1">IF($D181&gt;Standings!$Q$27,"",$J181-$K181)</f>
        <v>-16</v>
      </c>
      <c r="AF181" s="248">
        <f ca="1">IF($D181&gt;Standings!$Q$27,"",AC181-AD181)</f>
        <v>-72.8900000000001</v>
      </c>
      <c r="AG181" s="234">
        <f ca="1">IF($D181&gt;Standings!$Q$27,"",(COUNTIFS($D$2:$D$225,$D181,$C$2:$C$225,$C181,$AC$2:$AC$225,"&lt;"&amp;$AC181)+1)*0.01)</f>
        <v>0.01</v>
      </c>
      <c r="AH181" s="234">
        <f ca="1">IF($D181&gt;Standings!$Q$27,"",Z181+AG181)</f>
        <v>5.01</v>
      </c>
      <c r="AI181" s="234"/>
      <c r="AJ181" s="172">
        <f t="array" aca="1" ref="AJ181" ca="1">IF($D181&gt;Standings!$Q$27,"",(COUNTIFS($D$2:$D$225,$D181,$C$2:$C$225,$C181,$AM$2:$AM$225,"&gt;"&amp;$AM181)+1))</f>
        <v>5</v>
      </c>
      <c r="AK181" s="172">
        <f t="array" aca="1" ref="AK181" ca="1">IF($D181&gt;Standings!$Q$27,"",IF((COUNTIFS($D$2:$D$225,$D181,$C$2:$C$225,$C181,$AH$2:$AH$225,"&gt;"&amp;$AH181)+1)=2,1,0))</f>
        <v>0</v>
      </c>
      <c r="AL181" s="172">
        <f t="array" aca="1" ref="AL181" ca="1">IF($D181&gt;Standings!$Q$27,"",IF((COUNTIFS($D$2:$D$225,$D181,$C$2:$C$225,$C181,$AH$2:$AH$225,"&gt;"&amp;$AH181)+1)&lt;2,1,0))</f>
        <v>0</v>
      </c>
      <c r="AM181" s="172">
        <f ca="1">IF($D181&gt;Standings!$Q$27,"",IF(AL181=1,200+Z181+(16-AQ181)*0.01+AI181,IF(AK181=1,100+Z181+(16-AQ181)*0.01+AI181,IF(AN181=1,50+Z181+(16-AQ181)*0.01,IF(AO181=1,15+Z181+(16-AQ181)*0.01,Z181+(16-AQ181)*0.01+AI181)))))</f>
        <v>5</v>
      </c>
      <c r="AN181" s="172">
        <f ca="1">IF($D181&gt;Standings!$Q$27,"",IF(OR($AK181=1,$AL181=1),"Conf Playoff Spot",COUNTIFS($AL$2:$AL$225,0,$AK$2:$AK$225,0,$C$2:$C$225,$C181,$D$2:$D$225,$D181,$AC$2:$AC$225,"&gt;"&amp;$AC181)+1))</f>
        <v>6</v>
      </c>
      <c r="AO181" s="172">
        <f t="array" aca="1" ref="AO181" ca="1">IF($D181&gt;Standings!$Q$27,"",IF(OR($AK181=1,$AL181=1),"Conf Playoff Spot",COUNTIFS($AK$2:$AK$225,0,$AL$2:$AL$225,0,$D$2:$D$225,$D181,$AH$2:$AH$225,"&gt;"&amp;$AH181)+1))</f>
        <v>7</v>
      </c>
      <c r="AP181" s="172">
        <f t="array" aca="1" ref="AP181" ca="1">IF($D181&gt;Standings!$Q$27,"",(COUNTIFS($D$2:$D$225,$D181,$J$2:$J$225,"&gt;"&amp;$J181)+1))</f>
        <v>14</v>
      </c>
      <c r="AQ181" s="172">
        <f ca="1">IF($D181&gt;Standings!$Q$27,"",(COUNTIFS($D$2:$D$225,$D181,$AC$2:$AC$225,"&gt;"&amp;$AC181)+1))</f>
        <v>16</v>
      </c>
      <c r="AR181" s="172">
        <f ca="1">IF($D181&gt;Standings!$Q$27,"",(COUNTIFS($D$2:$D$225,$D181,$K$2:$K$225,"&gt;"&amp;$K181)+1))</f>
        <v>11</v>
      </c>
      <c r="AS181" s="172">
        <f ca="1">IF($D181&gt;Standings!$Q$27,"",(COUNTIFS($D$2:$D$225,$D181,$AD$2:$AD$225,"&gt;"&amp;$AD181)+1))</f>
        <v>13</v>
      </c>
      <c r="AT181" s="354">
        <f ca="1">IF($D181&gt;Standings!$Q$27,"",SUMIFS($J$2:$J$225,$D$2:$D$225,$D181,$C$2:$C$225,$C181))</f>
        <v>746.43999999999994</v>
      </c>
      <c r="AU181" s="253">
        <f ca="1">IF($D181&gt;Standings!$Q$27,"",SUMIFS($AC$2:$AC$225,$D$2:$D$225,$D181,$C$2:$C$225,$C181))</f>
        <v>9651.35</v>
      </c>
    </row>
    <row r="182" spans="1:47" s="190" customFormat="1">
      <c r="A182" s="190">
        <f t="shared" si="2"/>
        <v>204</v>
      </c>
      <c r="B182" s="56" t="str">
        <f>'ESPN Data'!$L$16</f>
        <v>Team 13</v>
      </c>
      <c r="C182" s="352" t="str">
        <f>VLOOKUP(B182,'ESPN Data'!$L$4:$M$19,2,FALSE)</f>
        <v>Wardo</v>
      </c>
      <c r="D182" s="553">
        <v>13</v>
      </c>
      <c r="E182" s="275" t="str">
        <f t="array" ref="E182">INDEX('ESPN Data'!$C$3:$C$226,MATCH(1,('ESPN Data'!$A$3:$A$226='Point Data'!$D182)*('ESPN Data'!$B$3:$B$226='Point Data'!$B182),0))</f>
        <v>Team 1</v>
      </c>
      <c r="F182" s="274" t="str">
        <f>IF(C182&lt;&gt;VLOOKUP($E182,'ESPN Data'!$L$4:$M$19,2,FALSE),"Non Conf", "Conf")</f>
        <v>Non Conf</v>
      </c>
      <c r="G182" s="271">
        <f t="array" aca="1" ref="G182" ca="1">IF('Point Data'!$D182&gt;Standings!$Q$27,"",(COUNTIFS($D$2:$D$225,$D182,$AM$2:$AM$225,"&gt;"&amp;$AM182)+1))</f>
        <v>13</v>
      </c>
      <c r="H182" s="264">
        <f ca="1">IF('Point Data'!$D182&gt;Standings!$Q$27,"",$G181)</f>
        <v>11</v>
      </c>
      <c r="I182" s="265">
        <f ca="1">IF('Point Data'!D182&gt;Standings!$Q$27,"",H182-G182)</f>
        <v>-2</v>
      </c>
      <c r="J182" s="264">
        <f ca="1">IF('Point Data'!D182&gt;Standings!$Q$27,"",OFFSET('ESPN Data'!D$3,$A182,0,1,1))</f>
        <v>72.98</v>
      </c>
      <c r="K182" s="272">
        <f ca="1">IF('Point Data'!D182&gt;Standings!$Q$27,"",OFFSET('ESPN Data'!E$3,$A182,0,1,1))</f>
        <v>95.1</v>
      </c>
      <c r="L182" s="265">
        <f ca="1">IF('Point Data'!D182&gt;Standings!$Q$27,"",OFFSET('ESPN Data'!I$3,$A182,0,1,1))</f>
        <v>0</v>
      </c>
      <c r="M182" s="265">
        <f ca="1">IF('Point Data'!D182&gt;Standings!$Q$27,"",OFFSET('ESPN Data'!I$3,$A182,-2,1,1))</f>
        <v>0</v>
      </c>
      <c r="N182" s="265">
        <f ca="1">IF('Point Data'!D182&gt;Standings!$Q$27,"",SUMIFS($M$2:$M$225,$D$2:$D$225,D182,$C$2:$C$225,C182))</f>
        <v>36</v>
      </c>
      <c r="O182" s="265">
        <f ca="1">IF('Point Data'!D182&gt;Standings!$Q$27,"",SUMIFS($L$2:$L$225,$D$2:$D$225,$D182,$C$2:$C$225,$C182))</f>
        <v>146</v>
      </c>
      <c r="P182" s="265">
        <f ca="1">IF('Point Data'!D182&gt;Standings!$Q$27,"",SUMIFS($M$2:$M$225,$D$2:$D$225,D182))</f>
        <v>41</v>
      </c>
      <c r="Q182" s="265">
        <f ca="1">IF('Point Data'!D182&gt;Standings!$Q$27,"",SUMIFS($L$2:$L$225,$D$2:$D$225,D182))</f>
        <v>370</v>
      </c>
      <c r="R182" s="265">
        <f ca="1">IF($D182&gt;Standings!$Q$27,"",IF(U182="T",(Z182+0.5)/(D182)*100,(Z182/D182)*100))</f>
        <v>38.461538461538467</v>
      </c>
      <c r="S182" s="272">
        <f ca="1">IF($D182&gt;Standings!$Q$27,"",$J182-$K182)</f>
        <v>-22.11999999999999</v>
      </c>
      <c r="T182" s="272">
        <f ca="1">IF($D182&gt;Standings!$Q$27,"",AVERAGE(OFFSET(S182,(-$D182+1),0,1,1):S182))</f>
        <v>-7.308461538461537</v>
      </c>
      <c r="U182" s="264">
        <f ca="1">IF($D182&gt;Standings!$Q$27,"",IF(J182&gt;K182,1,IF(J182=K182,"T",0)))</f>
        <v>0</v>
      </c>
      <c r="V182" s="264">
        <f ca="1">IF($D182&gt;Standings!$Q$27,"",IF(F182="Conf",V181,SUMIFS($U$2:$U$225,$D$2:$D$225,"&lt;="&amp;$D182,$B$2:$B$225,$B182,$F$2:$F$225,"Non Conf")))</f>
        <v>3</v>
      </c>
      <c r="W182" s="264" t="str">
        <f ca="1">IF($D182&gt;Standings!$Q$27,"",$V182&amp;"-"&amp;COUNTIF(OFFSET($F182,(-$D182+1),0,1,1):$F182,"Non Conf")-$V182)</f>
        <v>3-4</v>
      </c>
      <c r="X182" s="264">
        <f ca="1">IF($D182&gt;Standings!$Q$27,"",SUMIFS($U$2:$U$225,$D$2:$D$225,"&lt;="&amp;$D182,$B$2:$B$225,$B182,$F$2:$F$225,"Conf"))</f>
        <v>2</v>
      </c>
      <c r="Y182" s="264" t="str">
        <f ca="1">IF($D182&gt;Standings!$Q$27,"",$X182&amp;"-"&amp;COUNTIF(OFFSET($F182,(-$D182+1),0,1,1):$F182,"Conf")-$X182)</f>
        <v>2-4</v>
      </c>
      <c r="Z182" s="264">
        <f ca="1">IF($D182&gt;Standings!$Q$27,"",SUM(OFFSET(U182,(-$D182+1),0,1,1):U182))</f>
        <v>5</v>
      </c>
      <c r="AA182" s="264">
        <f ca="1">IF($D182&gt;Standings!$Q$27,"",IF(U182=1,1+AA181,0))</f>
        <v>0</v>
      </c>
      <c r="AB182" s="274">
        <f ca="1">IF($D182&gt;Standings!$Q$27,"",IF(AA182=0,1+AB181,0))</f>
        <v>2</v>
      </c>
      <c r="AC182" s="340">
        <f ca="1">IF($D182&gt;Standings!$Q$27,"",SUM(OFFSET(J182,(-$D182+1),0,1,1):J182))</f>
        <v>1137.4100000000001</v>
      </c>
      <c r="AD182" s="272">
        <f ca="1">IF($D182&gt;Standings!$Q$27,"",SUM(OFFSET(K182,(-$D182+1),0,1,1):K182))</f>
        <v>1232.42</v>
      </c>
      <c r="AE182" s="272">
        <f ca="1">IF($D182&gt;Standings!$Q$27,"",$J182-$K182)</f>
        <v>-22.11999999999999</v>
      </c>
      <c r="AF182" s="272">
        <f ca="1">IF($D182&gt;Standings!$Q$27,"",AC182-AD182)</f>
        <v>-95.009999999999991</v>
      </c>
      <c r="AG182" s="554">
        <f ca="1">IF($D182&gt;Standings!$Q$27,"",(COUNTIFS($D$2:$D$225,$D182,$C$2:$C$225,$C182,$AC$2:$AC$225,"&lt;"&amp;$AC182)+1)*0.01)</f>
        <v>0.01</v>
      </c>
      <c r="AH182" s="554">
        <f ca="1">IF($D182&gt;Standings!$Q$27,"",Z182+AG182)</f>
        <v>5.01</v>
      </c>
      <c r="AI182" s="554"/>
      <c r="AJ182" s="264">
        <f t="array" aca="1" ref="AJ182" ca="1">IF($D182&gt;Standings!$Q$27,"",(COUNTIFS($D$2:$D$225,$D182,$C$2:$C$225,$C182,$AM$2:$AM$225,"&gt;"&amp;$AM182)+1))</f>
        <v>6</v>
      </c>
      <c r="AK182" s="264">
        <f t="array" aca="1" ref="AK182" ca="1">IF($D182&gt;Standings!$Q$27,"",IF((COUNTIFS($D$2:$D$225,$D182,$C$2:$C$225,$C182,$AH$2:$AH$225,"&gt;"&amp;$AH182)+1)=2,1,0))</f>
        <v>0</v>
      </c>
      <c r="AL182" s="264">
        <f t="array" aca="1" ref="AL182" ca="1">IF($D182&gt;Standings!$Q$27,"",IF((COUNTIFS($D$2:$D$225,$D182,$C$2:$C$225,$C182,$AH$2:$AH$225,"&gt;"&amp;$AH182)+1)&lt;2,1,0))</f>
        <v>0</v>
      </c>
      <c r="AM182" s="264">
        <f ca="1">IF($D182&gt;Standings!$Q$27,"",IF(AL182=1,200+Z182+(16-AQ182)*0.01+AI182,IF(AK182=1,100+Z182+(16-AQ182)*0.01+AI182,IF(AN182=1,50+Z182+(16-AQ182)*0.01,IF(AO182=1,15+Z182+(16-AQ182)*0.01,Z182+(16-AQ182)*0.01+AI182)))))</f>
        <v>5</v>
      </c>
      <c r="AN182" s="264">
        <f ca="1">IF($D182&gt;Standings!$Q$27,"",IF(OR($AK182=1,$AL182=1),"Conf Playoff Spot",COUNTIFS($AL$2:$AL$225,0,$AK$2:$AK$225,0,$C$2:$C$225,$C182,$D$2:$D$225,$D182,$AC$2:$AC$225,"&gt;"&amp;$AC182)+1))</f>
        <v>6</v>
      </c>
      <c r="AO182" s="264">
        <f t="array" aca="1" ref="AO182" ca="1">IF($D182&gt;Standings!$Q$27,"",IF(OR($AK182=1,$AL182=1),"Conf Playoff Spot",COUNTIFS($AK$2:$AK$225,0,$AL$2:$AL$225,0,$D$2:$D$225,$D182,$AH$2:$AH$225,"&gt;"&amp;$AH182)+1))</f>
        <v>9</v>
      </c>
      <c r="AP182" s="264">
        <f t="array" aca="1" ref="AP182" ca="1">IF($D182&gt;Standings!$Q$27,"",(COUNTIFS($D$2:$D$225,$D182,$J$2:$J$225,"&gt;"&amp;$J182)+1))</f>
        <v>16</v>
      </c>
      <c r="AQ182" s="264">
        <f ca="1">IF($D182&gt;Standings!$Q$27,"",(COUNTIFS($D$2:$D$225,$D182,$AC$2:$AC$225,"&gt;"&amp;$AC182)+1))</f>
        <v>16</v>
      </c>
      <c r="AR182" s="264">
        <f ca="1">IF($D182&gt;Standings!$Q$27,"",(COUNTIFS($D$2:$D$225,$D182,$K$2:$K$225,"&gt;"&amp;$K182)+1))</f>
        <v>9</v>
      </c>
      <c r="AS182" s="264">
        <f ca="1">IF($D182&gt;Standings!$Q$27,"",(COUNTIFS($D$2:$D$225,$D182,$AD$2:$AD$225,"&gt;"&amp;$AD182)+1))</f>
        <v>13</v>
      </c>
      <c r="AT182" s="356">
        <f ca="1">IF($D182&gt;Standings!$Q$27,"",SUMIFS($J$2:$J$225,$D$2:$D$225,$D182,$C$2:$C$225,$C182))</f>
        <v>885.58</v>
      </c>
      <c r="AU182" s="340">
        <f ca="1">IF($D182&gt;Standings!$Q$27,"",SUMIFS($AC$2:$AC$225,$D$2:$D$225,$D182,$C$2:$C$225,$C182))</f>
        <v>10536.93</v>
      </c>
    </row>
    <row r="183" spans="1:47" ht="16" thickBot="1">
      <c r="A183" s="190">
        <f t="shared" si="2"/>
        <v>220</v>
      </c>
      <c r="B183" s="10" t="str">
        <f>'ESPN Data'!$L$16</f>
        <v>Team 13</v>
      </c>
      <c r="C183" s="351" t="str">
        <f>VLOOKUP(B183,'ESPN Data'!$L$4:$M$19,2,FALSE)</f>
        <v>Wardo</v>
      </c>
      <c r="D183" s="401">
        <v>14</v>
      </c>
      <c r="E183" s="268" t="str">
        <f t="array" ref="E183">INDEX('ESPN Data'!$C$3:$C$226,MATCH(1,('ESPN Data'!$A$3:$A$226='Point Data'!$D183)*('ESPN Data'!$B$3:$B$226='Point Data'!$B183),0))</f>
        <v>Team 1</v>
      </c>
      <c r="F183" s="258" t="str">
        <f>IF(C183&lt;&gt;VLOOKUP($E183,'ESPN Data'!$L$4:$M$19,2,FALSE),"Non Conf", "Conf")</f>
        <v>Non Conf</v>
      </c>
      <c r="G183" s="262" t="str">
        <f t="array" ref="G183">IF('Point Data'!$D183&gt;Standings!$Q$27,"",(COUNTIFS($D$2:$D$225,$D183,$AM$2:$AM$225,"&gt;"&amp;$AM183)+1))</f>
        <v/>
      </c>
      <c r="H183" s="257" t="str">
        <f>IF('Point Data'!$D183&gt;Standings!$Q$27,"",$G181)</f>
        <v/>
      </c>
      <c r="I183" s="256" t="str">
        <f>IF('Point Data'!D183&gt;Standings!$Q$27,"",H183-G183)</f>
        <v/>
      </c>
      <c r="J183" s="257" t="str">
        <f ca="1">IF('Point Data'!D183&gt;Standings!$Q$27,"",OFFSET('ESPN Data'!D$3,$A183,0,1,1))</f>
        <v/>
      </c>
      <c r="K183" s="255" t="str">
        <f ca="1">IF('Point Data'!D183&gt;Standings!$Q$27,"",OFFSET('ESPN Data'!E$3,$A183,0,1,1))</f>
        <v/>
      </c>
      <c r="L183" s="256" t="str">
        <f ca="1">IF('Point Data'!D183&gt;Standings!$Q$27,"",OFFSET('ESPN Data'!I$3,$A183,0,1,1))</f>
        <v/>
      </c>
      <c r="M183" s="256" t="str">
        <f ca="1">IF('Point Data'!D183&gt;Standings!$Q$27,"",OFFSET('ESPN Data'!I$3,$A183,-2,1,1))</f>
        <v/>
      </c>
      <c r="N183" s="256" t="str">
        <f>IF('Point Data'!D183&gt;Standings!$Q$27,"",SUMIFS($M$2:$M$225,$D$2:$D$225,D183,$C$2:$C$225,C183))</f>
        <v/>
      </c>
      <c r="O183" s="256" t="str">
        <f>IF('Point Data'!D183&gt;Standings!$Q$27,"",SUMIFS($L$2:$L$225,$D$2:$D$225,$D183,$C$2:$C$225,$C183))</f>
        <v/>
      </c>
      <c r="P183" s="256" t="str">
        <f>IF('Point Data'!D183&gt;Standings!$Q$27,"",SUMIFS($M$2:$M$225,$D$2:$D$225,D183))</f>
        <v/>
      </c>
      <c r="Q183" s="256" t="str">
        <f>IF('Point Data'!D183&gt;Standings!$Q$27,"",SUMIFS($L$2:$L$225,$D$2:$D$225,D183))</f>
        <v/>
      </c>
      <c r="R183" s="256" t="str">
        <f>IF($D183&gt;Standings!$Q$27,"",IF(U183="T",(Z183+0.5)/(D183)*100,(Z183/D183)*100))</f>
        <v/>
      </c>
      <c r="S183" s="255" t="str">
        <f>IF($D183&gt;Standings!$Q$27,"",$J183-$K183)</f>
        <v/>
      </c>
      <c r="T183" s="255" t="str">
        <f ca="1">IF($D183&gt;Standings!$Q$27,"",AVERAGE(OFFSET(S183,(-$D183+1),0,1,1):S183))</f>
        <v/>
      </c>
      <c r="U183" s="257" t="str">
        <f>IF($D183&gt;Standings!$Q$27,"",IF(J183&gt;K183,1,IF(J183=K183,"T",0)))</f>
        <v/>
      </c>
      <c r="V183" s="257" t="str">
        <f>IF($D183&gt;Standings!$Q$27,"",IF(F183="Conf",V182,SUMIFS($U$2:$U$225,$D$2:$D$225,"&lt;="&amp;$D183,$B$2:$B$225,$B183,$F$2:$F$225,"Non Conf")))</f>
        <v/>
      </c>
      <c r="W183" s="257" t="str">
        <f ca="1">IF($D183&gt;Standings!$Q$27,"",$V183&amp;"-"&amp;COUNTIF(OFFSET($F183,(-$D183+1),0,1,1):$F183,"Non Conf")-$V183)</f>
        <v/>
      </c>
      <c r="X183" s="257" t="str">
        <f>IF($D183&gt;Standings!$Q$27,"",SUMIFS($U$2:$U$225,$D$2:$D$225,"&lt;="&amp;$D183,$B$2:$B$225,$B183,$F$2:$F$225,"Conf"))</f>
        <v/>
      </c>
      <c r="Y183" s="257" t="str">
        <f ca="1">IF($D183&gt;Standings!$Q$27,"",$X183&amp;"-"&amp;COUNTIF(OFFSET($F183,(-$D183+1),0,1,1):$F183,"Conf")-$X183)</f>
        <v/>
      </c>
      <c r="Z183" s="257" t="str">
        <f ca="1">IF($D183&gt;Standings!$Q$27,"",SUM(OFFSET(U183,(-$D183+1),0,1,1):U183))</f>
        <v/>
      </c>
      <c r="AA183" s="257" t="str">
        <f>IF($D183&gt;Standings!$Q$27,"",IF(U183=1,1+AA181,0))</f>
        <v/>
      </c>
      <c r="AB183" s="258" t="str">
        <f>IF($D183&gt;Standings!$Q$27,"",IF(AA183=0,1+AB181,0))</f>
        <v/>
      </c>
      <c r="AC183" s="261" t="str">
        <f ca="1">IF($D183&gt;Standings!$Q$27,"",SUM(OFFSET(J183,(-$D183+1),0,1,1):J183))</f>
        <v/>
      </c>
      <c r="AD183" s="255" t="str">
        <f ca="1">IF($D183&gt;Standings!$Q$27,"",SUM(OFFSET(K183,(-$D183+1),0,1,1):K183))</f>
        <v/>
      </c>
      <c r="AE183" s="255" t="str">
        <f>IF($D183&gt;Standings!$Q$27,"",$J183-$K183)</f>
        <v/>
      </c>
      <c r="AF183" s="255" t="str">
        <f>IF($D183&gt;Standings!$Q$27,"",AC183-AD183)</f>
        <v/>
      </c>
      <c r="AG183" s="235" t="str">
        <f>IF($D183&gt;Standings!$Q$27,"",(COUNTIFS($D$2:$D$225,$D183,$C$2:$C$225,$C183,$AC$2:$AC$225,"&lt;"&amp;$AC183)+1)*0.01)</f>
        <v/>
      </c>
      <c r="AH183" s="235" t="str">
        <f>IF($D183&gt;Standings!$Q$27,"",Z183+AG183)</f>
        <v/>
      </c>
      <c r="AI183" s="235"/>
      <c r="AJ183" s="257" t="str">
        <f t="array" ref="AJ183">IF($D183&gt;Standings!$Q$27,"",(COUNTIFS($D$2:$D$225,$D183,$C$2:$C$225,$C183,$AM$2:$AM$225,"&gt;"&amp;$AM183)+1))</f>
        <v/>
      </c>
      <c r="AK183" s="257" t="str">
        <f t="array" ref="AK183">IF($D183&gt;Standings!$Q$27,"",IF((COUNTIFS($D$2:$D$225,$D183,$C$2:$C$225,$C183,$AH$2:$AH$225,"&gt;"&amp;$AH183)+1)=2,1,0))</f>
        <v/>
      </c>
      <c r="AL183" s="257" t="str">
        <f t="array" ref="AL183">IF($D183&gt;Standings!$Q$27,"",IF((COUNTIFS($D$2:$D$225,$D183,$C$2:$C$225,$C183,$AH$2:$AH$225,"&gt;"&amp;$AH183)+1)&lt;2,1,0))</f>
        <v/>
      </c>
      <c r="AM183" s="257" t="str">
        <f>IF($D183&gt;Standings!$Q$27,"",IF(AL183=1,200+Z183+(16-AQ183)*0.01+AI183,IF(AK183=1,100+Z183+(16-AQ183)*0.01+AI183,IF(AN183=1,50+Z183+(16-AQ183)*0.01,IF(AO183=1,15+Z183+(16-AQ183)*0.01,Z183+(16-AQ183)*0.01+AI183)))))</f>
        <v/>
      </c>
      <c r="AN183" s="257" t="str">
        <f>IF($D183&gt;Standings!$Q$27,"",IF(OR($AK183=1,$AL183=1),"Conf Playoff Spot",COUNTIFS($AL$2:$AL$225,0,$AK$2:$AK$225,0,$C$2:$C$225,$C183,$D$2:$D$225,$D183,$AC$2:$AC$225,"&gt;"&amp;$AC183)+1))</f>
        <v/>
      </c>
      <c r="AO183" s="257" t="str">
        <f t="array" ref="AO183">IF($D183&gt;Standings!$Q$27,"",IF(OR($AK183=1,$AL183=1),"Conf Playoff Spot",COUNTIFS($AK$2:$AK$225,0,$AL$2:$AL$225,0,$D$2:$D$225,$D183,$AH$2:$AH$225,"&gt;"&amp;$AH183)+1))</f>
        <v/>
      </c>
      <c r="AP183" s="257" t="str">
        <f t="array" ref="AP183">IF($D183&gt;Standings!$Q$27,"",(COUNTIFS($D$2:$D$225,$D183,$J$2:$J$225,"&gt;"&amp;$J183)+1))</f>
        <v/>
      </c>
      <c r="AQ183" s="257" t="str">
        <f>IF($D183&gt;Standings!$Q$27,"",(COUNTIFS($D$2:$D$225,$D183,$AC$2:$AC$225,"&gt;"&amp;$AC183)+1))</f>
        <v/>
      </c>
      <c r="AR183" s="257" t="str">
        <f>IF($D183&gt;Standings!$Q$27,"",(COUNTIFS($D$2:$D$225,$D183,$K$2:$K$225,"&gt;"&amp;$K183)+1))</f>
        <v/>
      </c>
      <c r="AS183" s="257" t="str">
        <f>IF($D183&gt;Standings!$Q$27,"",(COUNTIFS($D$2:$D$225,$D183,$AD$2:$AD$225,"&gt;"&amp;$AD183)+1))</f>
        <v/>
      </c>
      <c r="AT183" s="355" t="str">
        <f>IF($D183&gt;Standings!$Q$27,"",SUMIFS($J$2:$J$225,$D$2:$D$225,$D183,$C$2:$C$225,$C183))</f>
        <v/>
      </c>
      <c r="AU183" s="261" t="str">
        <f>IF($D183&gt;Standings!$Q$27,"",SUMIFS($AC$2:$AC$225,$D$2:$D$225,$D183,$C$2:$C$225,$C183))</f>
        <v/>
      </c>
    </row>
    <row r="184" spans="1:47">
      <c r="A184" s="190">
        <f t="shared" si="2"/>
        <v>13</v>
      </c>
      <c r="B184" s="3" t="str">
        <f>'ESPN Data'!$L$17</f>
        <v>Team 14</v>
      </c>
      <c r="C184" s="349" t="str">
        <f>VLOOKUP(B184,'ESPN Data'!$L$4:$M$19,2,FALSE)</f>
        <v>Wardo</v>
      </c>
      <c r="D184" s="399">
        <v>1</v>
      </c>
      <c r="E184" s="266" t="str">
        <f t="array" ref="E184">INDEX('ESPN Data'!$C$3:$C$226,MATCH(1,('ESPN Data'!$A$3:$A$226='Point Data'!$D184)*('ESPN Data'!$B$3:$B$226='Point Data'!$B184),0))</f>
        <v>Team 13</v>
      </c>
      <c r="F184" s="242" t="str">
        <f>IF(C184&lt;&gt;VLOOKUP($E184,'ESPN Data'!$L$4:$M$19,2,FALSE),"Non Conf", "Conf")</f>
        <v>Conf</v>
      </c>
      <c r="G184" s="237">
        <f t="array" aca="1" ref="G184" ca="1">IF('Point Data'!$D184&gt;Standings!$Q$27,"",(COUNTIFS($D$2:$D$225,$D184,$AM$2:$AM$225,"&gt;"&amp;$AM184)+1))</f>
        <v>7</v>
      </c>
      <c r="H184" s="241">
        <f>IF('Point Data'!$D184&gt;Standings!$Q$27,"",VLOOKUP($B184,'ESPN Data'!$L$4:$N$19,3,FALSE))</f>
        <v>14</v>
      </c>
      <c r="I184" s="240">
        <f ca="1">IF('Point Data'!$D184&gt;Standings!$Q$27,"",H184-G184)</f>
        <v>7</v>
      </c>
      <c r="J184" s="241">
        <f ca="1">IF('Point Data'!D184&gt;Standings!$Q$27,"",OFFSET('ESPN Data'!D$3,$A184,0,1,1))</f>
        <v>114.11</v>
      </c>
      <c r="K184" s="239">
        <f ca="1">IF('Point Data'!D184&gt;Standings!$Q$27,"",OFFSET('ESPN Data'!E$3,$A184,0,1,1))</f>
        <v>90.29</v>
      </c>
      <c r="L184" s="240">
        <f ca="1">IF('Point Data'!D184&gt;Standings!$Q$27,"",OFFSET('ESPN Data'!I$3,$A184,0,1,1))</f>
        <v>100</v>
      </c>
      <c r="M184" s="240">
        <f ca="1">IF('Point Data'!D184&gt;Standings!$Q$27,"",OFFSET('ESPN Data'!I$3,$A184,-2,1,1))</f>
        <v>0</v>
      </c>
      <c r="N184" s="240">
        <f ca="1">IF('Point Data'!D184&gt;Standings!$Q$27,"",SUMIFS($M$2:$M$225,$D$2:$D$225,D184,$C$2:$C$225,C184))</f>
        <v>0</v>
      </c>
      <c r="O184" s="240">
        <f ca="1">IF('Point Data'!D184&gt;Standings!$Q$27,"",SUMIFS($L$2:$L$225,$D$2:$D$225,$D184,$C$2:$C$225,$C184))</f>
        <v>800</v>
      </c>
      <c r="P184" s="240">
        <f ca="1">IF('Point Data'!D184&gt;Standings!$Q$27,"",SUMIFS($M$2:$M$225,$D$2:$D$225,D184))</f>
        <v>3</v>
      </c>
      <c r="Q184" s="240">
        <f ca="1">IF('Point Data'!D184&gt;Standings!$Q$27,"",SUMIFS($L$2:$L$225,$D$2:$D$225,$D184))</f>
        <v>1597</v>
      </c>
      <c r="R184" s="240">
        <f ca="1">IF($D184&gt;Standings!$Q$27,"",IF(U184="T",(Z184+0.5)/(D184)*100,(Z184/D184)*100))</f>
        <v>100</v>
      </c>
      <c r="S184" s="239">
        <f ca="1">IF($D184&gt;Standings!$Q$27,"",$J184-$K184)</f>
        <v>23.819999999999993</v>
      </c>
      <c r="T184" s="239">
        <f ca="1">IF($D184&gt;Standings!$Q$27,"",AVERAGE(OFFSET(S184,(-$D184+1),0,1,1):S184))</f>
        <v>23.819999999999993</v>
      </c>
      <c r="U184" s="241">
        <f ca="1">IF($D184&gt;Standings!$Q$27,"",IF(J184&gt;K184,1,IF(J184=K184,"T",0)))</f>
        <v>1</v>
      </c>
      <c r="V184" s="241">
        <f>IF($D184&gt;Standings!$Q$27,"",IF(F184="Conf",0,SUMIFS($U$2:$U$225,$D$2:$D$225,"&lt;="&amp;$D184,$B$2:$B$225,$B184,$F$2:$F$225,"Non Conf")))</f>
        <v>0</v>
      </c>
      <c r="W184" s="241" t="str">
        <f ca="1">IF($D184&gt;Standings!$Q$27,"",$V184&amp;"-"&amp;COUNTIF(OFFSET($F184,(-$D184+1),0,1,1):$F184,"Non Conf")-$V184)</f>
        <v>0-0</v>
      </c>
      <c r="X184" s="241">
        <f ca="1">IF($D184&gt;Standings!$Q$27,"",SUMIFS($U$2:$U$225,$D$2:$D$225,"&lt;="&amp;$D184,$B$2:$B$225,$B184,$F$2:$F$225,"Conf"))</f>
        <v>1</v>
      </c>
      <c r="Y184" s="241" t="str">
        <f ca="1">IF($D184&gt;Standings!$Q$27,"",$X184&amp;"-"&amp;COUNTIF(OFFSET($F184,(-$D184+1),0,1,1):$F184,"Conf")-$X184)</f>
        <v>1-0</v>
      </c>
      <c r="Z184" s="241">
        <f ca="1">IF($D184&gt;Standings!$Q$27,"",SUM(OFFSET(U184,(-$D184+1),0,1,1):U184))</f>
        <v>1</v>
      </c>
      <c r="AA184" s="241">
        <f ca="1">IF($D184&gt;Standings!$Q$27,"",IF(U184=1,1,0))</f>
        <v>1</v>
      </c>
      <c r="AB184" s="242">
        <f ca="1">IF($D184&gt;Standings!$Q$27,"",IF(AA184=0,1,0))</f>
        <v>0</v>
      </c>
      <c r="AC184" s="245">
        <f ca="1">IF($D184&gt;Standings!$Q$27,"",SUM(OFFSET(J184,(-$D184+1),0,1,1):J184))</f>
        <v>114.11</v>
      </c>
      <c r="AD184" s="239">
        <f ca="1">IF($D184&gt;Standings!$Q$27,"",SUM(OFFSET(K184,(-$D184+1),0,1,1):K184))</f>
        <v>90.29</v>
      </c>
      <c r="AE184" s="239">
        <f ca="1">IF($D184&gt;Standings!$Q$27,"",$J184-$K184)</f>
        <v>23.819999999999993</v>
      </c>
      <c r="AF184" s="239">
        <f ca="1">IF($D184&gt;Standings!$Q$27,"",AC184-AD184)</f>
        <v>23.819999999999993</v>
      </c>
      <c r="AG184" s="233">
        <f ca="1">IF($D184&gt;Standings!$Q$27,"",(COUNTIFS($D$2:$D$225,$D184,$C$2:$C$225,$C184,$AC$2:$AC$225,"&lt;"&amp;$AC184)+1)*0.01)</f>
        <v>0.05</v>
      </c>
      <c r="AH184" s="233">
        <f ca="1">IF($D184&gt;Standings!$Q$27,"",Z184+AG184)</f>
        <v>1.05</v>
      </c>
      <c r="AI184" s="233"/>
      <c r="AJ184" s="241">
        <f t="array" aca="1" ref="AJ184" ca="1">IF($D184&gt;Standings!$Q$27,"",(COUNTIFS($D$2:$D$225,$D184,$C$2:$C$225,$C184,$AM$2:$AM$225,"&gt;"&amp;$AM184)+1))</f>
        <v>4</v>
      </c>
      <c r="AK184" s="241">
        <f t="array" aca="1" ref="AK184" ca="1">IF($D184&gt;Standings!$Q$27,"",IF((COUNTIFS($D$2:$D$225,$D184,$C$2:$C$225,$C184,$AH$2:$AH$225,"&gt;"&amp;$AH184)+1)=2,1,0))</f>
        <v>0</v>
      </c>
      <c r="AL184" s="241">
        <f t="array" aca="1" ref="AL184" ca="1">IF($D184&gt;Standings!$Q$27,"",IF((COUNTIFS($D$2:$D$225,$D184,$C$2:$C$225,$C184,$AH$2:$AH$225,"&gt;"&amp;$AH184)+1)&lt;2,1,0))</f>
        <v>0</v>
      </c>
      <c r="AM184" s="241">
        <f ca="1">IF($D184&gt;Standings!$Q$27,"",IF(AL184=1,200+Z184+(16-AQ184)*0.01+AI184,IF(AK184=1,100+Z184+(16-AQ184)*0.01+AI184,IF(AN184=1,50+Z184+(16-AQ184)*0.01,IF(AO184=1,15+Z184+(16-AQ184)*0.01,Z184+(16-AQ184)*0.01+AI184)))))</f>
        <v>16.11</v>
      </c>
      <c r="AN184" s="241">
        <f ca="1">IF($D184&gt;Standings!$Q$27,"",IF(OR($AK184=1,$AL184=1),"Conf Playoff Spot",COUNTIFS($AL$2:$AL$225,0,$AK$2:$AK$225,0,$C$2:$C$225,$C184,$D$2:$D$225,$D184,$AC$2:$AC$225,"&gt;"&amp;$AC184)+1))</f>
        <v>2</v>
      </c>
      <c r="AO184" s="241">
        <f t="array" aca="1" ref="AO184" ca="1">IF($D184&gt;Standings!$Q$27,"",IF(OR($AK184=1,$AL184=1),"Conf Playoff Spot",COUNTIFS($AK$2:$AK$225,0,$AL$2:$AL$225,0,$D$2:$D$225,$D184,$AH$2:$AH$225,"&gt;"&amp;$AH184)+1))</f>
        <v>1</v>
      </c>
      <c r="AP184" s="241">
        <f t="array" aca="1" ref="AP184" ca="1">IF($D184&gt;Standings!$Q$27,"",(COUNTIFS($D$2:$D$225,$D184,$J$2:$J$225,"&gt;"&amp;$J184)+1))</f>
        <v>5</v>
      </c>
      <c r="AQ184" s="241">
        <f ca="1">IF($D184&gt;Standings!$Q$27,"",(COUNTIFS($D$2:$D$225,$D184,$AC$2:$AC$225,"&gt;"&amp;$AC184)+1))</f>
        <v>5</v>
      </c>
      <c r="AR184" s="241">
        <f ca="1">IF($D184&gt;Standings!$Q$27,"",(COUNTIFS($D$2:$D$225,$D184,$K$2:$K$225,"&gt;"&amp;$K184)+1))</f>
        <v>14</v>
      </c>
      <c r="AS184" s="241">
        <f ca="1">IF($D184&gt;Standings!$Q$27,"",(COUNTIFS($D$2:$D$225,$D184,$AD$2:$AD$225,"&gt;"&amp;$AD184)+1))</f>
        <v>14</v>
      </c>
      <c r="AT184" s="357">
        <f ca="1">IF($D184&gt;Standings!$Q$27,"",SUMIFS($J$2:$J$225,$D$2:$D$225,$D184,$C$2:$C$225,$C184))</f>
        <v>872.36000000000013</v>
      </c>
      <c r="AU184" s="245">
        <f ca="1">IF($D184&gt;Standings!$Q$27,"",SUMIFS($AC$2:$AC$225,$D$2:$D$225,$D184,$C$2:$C$225,$C184))</f>
        <v>872.36000000000013</v>
      </c>
    </row>
    <row r="185" spans="1:47">
      <c r="A185" s="190">
        <f t="shared" si="2"/>
        <v>29</v>
      </c>
      <c r="B185" s="5" t="str">
        <f>'ESPN Data'!$L$17</f>
        <v>Team 14</v>
      </c>
      <c r="C185" s="350" t="str">
        <f>VLOOKUP(B185,'ESPN Data'!$L$4:$M$19,2,FALSE)</f>
        <v>Wardo</v>
      </c>
      <c r="D185" s="400">
        <v>2</v>
      </c>
      <c r="E185" s="267" t="str">
        <f t="array" ref="E185">INDEX('ESPN Data'!$C$3:$C$226,MATCH(1,('ESPN Data'!$A$3:$A$226='Point Data'!$D185)*('ESPN Data'!$B$3:$B$226='Point Data'!$B185),0))</f>
        <v>Team 16</v>
      </c>
      <c r="F185" s="250" t="str">
        <f>IF(C185&lt;&gt;VLOOKUP($E185,'ESPN Data'!$L$4:$M$19,2,FALSE),"Non Conf", "Conf")</f>
        <v>Conf</v>
      </c>
      <c r="G185" s="246">
        <f t="array" aca="1" ref="G185" ca="1">IF('Point Data'!$D185&gt;Standings!$Q$27,"",(COUNTIFS($D$2:$D$225,$D185,$AM$2:$AM$225,"&gt;"&amp;$AM185)+1))</f>
        <v>3</v>
      </c>
      <c r="H185" s="172">
        <f ca="1">IF('Point Data'!$D185&gt;Standings!$Q$27,"",$G184)</f>
        <v>7</v>
      </c>
      <c r="I185" s="249">
        <f ca="1">IF('Point Data'!D185&gt;Standings!$Q$27,"",H185-G185)</f>
        <v>4</v>
      </c>
      <c r="J185" s="172">
        <f ca="1">IF('Point Data'!D185&gt;Standings!$Q$27,"",OFFSET('ESPN Data'!D$3,$A185,0,1,1))</f>
        <v>131.12</v>
      </c>
      <c r="K185" s="248">
        <f ca="1">IF('Point Data'!D185&gt;Standings!$Q$27,"",OFFSET('ESPN Data'!E$3,$A185,0,1,1))</f>
        <v>108.89</v>
      </c>
      <c r="L185" s="249">
        <f ca="1">IF('Point Data'!D185&gt;Standings!$Q$27,"",OFFSET('ESPN Data'!I$3,$A185,0,1,1))</f>
        <v>100</v>
      </c>
      <c r="M185" s="249">
        <f ca="1">IF('Point Data'!D185&gt;Standings!$Q$27,"",OFFSET('ESPN Data'!I$3,$A185,-2,1,1))</f>
        <v>0</v>
      </c>
      <c r="N185" s="249">
        <f ca="1">IF('Point Data'!D185&gt;Standings!$Q$27,"",SUMIFS($M$2:$M$225,$D$2:$D$225,D185,$C$2:$C$225,C185))</f>
        <v>29</v>
      </c>
      <c r="O185" s="249">
        <f ca="1">IF('Point Data'!D185&gt;Standings!$Q$27,"",SUMIFS($L$2:$L$225,$D$2:$D$225,$D185,$C$2:$C$225,$C185))</f>
        <v>771</v>
      </c>
      <c r="P185" s="249">
        <f ca="1">IF('Point Data'!D185&gt;Standings!$Q$27,"",SUMIFS($M$2:$M$225,$D$2:$D$225,D185))</f>
        <v>73</v>
      </c>
      <c r="Q185" s="249">
        <f ca="1">IF('Point Data'!D185&gt;Standings!$Q$27,"",SUMIFS($L$2:$L$225,$D$2:$D$225,D185))</f>
        <v>1524</v>
      </c>
      <c r="R185" s="249">
        <f ca="1">IF($D185&gt;Standings!$Q$27,"",IF(U185="T",(Z185+0.5)/(D185)*100,(Z185/D185)*100))</f>
        <v>100</v>
      </c>
      <c r="S185" s="248">
        <f ca="1">IF($D185&gt;Standings!$Q$27,"",$J185-$K185)</f>
        <v>22.230000000000004</v>
      </c>
      <c r="T185" s="248">
        <f ca="1">IF($D185&gt;Standings!$Q$27,"",AVERAGE(OFFSET(S185,(-$D185+1),0,1,1):S185))</f>
        <v>23.024999999999999</v>
      </c>
      <c r="U185" s="172">
        <f ca="1">IF($D185&gt;Standings!$Q$27,"",IF(J185&gt;K185,1,IF(J185=K185,"T",0)))</f>
        <v>1</v>
      </c>
      <c r="V185" s="172">
        <f>IF($D185&gt;Standings!$Q$27,"",IF(F185="Conf",V184,SUMIFS($U$2:$U$225,$D$2:$D$225,"&lt;="&amp;$D185,$B$2:$B$225,$B185,$F$2:$F$225,"Non Conf")))</f>
        <v>0</v>
      </c>
      <c r="W185" s="172" t="str">
        <f ca="1">IF($D185&gt;Standings!$Q$27,"",$V185&amp;"-"&amp;COUNTIF(OFFSET($F185,(-$D185+1),0,1,1):$F185,"Non Conf")-$V185)</f>
        <v>0-0</v>
      </c>
      <c r="X185" s="172">
        <f ca="1">IF($D185&gt;Standings!$Q$27,"",SUMIFS($U$2:$U$225,$D$2:$D$225,"&lt;="&amp;$D185,$B$2:$B$225,$B185,$F$2:$F$225,"Conf"))</f>
        <v>2</v>
      </c>
      <c r="Y185" s="172" t="str">
        <f ca="1">IF($D185&gt;Standings!$Q$27,"",$X185&amp;"-"&amp;COUNTIF(OFFSET($F185,(-$D185+1),0,1,1):$F185,"Conf")-$X185)</f>
        <v>2-0</v>
      </c>
      <c r="Z185" s="172">
        <f ca="1">IF($D185&gt;Standings!$Q$27,"",SUM(OFFSET(U185,(-$D185+1),0,1,1):U185))</f>
        <v>2</v>
      </c>
      <c r="AA185" s="172">
        <f ca="1">IF($D185&gt;Standings!$Q$27,"",IF(U185=1,1+AA184,0))</f>
        <v>2</v>
      </c>
      <c r="AB185" s="250">
        <f ca="1">IF($D185&gt;Standings!$Q$27,"",IF(AA185=0,1+AB184,0))</f>
        <v>0</v>
      </c>
      <c r="AC185" s="253">
        <f ca="1">IF($D185&gt;Standings!$Q$27,"",SUM(OFFSET(J185,(-$D185+1),0,1,1):J185))</f>
        <v>245.23000000000002</v>
      </c>
      <c r="AD185" s="248">
        <f ca="1">IF($D185&gt;Standings!$Q$27,"",SUM(OFFSET(K185,(-$D185+1),0,1,1):K185))</f>
        <v>199.18</v>
      </c>
      <c r="AE185" s="248">
        <f ca="1">IF($D185&gt;Standings!$Q$27,"",$J185-$K185)</f>
        <v>22.230000000000004</v>
      </c>
      <c r="AF185" s="248">
        <f ca="1">IF($D185&gt;Standings!$Q$27,"",AC185-AD185)</f>
        <v>46.050000000000011</v>
      </c>
      <c r="AG185" s="234">
        <f ca="1">IF($D185&gt;Standings!$Q$27,"",(COUNTIFS($D$2:$D$225,$D185,$C$2:$C$225,$C185,$AC$2:$AC$225,"&lt;"&amp;$AC185)+1)*0.01)</f>
        <v>0.06</v>
      </c>
      <c r="AH185" s="234">
        <f ca="1">IF($D185&gt;Standings!$Q$27,"",Z185+AG185)</f>
        <v>2.06</v>
      </c>
      <c r="AI185" s="234"/>
      <c r="AJ185" s="172">
        <f t="array" aca="1" ref="AJ185" ca="1">IF($D185&gt;Standings!$Q$27,"",(COUNTIFS($D$2:$D$225,$D185,$C$2:$C$225,$C185,$AM$2:$AM$225,"&gt;"&amp;$AM185)+1))</f>
        <v>2</v>
      </c>
      <c r="AK185" s="172">
        <f t="array" aca="1" ref="AK185" ca="1">IF($D185&gt;Standings!$Q$27,"",IF((COUNTIFS($D$2:$D$225,$D185,$C$2:$C$225,$C185,$AH$2:$AH$225,"&gt;"&amp;$AH185)+1)=2,1,0))</f>
        <v>1</v>
      </c>
      <c r="AL185" s="172">
        <f t="array" aca="1" ref="AL185" ca="1">IF($D185&gt;Standings!$Q$27,"",IF((COUNTIFS($D$2:$D$225,$D185,$C$2:$C$225,$C185,$AH$2:$AH$225,"&gt;"&amp;$AH185)+1)&lt;2,1,0))</f>
        <v>0</v>
      </c>
      <c r="AM185" s="172">
        <f ca="1">IF($D185&gt;Standings!$Q$27,"",IF(AL185=1,200+Z185+(16-AQ185)*0.01+AI185,IF(AK185=1,100+Z185+(16-AQ185)*0.01+AI185,IF(AN185=1,50+Z185+(16-AQ185)*0.01,IF(AO185=1,15+Z185+(16-AQ185)*0.01,Z185+(16-AQ185)*0.01+AI185)))))</f>
        <v>102.13</v>
      </c>
      <c r="AN185" s="172" t="str">
        <f ca="1">IF($D185&gt;Standings!$Q$27,"",IF(OR($AK185=1,$AL185=1),"Conf Playoff Spot",COUNTIFS($AL$2:$AL$225,0,$AK$2:$AK$225,0,$C$2:$C$225,$C185,$D$2:$D$225,$D185,$AC$2:$AC$225,"&gt;"&amp;$AC185)+1))</f>
        <v>Conf Playoff Spot</v>
      </c>
      <c r="AO185" s="172" t="str">
        <f t="array" aca="1" ref="AO185" ca="1">IF($D185&gt;Standings!$Q$27,"",IF(OR($AK185=1,$AL185=1),"Conf Playoff Spot",COUNTIFS($AK$2:$AK$225,0,$AL$2:$AL$225,0,$D$2:$D$225,$D185,$AH$2:$AH$225,"&gt;"&amp;$AH185)+1))</f>
        <v>Conf Playoff Spot</v>
      </c>
      <c r="AP185" s="172">
        <f t="array" aca="1" ref="AP185" ca="1">IF($D185&gt;Standings!$Q$27,"",(COUNTIFS($D$2:$D$225,$D185,$J$2:$J$225,"&gt;"&amp;$J185)+1))</f>
        <v>3</v>
      </c>
      <c r="AQ185" s="172">
        <f ca="1">IF($D185&gt;Standings!$Q$27,"",(COUNTIFS($D$2:$D$225,$D185,$AC$2:$AC$225,"&gt;"&amp;$AC185)+1))</f>
        <v>3</v>
      </c>
      <c r="AR185" s="172">
        <f ca="1">IF($D185&gt;Standings!$Q$27,"",(COUNTIFS($D$2:$D$225,$D185,$K$2:$K$225,"&gt;"&amp;$K185)+1))</f>
        <v>10</v>
      </c>
      <c r="AS185" s="172">
        <f ca="1">IF($D185&gt;Standings!$Q$27,"",(COUNTIFS($D$2:$D$225,$D185,$AD$2:$AD$225,"&gt;"&amp;$AD185)+1))</f>
        <v>14</v>
      </c>
      <c r="AT185" s="354">
        <f ca="1">IF($D185&gt;Standings!$Q$27,"",SUMIFS($J$2:$J$225,$D$2:$D$225,$D185,$C$2:$C$225,$C185))</f>
        <v>937.28000000000009</v>
      </c>
      <c r="AU185" s="253">
        <f ca="1">IF($D185&gt;Standings!$Q$27,"",SUMIFS($AC$2:$AC$225,$D$2:$D$225,$D185,$C$2:$C$225,$C185))</f>
        <v>1809.64</v>
      </c>
    </row>
    <row r="186" spans="1:47">
      <c r="A186" s="190">
        <f t="shared" si="2"/>
        <v>45</v>
      </c>
      <c r="B186" s="5" t="str">
        <f>'ESPN Data'!$L$17</f>
        <v>Team 14</v>
      </c>
      <c r="C186" s="350" t="str">
        <f>VLOOKUP(B186,'ESPN Data'!$L$4:$M$19,2,FALSE)</f>
        <v>Wardo</v>
      </c>
      <c r="D186" s="400">
        <v>3</v>
      </c>
      <c r="E186" s="267" t="str">
        <f t="array" ref="E186">INDEX('ESPN Data'!$C$3:$C$226,MATCH(1,('ESPN Data'!$A$3:$A$226='Point Data'!$D186)*('ESPN Data'!$B$3:$B$226='Point Data'!$B186),0))</f>
        <v>Team 2</v>
      </c>
      <c r="F186" s="250" t="str">
        <f>IF(C186&lt;&gt;VLOOKUP($E186,'ESPN Data'!$L$4:$M$19,2,FALSE),"Non Conf", "Conf")</f>
        <v>Non Conf</v>
      </c>
      <c r="G186" s="246">
        <f t="array" aca="1" ref="G186" ca="1">IF('Point Data'!$D186&gt;Standings!$Q$27,"",(COUNTIFS($D$2:$D$225,$D186,$AM$2:$AM$225,"&gt;"&amp;$AM186)+1))</f>
        <v>1</v>
      </c>
      <c r="H186" s="172">
        <f ca="1">IF('Point Data'!$D186&gt;Standings!$Q$27,"",$G185)</f>
        <v>3</v>
      </c>
      <c r="I186" s="249">
        <f ca="1">IF('Point Data'!D186&gt;Standings!$Q$27,"",H186-G186)</f>
        <v>2</v>
      </c>
      <c r="J186" s="172">
        <f ca="1">IF('Point Data'!D186&gt;Standings!$Q$27,"",OFFSET('ESPN Data'!D$3,$A186,0,1,1))</f>
        <v>120.14</v>
      </c>
      <c r="K186" s="248">
        <f ca="1">IF('Point Data'!D186&gt;Standings!$Q$27,"",OFFSET('ESPN Data'!E$3,$A186,0,1,1))</f>
        <v>86.82</v>
      </c>
      <c r="L186" s="249">
        <f ca="1">IF('Point Data'!D186&gt;Standings!$Q$27,"",OFFSET('ESPN Data'!I$3,$A186,0,1,1))</f>
        <v>100</v>
      </c>
      <c r="M186" s="249">
        <f ca="1">IF('Point Data'!D186&gt;Standings!$Q$27,"",OFFSET('ESPN Data'!I$3,$A186,-2,1,1))</f>
        <v>0</v>
      </c>
      <c r="N186" s="249">
        <f ca="1">IF('Point Data'!D186&gt;Standings!$Q$27,"",SUMIFS($M$2:$M$225,$D$2:$D$225,D186,$C$2:$C$225,C186))</f>
        <v>185</v>
      </c>
      <c r="O186" s="249">
        <f ca="1">IF('Point Data'!D186&gt;Standings!$Q$27,"",SUMIFS($L$2:$L$225,$D$2:$D$225,$D186,$C$2:$C$225,$C186))</f>
        <v>586</v>
      </c>
      <c r="P186" s="249">
        <f ca="1">IF('Point Data'!D186&gt;Standings!$Q$27,"",SUMIFS($M$2:$M$225,$D$2:$D$225,D186))</f>
        <v>210</v>
      </c>
      <c r="Q186" s="249">
        <f ca="1">IF('Point Data'!D186&gt;Standings!$Q$27,"",SUMIFS($L$2:$L$225,$D$2:$D$225,D186))</f>
        <v>1314</v>
      </c>
      <c r="R186" s="249">
        <f ca="1">IF($D186&gt;Standings!$Q$27,"",IF(U186="T",(Z186+0.5)/(D186)*100,(Z186/D186)*100))</f>
        <v>100</v>
      </c>
      <c r="S186" s="248">
        <f ca="1">IF($D186&gt;Standings!$Q$27,"",$J186-$K186)</f>
        <v>33.320000000000007</v>
      </c>
      <c r="T186" s="248">
        <f ca="1">IF($D186&gt;Standings!$Q$27,"",AVERAGE(OFFSET(S186,(-$D186+1),0,1,1):S186))</f>
        <v>26.456666666666667</v>
      </c>
      <c r="U186" s="172">
        <f ca="1">IF($D186&gt;Standings!$Q$27,"",IF(J186&gt;K186,1,IF(J186=K186,"T",0)))</f>
        <v>1</v>
      </c>
      <c r="V186" s="172">
        <f ca="1">IF($D186&gt;Standings!$Q$27,"",IF(F186="Conf",V185,SUMIFS($U$2:$U$225,$D$2:$D$225,"&lt;="&amp;$D186,$B$2:$B$225,$B186,$F$2:$F$225,"Non Conf")))</f>
        <v>1</v>
      </c>
      <c r="W186" s="172" t="str">
        <f ca="1">IF($D186&gt;Standings!$Q$27,"",$V186&amp;"-"&amp;COUNTIF(OFFSET($F186,(-$D186+1),0,1,1):$F186,"Non Conf")-$V186)</f>
        <v>1-0</v>
      </c>
      <c r="X186" s="172">
        <f ca="1">IF($D186&gt;Standings!$Q$27,"",SUMIFS($U$2:$U$225,$D$2:$D$225,"&lt;="&amp;$D186,$B$2:$B$225,$B186,$F$2:$F$225,"Conf"))</f>
        <v>2</v>
      </c>
      <c r="Y186" s="172" t="str">
        <f ca="1">IF($D186&gt;Standings!$Q$27,"",$X186&amp;"-"&amp;COUNTIF(OFFSET($F186,(-$D186+1),0,1,1):$F186,"Conf")-$X186)</f>
        <v>2-0</v>
      </c>
      <c r="Z186" s="172">
        <f ca="1">IF($D186&gt;Standings!$Q$27,"",SUM(OFFSET(U186,(-$D186+1),0,1,1):U186))</f>
        <v>3</v>
      </c>
      <c r="AA186" s="172">
        <f ca="1">IF($D186&gt;Standings!$Q$27,"",IF(U186=1,1+AA185,0))</f>
        <v>3</v>
      </c>
      <c r="AB186" s="250">
        <f ca="1">IF($D186&gt;Standings!$Q$27,"",IF(AA186=0,1+AB185,0))</f>
        <v>0</v>
      </c>
      <c r="AC186" s="253">
        <f ca="1">IF($D186&gt;Standings!$Q$27,"",SUM(OFFSET(J186,(-$D186+1),0,1,1):J186))</f>
        <v>365.37</v>
      </c>
      <c r="AD186" s="248">
        <f ca="1">IF($D186&gt;Standings!$Q$27,"",SUM(OFFSET(K186,(-$D186+1),0,1,1):K186))</f>
        <v>286</v>
      </c>
      <c r="AE186" s="248">
        <f ca="1">IF($D186&gt;Standings!$Q$27,"",$J186-$K186)</f>
        <v>33.320000000000007</v>
      </c>
      <c r="AF186" s="248">
        <f ca="1">IF($D186&gt;Standings!$Q$27,"",AC186-AD186)</f>
        <v>79.37</v>
      </c>
      <c r="AG186" s="234">
        <f ca="1">IF($D186&gt;Standings!$Q$27,"",(COUNTIFS($D$2:$D$225,$D186,$C$2:$C$225,$C186,$AC$2:$AC$225,"&lt;"&amp;$AC186)+1)*0.01)</f>
        <v>0.06</v>
      </c>
      <c r="AH186" s="234">
        <f ca="1">IF($D186&gt;Standings!$Q$27,"",Z186+AG186)</f>
        <v>3.06</v>
      </c>
      <c r="AI186" s="234"/>
      <c r="AJ186" s="172">
        <f t="array" aca="1" ref="AJ186" ca="1">IF($D186&gt;Standings!$Q$27,"",(COUNTIFS($D$2:$D$225,$D186,$C$2:$C$225,$C186,$AM$2:$AM$225,"&gt;"&amp;$AM186)+1))</f>
        <v>1</v>
      </c>
      <c r="AK186" s="172">
        <f t="array" aca="1" ref="AK186" ca="1">IF($D186&gt;Standings!$Q$27,"",IF((COUNTIFS($D$2:$D$225,$D186,$C$2:$C$225,$C186,$AH$2:$AH$225,"&gt;"&amp;$AH186)+1)=2,1,0))</f>
        <v>0</v>
      </c>
      <c r="AL186" s="172">
        <f t="array" aca="1" ref="AL186" ca="1">IF($D186&gt;Standings!$Q$27,"",IF((COUNTIFS($D$2:$D$225,$D186,$C$2:$C$225,$C186,$AH$2:$AH$225,"&gt;"&amp;$AH186)+1)&lt;2,1,0))</f>
        <v>1</v>
      </c>
      <c r="AM186" s="172">
        <f ca="1">IF($D186&gt;Standings!$Q$27,"",IF(AL186=1,200+Z186+(16-AQ186)*0.01+AI186,IF(AK186=1,100+Z186+(16-AQ186)*0.01+AI186,IF(AN186=1,50+Z186+(16-AQ186)*0.01,IF(AO186=1,15+Z186+(16-AQ186)*0.01,Z186+(16-AQ186)*0.01+AI186)))))</f>
        <v>203.13</v>
      </c>
      <c r="AN186" s="172" t="str">
        <f ca="1">IF($D186&gt;Standings!$Q$27,"",IF(OR($AK186=1,$AL186=1),"Conf Playoff Spot",COUNTIFS($AL$2:$AL$225,0,$AK$2:$AK$225,0,$C$2:$C$225,$C186,$D$2:$D$225,$D186,$AC$2:$AC$225,"&gt;"&amp;$AC186)+1))</f>
        <v>Conf Playoff Spot</v>
      </c>
      <c r="AO186" s="172" t="str">
        <f t="array" aca="1" ref="AO186" ca="1">IF($D186&gt;Standings!$Q$27,"",IF(OR($AK186=1,$AL186=1),"Conf Playoff Spot",COUNTIFS($AK$2:$AK$225,0,$AL$2:$AL$225,0,$D$2:$D$225,$D186,$AH$2:$AH$225,"&gt;"&amp;$AH186)+1))</f>
        <v>Conf Playoff Spot</v>
      </c>
      <c r="AP186" s="172">
        <f t="array" aca="1" ref="AP186" ca="1">IF($D186&gt;Standings!$Q$27,"",(COUNTIFS($D$2:$D$225,$D186,$J$2:$J$225,"&gt;"&amp;$J186)+1))</f>
        <v>6</v>
      </c>
      <c r="AQ186" s="172">
        <f ca="1">IF($D186&gt;Standings!$Q$27,"",(COUNTIFS($D$2:$D$225,$D186,$AC$2:$AC$225,"&gt;"&amp;$AC186)+1))</f>
        <v>3</v>
      </c>
      <c r="AR186" s="172">
        <f ca="1">IF($D186&gt;Standings!$Q$27,"",(COUNTIFS($D$2:$D$225,$D186,$K$2:$K$225,"&gt;"&amp;$K186)+1))</f>
        <v>14</v>
      </c>
      <c r="AS186" s="172">
        <f ca="1">IF($D186&gt;Standings!$Q$27,"",(COUNTIFS($D$2:$D$225,$D186,$AD$2:$AD$225,"&gt;"&amp;$AD186)+1))</f>
        <v>14</v>
      </c>
      <c r="AT186" s="354">
        <f ca="1">IF($D186&gt;Standings!$Q$27,"",SUMIFS($J$2:$J$225,$D$2:$D$225,$D186,$C$2:$C$225,$C186))</f>
        <v>832.04000000000008</v>
      </c>
      <c r="AU186" s="253">
        <f ca="1">IF($D186&gt;Standings!$Q$27,"",SUMIFS($AC$2:$AC$225,$D$2:$D$225,$D186,$C$2:$C$225,$C186))</f>
        <v>2641.68</v>
      </c>
    </row>
    <row r="187" spans="1:47">
      <c r="A187" s="190">
        <f t="shared" si="2"/>
        <v>61</v>
      </c>
      <c r="B187" s="5" t="str">
        <f>'ESPN Data'!$L$17</f>
        <v>Team 14</v>
      </c>
      <c r="C187" s="350" t="str">
        <f>VLOOKUP(B187,'ESPN Data'!$L$4:$M$19,2,FALSE)</f>
        <v>Wardo</v>
      </c>
      <c r="D187" s="400">
        <v>4</v>
      </c>
      <c r="E187" s="267" t="str">
        <f t="array" ref="E187">INDEX('ESPN Data'!$C$3:$C$226,MATCH(1,('ESPN Data'!$A$3:$A$226='Point Data'!$D187)*('ESPN Data'!$B$3:$B$226='Point Data'!$B187),0))</f>
        <v>Team 9</v>
      </c>
      <c r="F187" s="250" t="str">
        <f>IF(C187&lt;&gt;VLOOKUP($E187,'ESPN Data'!$L$4:$M$19,2,FALSE),"Non Conf", "Conf")</f>
        <v>Conf</v>
      </c>
      <c r="G187" s="246">
        <f t="array" aca="1" ref="G187" ca="1">IF('Point Data'!$D187&gt;Standings!$Q$27,"",(COUNTIFS($D$2:$D$225,$D187,$AM$2:$AM$225,"&gt;"&amp;$AM187)+1))</f>
        <v>3</v>
      </c>
      <c r="H187" s="172">
        <f ca="1">IF('Point Data'!$D187&gt;Standings!$Q$27,"",$G186)</f>
        <v>1</v>
      </c>
      <c r="I187" s="249">
        <f ca="1">IF('Point Data'!D187&gt;Standings!$Q$27,"",H187-G187)</f>
        <v>-2</v>
      </c>
      <c r="J187" s="172">
        <f ca="1">IF('Point Data'!D187&gt;Standings!$Q$27,"",OFFSET('ESPN Data'!D$3,$A187,0,1,1))</f>
        <v>106.32</v>
      </c>
      <c r="K187" s="248">
        <f ca="1">IF('Point Data'!D187&gt;Standings!$Q$27,"",OFFSET('ESPN Data'!E$3,$A187,0,1,1))</f>
        <v>108.47</v>
      </c>
      <c r="L187" s="249">
        <f ca="1">IF('Point Data'!D187&gt;Standings!$Q$27,"",OFFSET('ESPN Data'!I$3,$A187,0,1,1))</f>
        <v>95</v>
      </c>
      <c r="M187" s="249">
        <f ca="1">IF('Point Data'!D187&gt;Standings!$Q$27,"",OFFSET('ESPN Data'!I$3,$A187,-2,1,1))</f>
        <v>5</v>
      </c>
      <c r="N187" s="249">
        <f ca="1">IF('Point Data'!D187&gt;Standings!$Q$27,"",SUMIFS($M$2:$M$225,$D$2:$D$225,D187,$C$2:$C$225,C187))</f>
        <v>10</v>
      </c>
      <c r="O187" s="249">
        <f ca="1">IF('Point Data'!D187&gt;Standings!$Q$27,"",SUMIFS($L$2:$L$225,$D$2:$D$225,$D187,$C$2:$C$225,$C187))</f>
        <v>576</v>
      </c>
      <c r="P187" s="249">
        <f ca="1">IF('Point Data'!D187&gt;Standings!$Q$27,"",SUMIFS($M$2:$M$225,$D$2:$D$225,D187))</f>
        <v>171</v>
      </c>
      <c r="Q187" s="249">
        <f ca="1">IF('Point Data'!D187&gt;Standings!$Q$27,"",SUMIFS($L$2:$L$225,$D$2:$D$225,D187))</f>
        <v>1143</v>
      </c>
      <c r="R187" s="249">
        <f ca="1">IF($D187&gt;Standings!$Q$27,"",IF(U187="T",(Z187+0.5)/(D187)*100,(Z187/D187)*100))</f>
        <v>75</v>
      </c>
      <c r="S187" s="248">
        <f ca="1">IF($D187&gt;Standings!$Q$27,"",$J187-$K187)</f>
        <v>-2.1500000000000057</v>
      </c>
      <c r="T187" s="248">
        <f ca="1">IF($D187&gt;Standings!$Q$27,"",AVERAGE(OFFSET(S187,(-$D187+1),0,1,1):S187))</f>
        <v>19.305</v>
      </c>
      <c r="U187" s="172">
        <f ca="1">IF($D187&gt;Standings!$Q$27,"",IF(J187&gt;K187,1,IF(J187=K187,"T",0)))</f>
        <v>0</v>
      </c>
      <c r="V187" s="172">
        <f ca="1">IF($D187&gt;Standings!$Q$27,"",IF(F187="Conf",V186,SUMIFS($U$2:$U$225,$D$2:$D$225,"&lt;="&amp;$D187,$B$2:$B$225,$B187,$F$2:$F$225,"Non Conf")))</f>
        <v>1</v>
      </c>
      <c r="W187" s="172" t="str">
        <f ca="1">IF($D187&gt;Standings!$Q$27,"",$V187&amp;"-"&amp;COUNTIF(OFFSET($F187,(-$D187+1),0,1,1):$F187,"Non Conf")-$V187)</f>
        <v>1-0</v>
      </c>
      <c r="X187" s="172">
        <f ca="1">IF($D187&gt;Standings!$Q$27,"",SUMIFS($U$2:$U$225,$D$2:$D$225,"&lt;="&amp;$D187,$B$2:$B$225,$B187,$F$2:$F$225,"Conf"))</f>
        <v>2</v>
      </c>
      <c r="Y187" s="172" t="str">
        <f ca="1">IF($D187&gt;Standings!$Q$27,"",$X187&amp;"-"&amp;COUNTIF(OFFSET($F187,(-$D187+1),0,1,1):$F187,"Conf")-$X187)</f>
        <v>2-1</v>
      </c>
      <c r="Z187" s="172">
        <f ca="1">IF($D187&gt;Standings!$Q$27,"",SUM(OFFSET(U187,(-$D187+1),0,1,1):U187))</f>
        <v>3</v>
      </c>
      <c r="AA187" s="172">
        <f ca="1">IF($D187&gt;Standings!$Q$27,"",IF(U187=1,1+AA186,0))</f>
        <v>0</v>
      </c>
      <c r="AB187" s="250">
        <f ca="1">IF($D187&gt;Standings!$Q$27,"",IF(AA187=0,1+AB186,0))</f>
        <v>1</v>
      </c>
      <c r="AC187" s="253">
        <f ca="1">IF($D187&gt;Standings!$Q$27,"",SUM(OFFSET(J187,(-$D187+1),0,1,1):J187))</f>
        <v>471.69</v>
      </c>
      <c r="AD187" s="248">
        <f ca="1">IF($D187&gt;Standings!$Q$27,"",SUM(OFFSET(K187,(-$D187+1),0,1,1):K187))</f>
        <v>394.47</v>
      </c>
      <c r="AE187" s="248">
        <f ca="1">IF($D187&gt;Standings!$Q$27,"",$J187-$K187)</f>
        <v>-2.1500000000000057</v>
      </c>
      <c r="AF187" s="248">
        <f ca="1">IF($D187&gt;Standings!$Q$27,"",AC187-AD187)</f>
        <v>77.21999999999997</v>
      </c>
      <c r="AG187" s="234">
        <f ca="1">IF($D187&gt;Standings!$Q$27,"",(COUNTIFS($D$2:$D$225,$D187,$C$2:$C$225,$C187,$AC$2:$AC$225,"&lt;"&amp;$AC187)+1)*0.01)</f>
        <v>0.06</v>
      </c>
      <c r="AH187" s="234">
        <f ca="1">IF($D187&gt;Standings!$Q$27,"",Z187+AG187)</f>
        <v>3.06</v>
      </c>
      <c r="AI187" s="234"/>
      <c r="AJ187" s="172">
        <f t="array" aca="1" ref="AJ187" ca="1">IF($D187&gt;Standings!$Q$27,"",(COUNTIFS($D$2:$D$225,$D187,$C$2:$C$225,$C187,$AM$2:$AM$225,"&gt;"&amp;$AM187)+1))</f>
        <v>2</v>
      </c>
      <c r="AK187" s="172">
        <f t="array" aca="1" ref="AK187" ca="1">IF($D187&gt;Standings!$Q$27,"",IF((COUNTIFS($D$2:$D$225,$D187,$C$2:$C$225,$C187,$AH$2:$AH$225,"&gt;"&amp;$AH187)+1)=2,1,0))</f>
        <v>1</v>
      </c>
      <c r="AL187" s="172">
        <f t="array" aca="1" ref="AL187" ca="1">IF($D187&gt;Standings!$Q$27,"",IF((COUNTIFS($D$2:$D$225,$D187,$C$2:$C$225,$C187,$AH$2:$AH$225,"&gt;"&amp;$AH187)+1)&lt;2,1,0))</f>
        <v>0</v>
      </c>
      <c r="AM187" s="172">
        <f ca="1">IF($D187&gt;Standings!$Q$27,"",IF(AL187=1,200+Z187+(16-AQ187)*0.01+AI187,IF(AK187=1,100+Z187+(16-AQ187)*0.01+AI187,IF(AN187=1,50+Z187+(16-AQ187)*0.01,IF(AO187=1,15+Z187+(16-AQ187)*0.01,Z187+(16-AQ187)*0.01+AI187)))))</f>
        <v>103.12</v>
      </c>
      <c r="AN187" s="172" t="str">
        <f ca="1">IF($D187&gt;Standings!$Q$27,"",IF(OR($AK187=1,$AL187=1),"Conf Playoff Spot",COUNTIFS($AL$2:$AL$225,0,$AK$2:$AK$225,0,$C$2:$C$225,$C187,$D$2:$D$225,$D187,$AC$2:$AC$225,"&gt;"&amp;$AC187)+1))</f>
        <v>Conf Playoff Spot</v>
      </c>
      <c r="AO187" s="172" t="str">
        <f t="array" aca="1" ref="AO187" ca="1">IF($D187&gt;Standings!$Q$27,"",IF(OR($AK187=1,$AL187=1),"Conf Playoff Spot",COUNTIFS($AK$2:$AK$225,0,$AL$2:$AL$225,0,$D$2:$D$225,$D187,$AH$2:$AH$225,"&gt;"&amp;$AH187)+1))</f>
        <v>Conf Playoff Spot</v>
      </c>
      <c r="AP187" s="172">
        <f t="array" aca="1" ref="AP187" ca="1">IF($D187&gt;Standings!$Q$27,"",(COUNTIFS($D$2:$D$225,$D187,$J$2:$J$225,"&gt;"&amp;$J187)+1))</f>
        <v>9</v>
      </c>
      <c r="AQ187" s="172">
        <f ca="1">IF($D187&gt;Standings!$Q$27,"",(COUNTIFS($D$2:$D$225,$D187,$AC$2:$AC$225,"&gt;"&amp;$AC187)+1))</f>
        <v>4</v>
      </c>
      <c r="AR187" s="172">
        <f ca="1">IF($D187&gt;Standings!$Q$27,"",(COUNTIFS($D$2:$D$225,$D187,$K$2:$K$225,"&gt;"&amp;$K187)+1))</f>
        <v>7</v>
      </c>
      <c r="AS187" s="172">
        <f ca="1">IF($D187&gt;Standings!$Q$27,"",(COUNTIFS($D$2:$D$225,$D187,$AD$2:$AD$225,"&gt;"&amp;$AD187)+1))</f>
        <v>14</v>
      </c>
      <c r="AT187" s="354">
        <f ca="1">IF($D187&gt;Standings!$Q$27,"",SUMIFS($J$2:$J$225,$D$2:$D$225,$D187,$C$2:$C$225,$C187))</f>
        <v>827.84</v>
      </c>
      <c r="AU187" s="253">
        <f ca="1">IF($D187&gt;Standings!$Q$27,"",SUMIFS($AC$2:$AC$225,$D$2:$D$225,$D187,$C$2:$C$225,$C187))</f>
        <v>3469.52</v>
      </c>
    </row>
    <row r="188" spans="1:47">
      <c r="A188" s="190">
        <f t="shared" si="2"/>
        <v>77</v>
      </c>
      <c r="B188" s="5" t="str">
        <f>'ESPN Data'!$L$17</f>
        <v>Team 14</v>
      </c>
      <c r="C188" s="350" t="str">
        <f>VLOOKUP(B188,'ESPN Data'!$L$4:$M$19,2,FALSE)</f>
        <v>Wardo</v>
      </c>
      <c r="D188" s="400">
        <v>5</v>
      </c>
      <c r="E188" s="267" t="str">
        <f t="array" ref="E188">INDEX('ESPN Data'!$C$3:$C$226,MATCH(1,('ESPN Data'!$A$3:$A$226='Point Data'!$D188)*('ESPN Data'!$B$3:$B$226='Point Data'!$B188),0))</f>
        <v>Team 5</v>
      </c>
      <c r="F188" s="250" t="str">
        <f>IF(C188&lt;&gt;VLOOKUP($E188,'ESPN Data'!$L$4:$M$19,2,FALSE),"Non Conf", "Conf")</f>
        <v>Non Conf</v>
      </c>
      <c r="G188" s="246">
        <f t="array" aca="1" ref="G188" ca="1">IF('Point Data'!$D188&gt;Standings!$Q$27,"",(COUNTIFS($D$2:$D$225,$D188,$AM$2:$AM$225,"&gt;"&amp;$AM188)+1))</f>
        <v>4</v>
      </c>
      <c r="H188" s="172">
        <f ca="1">IF('Point Data'!$D188&gt;Standings!$Q$27,"",$G187)</f>
        <v>3</v>
      </c>
      <c r="I188" s="249">
        <f ca="1">IF('Point Data'!D188&gt;Standings!$Q$27,"",H188-G188)</f>
        <v>-1</v>
      </c>
      <c r="J188" s="172">
        <f ca="1">IF('Point Data'!D188&gt;Standings!$Q$27,"",OFFSET('ESPN Data'!D$3,$A188,0,1,1))</f>
        <v>99.27</v>
      </c>
      <c r="K188" s="248">
        <f ca="1">IF('Point Data'!D188&gt;Standings!$Q$27,"",OFFSET('ESPN Data'!E$3,$A188,0,1,1))</f>
        <v>105.79</v>
      </c>
      <c r="L188" s="249">
        <f ca="1">IF('Point Data'!D188&gt;Standings!$Q$27,"",OFFSET('ESPN Data'!I$3,$A188,0,1,1))</f>
        <v>95</v>
      </c>
      <c r="M188" s="249">
        <f ca="1">IF('Point Data'!D188&gt;Standings!$Q$27,"",OFFSET('ESPN Data'!I$3,$A188,-2,1,1))</f>
        <v>0</v>
      </c>
      <c r="N188" s="249">
        <f ca="1">IF('Point Data'!D188&gt;Standings!$Q$27,"",SUMIFS($M$2:$M$225,$D$2:$D$225,D188,$C$2:$C$225,C188))</f>
        <v>39</v>
      </c>
      <c r="O188" s="249">
        <f ca="1">IF('Point Data'!D188&gt;Standings!$Q$27,"",SUMIFS($L$2:$L$225,$D$2:$D$225,$D188,$C$2:$C$225,$C188))</f>
        <v>537</v>
      </c>
      <c r="P188" s="249">
        <f ca="1">IF('Point Data'!D188&gt;Standings!$Q$27,"",SUMIFS($M$2:$M$225,$D$2:$D$225,D188))</f>
        <v>104</v>
      </c>
      <c r="Q188" s="249">
        <f ca="1">IF('Point Data'!D188&gt;Standings!$Q$27,"",SUMIFS($L$2:$L$225,$D$2:$D$225,D188))</f>
        <v>1039</v>
      </c>
      <c r="R188" s="249">
        <f ca="1">IF($D188&gt;Standings!$Q$27,"",IF(U188="T",(Z188+0.5)/(D188)*100,(Z188/D188)*100))</f>
        <v>60</v>
      </c>
      <c r="S188" s="248">
        <f ca="1">IF($D188&gt;Standings!$Q$27,"",$J188-$K188)</f>
        <v>-6.5200000000000102</v>
      </c>
      <c r="T188" s="248">
        <f ca="1">IF($D188&gt;Standings!$Q$27,"",AVERAGE(OFFSET(S188,(-$D188+1),0,1,1):S188))</f>
        <v>14.139999999999997</v>
      </c>
      <c r="U188" s="172">
        <f ca="1">IF($D188&gt;Standings!$Q$27,"",IF(J188&gt;K188,1,IF(J188=K188,"T",0)))</f>
        <v>0</v>
      </c>
      <c r="V188" s="172">
        <f ca="1">IF($D188&gt;Standings!$Q$27,"",IF(F188="Conf",V187,SUMIFS($U$2:$U$225,$D$2:$D$225,"&lt;="&amp;$D188,$B$2:$B$225,$B188,$F$2:$F$225,"Non Conf")))</f>
        <v>1</v>
      </c>
      <c r="W188" s="172" t="str">
        <f ca="1">IF($D188&gt;Standings!$Q$27,"",$V188&amp;"-"&amp;COUNTIF(OFFSET($F188,(-$D188+1),0,1,1):$F188,"Non Conf")-$V188)</f>
        <v>1-1</v>
      </c>
      <c r="X188" s="172">
        <f ca="1">IF($D188&gt;Standings!$Q$27,"",SUMIFS($U$2:$U$225,$D$2:$D$225,"&lt;="&amp;$D188,$B$2:$B$225,$B188,$F$2:$F$225,"Conf"))</f>
        <v>2</v>
      </c>
      <c r="Y188" s="172" t="str">
        <f ca="1">IF($D188&gt;Standings!$Q$27,"",$X188&amp;"-"&amp;COUNTIF(OFFSET($F188,(-$D188+1),0,1,1):$F188,"Conf")-$X188)</f>
        <v>2-1</v>
      </c>
      <c r="Z188" s="172">
        <f ca="1">IF($D188&gt;Standings!$Q$27,"",SUM(OFFSET(U188,(-$D188+1),0,1,1):U188))</f>
        <v>3</v>
      </c>
      <c r="AA188" s="172">
        <f ca="1">IF($D188&gt;Standings!$Q$27,"",IF(U188=1,1+AA187,0))</f>
        <v>0</v>
      </c>
      <c r="AB188" s="250">
        <f ca="1">IF($D188&gt;Standings!$Q$27,"",IF(AA188=0,1+AB187,0))</f>
        <v>2</v>
      </c>
      <c r="AC188" s="253">
        <f ca="1">IF($D188&gt;Standings!$Q$27,"",SUM(OFFSET(J188,(-$D188+1),0,1,1):J188))</f>
        <v>570.96</v>
      </c>
      <c r="AD188" s="248">
        <f ca="1">IF($D188&gt;Standings!$Q$27,"",SUM(OFFSET(K188,(-$D188+1),0,1,1):K188))</f>
        <v>500.26000000000005</v>
      </c>
      <c r="AE188" s="248">
        <f ca="1">IF($D188&gt;Standings!$Q$27,"",$J188-$K188)</f>
        <v>-6.5200000000000102</v>
      </c>
      <c r="AF188" s="248">
        <f ca="1">IF($D188&gt;Standings!$Q$27,"",AC188-AD188)</f>
        <v>70.699999999999989</v>
      </c>
      <c r="AG188" s="234">
        <f ca="1">IF($D188&gt;Standings!$Q$27,"",(COUNTIFS($D$2:$D$225,$D188,$C$2:$C$225,$C188,$AC$2:$AC$225,"&lt;"&amp;$AC188)+1)*0.01)</f>
        <v>0.06</v>
      </c>
      <c r="AH188" s="234">
        <f ca="1">IF($D188&gt;Standings!$Q$27,"",Z188+AG188)</f>
        <v>3.06</v>
      </c>
      <c r="AI188" s="234"/>
      <c r="AJ188" s="172">
        <f t="array" aca="1" ref="AJ188" ca="1">IF($D188&gt;Standings!$Q$27,"",(COUNTIFS($D$2:$D$225,$D188,$C$2:$C$225,$C188,$AM$2:$AM$225,"&gt;"&amp;$AM188)+1))</f>
        <v>2</v>
      </c>
      <c r="AK188" s="172">
        <f t="array" aca="1" ref="AK188" ca="1">IF($D188&gt;Standings!$Q$27,"",IF((COUNTIFS($D$2:$D$225,$D188,$C$2:$C$225,$C188,$AH$2:$AH$225,"&gt;"&amp;$AH188)+1)=2,1,0))</f>
        <v>1</v>
      </c>
      <c r="AL188" s="172">
        <f t="array" aca="1" ref="AL188" ca="1">IF($D188&gt;Standings!$Q$27,"",IF((COUNTIFS($D$2:$D$225,$D188,$C$2:$C$225,$C188,$AH$2:$AH$225,"&gt;"&amp;$AH188)+1)&lt;2,1,0))</f>
        <v>0</v>
      </c>
      <c r="AM188" s="172">
        <f ca="1">IF($D188&gt;Standings!$Q$27,"",IF(AL188=1,200+Z188+(16-AQ188)*0.01+AI188,IF(AK188=1,100+Z188+(16-AQ188)*0.01+AI188,IF(AN188=1,50+Z188+(16-AQ188)*0.01,IF(AO188=1,15+Z188+(16-AQ188)*0.01,Z188+(16-AQ188)*0.01+AI188)))))</f>
        <v>103.12</v>
      </c>
      <c r="AN188" s="172" t="str">
        <f ca="1">IF($D188&gt;Standings!$Q$27,"",IF(OR($AK188=1,$AL188=1),"Conf Playoff Spot",COUNTIFS($AL$2:$AL$225,0,$AK$2:$AK$225,0,$C$2:$C$225,$C188,$D$2:$D$225,$D188,$AC$2:$AC$225,"&gt;"&amp;$AC188)+1))</f>
        <v>Conf Playoff Spot</v>
      </c>
      <c r="AO188" s="172" t="str">
        <f t="array" aca="1" ref="AO188" ca="1">IF($D188&gt;Standings!$Q$27,"",IF(OR($AK188=1,$AL188=1),"Conf Playoff Spot",COUNTIFS($AK$2:$AK$225,0,$AL$2:$AL$225,0,$D$2:$D$225,$D188,$AH$2:$AH$225,"&gt;"&amp;$AH188)+1))</f>
        <v>Conf Playoff Spot</v>
      </c>
      <c r="AP188" s="172">
        <f t="array" aca="1" ref="AP188" ca="1">IF($D188&gt;Standings!$Q$27,"",(COUNTIFS($D$2:$D$225,$D188,$J$2:$J$225,"&gt;"&amp;$J188)+1))</f>
        <v>10</v>
      </c>
      <c r="AQ188" s="172">
        <f ca="1">IF($D188&gt;Standings!$Q$27,"",(COUNTIFS($D$2:$D$225,$D188,$AC$2:$AC$225,"&gt;"&amp;$AC188)+1))</f>
        <v>4</v>
      </c>
      <c r="AR188" s="172">
        <f ca="1">IF($D188&gt;Standings!$Q$27,"",(COUNTIFS($D$2:$D$225,$D188,$K$2:$K$225,"&gt;"&amp;$K188)+1))</f>
        <v>7</v>
      </c>
      <c r="AS188" s="172">
        <f ca="1">IF($D188&gt;Standings!$Q$27,"",(COUNTIFS($D$2:$D$225,$D188,$AD$2:$AD$225,"&gt;"&amp;$AD188)+1))</f>
        <v>15</v>
      </c>
      <c r="AT188" s="354">
        <f ca="1">IF($D188&gt;Standings!$Q$27,"",SUMIFS($J$2:$J$225,$D$2:$D$225,$D188,$C$2:$C$225,$C188))</f>
        <v>855.19</v>
      </c>
      <c r="AU188" s="253">
        <f ca="1">IF($D188&gt;Standings!$Q$27,"",SUMIFS($AC$2:$AC$225,$D$2:$D$225,$D188,$C$2:$C$225,$C188))</f>
        <v>4324.71</v>
      </c>
    </row>
    <row r="189" spans="1:47">
      <c r="A189" s="190">
        <f t="shared" si="2"/>
        <v>93</v>
      </c>
      <c r="B189" s="5" t="str">
        <f>'ESPN Data'!$L$17</f>
        <v>Team 14</v>
      </c>
      <c r="C189" s="350" t="str">
        <f>VLOOKUP(B189,'ESPN Data'!$L$4:$M$19,2,FALSE)</f>
        <v>Wardo</v>
      </c>
      <c r="D189" s="400">
        <v>6</v>
      </c>
      <c r="E189" s="267" t="str">
        <f t="array" ref="E189">INDEX('ESPN Data'!$C$3:$C$226,MATCH(1,('ESPN Data'!$A$3:$A$226='Point Data'!$D189)*('ESPN Data'!$B$3:$B$226='Point Data'!$B189),0))</f>
        <v>Team 12</v>
      </c>
      <c r="F189" s="250" t="str">
        <f>IF(C189&lt;&gt;VLOOKUP($E189,'ESPN Data'!$L$4:$M$19,2,FALSE),"Non Conf", "Conf")</f>
        <v>Conf</v>
      </c>
      <c r="G189" s="246">
        <f t="array" aca="1" ref="G189" ca="1">IF('Point Data'!$D189&gt;Standings!$Q$27,"",(COUNTIFS($D$2:$D$225,$D189,$AM$2:$AM$225,"&gt;"&amp;$AM189)+1))</f>
        <v>10</v>
      </c>
      <c r="H189" s="172">
        <f ca="1">IF('Point Data'!$D189&gt;Standings!$Q$27,"",$G188)</f>
        <v>4</v>
      </c>
      <c r="I189" s="249">
        <f ca="1">IF('Point Data'!D189&gt;Standings!$Q$27,"",H189-G189)</f>
        <v>-6</v>
      </c>
      <c r="J189" s="172">
        <f ca="1">IF('Point Data'!D189&gt;Standings!$Q$27,"",OFFSET('ESPN Data'!D$3,$A189,0,1,1))</f>
        <v>68.94</v>
      </c>
      <c r="K189" s="248">
        <f ca="1">IF('Point Data'!D189&gt;Standings!$Q$27,"",OFFSET('ESPN Data'!E$3,$A189,0,1,1))</f>
        <v>84.33</v>
      </c>
      <c r="L189" s="249">
        <f ca="1">IF('Point Data'!D189&gt;Standings!$Q$27,"",OFFSET('ESPN Data'!I$3,$A189,0,1,1))</f>
        <v>95</v>
      </c>
      <c r="M189" s="249">
        <f ca="1">IF('Point Data'!D189&gt;Standings!$Q$27,"",OFFSET('ESPN Data'!I$3,$A189,-2,1,1))</f>
        <v>0</v>
      </c>
      <c r="N189" s="249">
        <f ca="1">IF('Point Data'!D189&gt;Standings!$Q$27,"",SUMIFS($M$2:$M$225,$D$2:$D$225,D189,$C$2:$C$225,C189))</f>
        <v>67</v>
      </c>
      <c r="O189" s="249">
        <f ca="1">IF('Point Data'!D189&gt;Standings!$Q$27,"",SUMIFS($L$2:$L$225,$D$2:$D$225,$D189,$C$2:$C$225,$C189))</f>
        <v>470</v>
      </c>
      <c r="P189" s="249">
        <f ca="1">IF('Point Data'!D189&gt;Standings!$Q$27,"",SUMIFS($M$2:$M$225,$D$2:$D$225,D189))</f>
        <v>183</v>
      </c>
      <c r="Q189" s="249">
        <f ca="1">IF('Point Data'!D189&gt;Standings!$Q$27,"",SUMIFS($L$2:$L$225,$D$2:$D$225,D189))</f>
        <v>856</v>
      </c>
      <c r="R189" s="249">
        <f ca="1">IF($D189&gt;Standings!$Q$27,"",IF(U189="T",(Z189+0.5)/(D189)*100,(Z189/D189)*100))</f>
        <v>50</v>
      </c>
      <c r="S189" s="248">
        <f ca="1">IF($D189&gt;Standings!$Q$27,"",$J189-$K189)</f>
        <v>-15.39</v>
      </c>
      <c r="T189" s="248">
        <f ca="1">IF($D189&gt;Standings!$Q$27,"",AVERAGE(OFFSET(S189,(-$D189+1),0,1,1):S189))</f>
        <v>9.2183333333333319</v>
      </c>
      <c r="U189" s="172">
        <f ca="1">IF($D189&gt;Standings!$Q$27,"",IF(J189&gt;K189,1,IF(J189=K189,"T",0)))</f>
        <v>0</v>
      </c>
      <c r="V189" s="172">
        <f ca="1">IF($D189&gt;Standings!$Q$27,"",IF(F189="Conf",V188,SUMIFS($U$2:$U$225,$D$2:$D$225,"&lt;="&amp;$D189,$B$2:$B$225,$B189,$F$2:$F$225,"Non Conf")))</f>
        <v>1</v>
      </c>
      <c r="W189" s="172" t="str">
        <f ca="1">IF($D189&gt;Standings!$Q$27,"",$V189&amp;"-"&amp;COUNTIF(OFFSET($F189,(-$D189+1),0,1,1):$F189,"Non Conf")-$V189)</f>
        <v>1-1</v>
      </c>
      <c r="X189" s="172">
        <f ca="1">IF($D189&gt;Standings!$Q$27,"",SUMIFS($U$2:$U$225,$D$2:$D$225,"&lt;="&amp;$D189,$B$2:$B$225,$B189,$F$2:$F$225,"Conf"))</f>
        <v>2</v>
      </c>
      <c r="Y189" s="172" t="str">
        <f ca="1">IF($D189&gt;Standings!$Q$27,"",$X189&amp;"-"&amp;COUNTIF(OFFSET($F189,(-$D189+1),0,1,1):$F189,"Conf")-$X189)</f>
        <v>2-2</v>
      </c>
      <c r="Z189" s="172">
        <f ca="1">IF($D189&gt;Standings!$Q$27,"",SUM(OFFSET(U189,(-$D189+1),0,1,1):U189))</f>
        <v>3</v>
      </c>
      <c r="AA189" s="172">
        <f ca="1">IF($D189&gt;Standings!$Q$27,"",IF(U189=1,1+AA188,0))</f>
        <v>0</v>
      </c>
      <c r="AB189" s="250">
        <f ca="1">IF($D189&gt;Standings!$Q$27,"",IF(AA189=0,1+AB188,0))</f>
        <v>3</v>
      </c>
      <c r="AC189" s="253">
        <f ca="1">IF($D189&gt;Standings!$Q$27,"",SUM(OFFSET(J189,(-$D189+1),0,1,1):J189))</f>
        <v>639.90000000000009</v>
      </c>
      <c r="AD189" s="248">
        <f ca="1">IF($D189&gt;Standings!$Q$27,"",SUM(OFFSET(K189,(-$D189+1),0,1,1):K189))</f>
        <v>584.59</v>
      </c>
      <c r="AE189" s="248">
        <f ca="1">IF($D189&gt;Standings!$Q$27,"",$J189-$K189)</f>
        <v>-15.39</v>
      </c>
      <c r="AF189" s="248">
        <f ca="1">IF($D189&gt;Standings!$Q$27,"",AC189-AD189)</f>
        <v>55.310000000000059</v>
      </c>
      <c r="AG189" s="234">
        <f ca="1">IF($D189&gt;Standings!$Q$27,"",(COUNTIFS($D$2:$D$225,$D189,$C$2:$C$225,$C189,$AC$2:$AC$225,"&lt;"&amp;$AC189)+1)*0.01)</f>
        <v>0.05</v>
      </c>
      <c r="AH189" s="234">
        <f ca="1">IF($D189&gt;Standings!$Q$27,"",Z189+AG189)</f>
        <v>3.05</v>
      </c>
      <c r="AI189" s="234"/>
      <c r="AJ189" s="172">
        <f t="array" aca="1" ref="AJ189" ca="1">IF($D189&gt;Standings!$Q$27,"",(COUNTIFS($D$2:$D$225,$D189,$C$2:$C$225,$C189,$AM$2:$AM$225,"&gt;"&amp;$AM189)+1))</f>
        <v>5</v>
      </c>
      <c r="AK189" s="172">
        <f t="array" aca="1" ref="AK189" ca="1">IF($D189&gt;Standings!$Q$27,"",IF((COUNTIFS($D$2:$D$225,$D189,$C$2:$C$225,$C189,$AH$2:$AH$225,"&gt;"&amp;$AH189)+1)=2,1,0))</f>
        <v>0</v>
      </c>
      <c r="AL189" s="172">
        <f t="array" aca="1" ref="AL189" ca="1">IF($D189&gt;Standings!$Q$27,"",IF((COUNTIFS($D$2:$D$225,$D189,$C$2:$C$225,$C189,$AH$2:$AH$225,"&gt;"&amp;$AH189)+1)&lt;2,1,0))</f>
        <v>0</v>
      </c>
      <c r="AM189" s="172">
        <f ca="1">IF($D189&gt;Standings!$Q$27,"",IF(AL189=1,200+Z189+(16-AQ189)*0.01+AI189,IF(AK189=1,100+Z189+(16-AQ189)*0.01+AI189,IF(AN189=1,50+Z189+(16-AQ189)*0.01,IF(AO189=1,15+Z189+(16-AQ189)*0.01,Z189+(16-AQ189)*0.01+AI189)))))</f>
        <v>3.08</v>
      </c>
      <c r="AN189" s="172">
        <f ca="1">IF($D189&gt;Standings!$Q$27,"",IF(OR($AK189=1,$AL189=1),"Conf Playoff Spot",COUNTIFS($AL$2:$AL$225,0,$AK$2:$AK$225,0,$C$2:$C$225,$C189,$D$2:$D$225,$D189,$AC$2:$AC$225,"&gt;"&amp;$AC189)+1))</f>
        <v>3</v>
      </c>
      <c r="AO189" s="172">
        <f t="array" aca="1" ref="AO189" ca="1">IF($D189&gt;Standings!$Q$27,"",IF(OR($AK189=1,$AL189=1),"Conf Playoff Spot",COUNTIFS($AK$2:$AK$225,0,$AL$2:$AL$225,0,$D$2:$D$225,$D189,$AH$2:$AH$225,"&gt;"&amp;$AH189)+1))</f>
        <v>5</v>
      </c>
      <c r="AP189" s="172">
        <f t="array" aca="1" ref="AP189" ca="1">IF($D189&gt;Standings!$Q$27,"",(COUNTIFS($D$2:$D$225,$D189,$J$2:$J$225,"&gt;"&amp;$J189)+1))</f>
        <v>15</v>
      </c>
      <c r="AQ189" s="172">
        <f ca="1">IF($D189&gt;Standings!$Q$27,"",(COUNTIFS($D$2:$D$225,$D189,$AC$2:$AC$225,"&gt;"&amp;$AC189)+1))</f>
        <v>8</v>
      </c>
      <c r="AR189" s="172">
        <f ca="1">IF($D189&gt;Standings!$Q$27,"",(COUNTIFS($D$2:$D$225,$D189,$K$2:$K$225,"&gt;"&amp;$K189)+1))</f>
        <v>12</v>
      </c>
      <c r="AS189" s="172">
        <f ca="1">IF($D189&gt;Standings!$Q$27,"",(COUNTIFS($D$2:$D$225,$D189,$AD$2:$AD$225,"&gt;"&amp;$AD189)+1))</f>
        <v>15</v>
      </c>
      <c r="AT189" s="354">
        <f ca="1">IF($D189&gt;Standings!$Q$27,"",SUMIFS($J$2:$J$225,$D$2:$D$225,$D189,$C$2:$C$225,$C189))</f>
        <v>768.68000000000006</v>
      </c>
      <c r="AU189" s="253">
        <f ca="1">IF($D189&gt;Standings!$Q$27,"",SUMIFS($AC$2:$AC$225,$D$2:$D$225,$D189,$C$2:$C$225,$C189))</f>
        <v>5093.3900000000003</v>
      </c>
    </row>
    <row r="190" spans="1:47">
      <c r="A190" s="190">
        <f t="shared" si="2"/>
        <v>109</v>
      </c>
      <c r="B190" s="5" t="str">
        <f>'ESPN Data'!$L$17</f>
        <v>Team 14</v>
      </c>
      <c r="C190" s="350" t="str">
        <f>VLOOKUP(B190,'ESPN Data'!$L$4:$M$19,2,FALSE)</f>
        <v>Wardo</v>
      </c>
      <c r="D190" s="400">
        <v>7</v>
      </c>
      <c r="E190" s="267" t="str">
        <f t="array" ref="E190">INDEX('ESPN Data'!$C$3:$C$226,MATCH(1,('ESPN Data'!$A$3:$A$226='Point Data'!$D190)*('ESPN Data'!$B$3:$B$226='Point Data'!$B190),0))</f>
        <v>Team 4</v>
      </c>
      <c r="F190" s="250" t="str">
        <f>IF(C190&lt;&gt;VLOOKUP($E190,'ESPN Data'!$L$4:$M$19,2,FALSE),"Non Conf", "Conf")</f>
        <v>Non Conf</v>
      </c>
      <c r="G190" s="246">
        <f t="array" aca="1" ref="G190" ca="1">IF('Point Data'!$D190&gt;Standings!$Q$27,"",(COUNTIFS($D$2:$D$225,$D190,$AM$2:$AM$225,"&gt;"&amp;$AM190)+1))</f>
        <v>10</v>
      </c>
      <c r="H190" s="172">
        <f ca="1">IF('Point Data'!$D190&gt;Standings!$Q$27,"",$G189)</f>
        <v>10</v>
      </c>
      <c r="I190" s="249">
        <f ca="1">IF('Point Data'!D190&gt;Standings!$Q$27,"",H190-G190)</f>
        <v>0</v>
      </c>
      <c r="J190" s="172">
        <f ca="1">IF('Point Data'!D190&gt;Standings!$Q$27,"",OFFSET('ESPN Data'!D$3,$A190,0,1,1))</f>
        <v>90.17</v>
      </c>
      <c r="K190" s="248">
        <f ca="1">IF('Point Data'!D190&gt;Standings!$Q$27,"",OFFSET('ESPN Data'!E$3,$A190,0,1,1))</f>
        <v>123.84</v>
      </c>
      <c r="L190" s="249">
        <f ca="1">IF('Point Data'!D190&gt;Standings!$Q$27,"",OFFSET('ESPN Data'!I$3,$A190,0,1,1))</f>
        <v>95</v>
      </c>
      <c r="M190" s="249">
        <f ca="1">IF('Point Data'!D190&gt;Standings!$Q$27,"",OFFSET('ESPN Data'!I$3,$A190,-2,1,1))</f>
        <v>0</v>
      </c>
      <c r="N190" s="249">
        <f ca="1">IF('Point Data'!D190&gt;Standings!$Q$27,"",SUMIFS($M$2:$M$225,$D$2:$D$225,D190,$C$2:$C$225,C190))</f>
        <v>140</v>
      </c>
      <c r="O190" s="249">
        <f ca="1">IF('Point Data'!D190&gt;Standings!$Q$27,"",SUMIFS($L$2:$L$225,$D$2:$D$225,$D190,$C$2:$C$225,$C190))</f>
        <v>330</v>
      </c>
      <c r="P190" s="249">
        <f ca="1">IF('Point Data'!D190&gt;Standings!$Q$27,"",SUMIFS($M$2:$M$225,$D$2:$D$225,D190))</f>
        <v>168</v>
      </c>
      <c r="Q190" s="249">
        <f ca="1">IF('Point Data'!D190&gt;Standings!$Q$27,"",SUMIFS($L$2:$L$225,$D$2:$D$225,D190))</f>
        <v>688</v>
      </c>
      <c r="R190" s="249">
        <f ca="1">IF($D190&gt;Standings!$Q$27,"",IF(U190="T",(Z190+0.5)/(D190)*100,(Z190/D190)*100))</f>
        <v>42.857142857142854</v>
      </c>
      <c r="S190" s="248">
        <f ca="1">IF($D190&gt;Standings!$Q$27,"",$J190-$K190)</f>
        <v>-33.67</v>
      </c>
      <c r="T190" s="248">
        <f ca="1">IF($D190&gt;Standings!$Q$27,"",AVERAGE(OFFSET(S190,(-$D190+1),0,1,1):S190))</f>
        <v>3.0914285714285694</v>
      </c>
      <c r="U190" s="172">
        <f ca="1">IF($D190&gt;Standings!$Q$27,"",IF(J190&gt;K190,1,IF(J190=K190,"T",0)))</f>
        <v>0</v>
      </c>
      <c r="V190" s="172">
        <f ca="1">IF($D190&gt;Standings!$Q$27,"",IF(F190="Conf",V189,SUMIFS($U$2:$U$225,$D$2:$D$225,"&lt;="&amp;$D190,$B$2:$B$225,$B190,$F$2:$F$225,"Non Conf")))</f>
        <v>1</v>
      </c>
      <c r="W190" s="172" t="str">
        <f ca="1">IF($D190&gt;Standings!$Q$27,"",$V190&amp;"-"&amp;COUNTIF(OFFSET($F190,(-$D190+1),0,1,1):$F190,"Non Conf")-$V190)</f>
        <v>1-2</v>
      </c>
      <c r="X190" s="172">
        <f ca="1">IF($D190&gt;Standings!$Q$27,"",SUMIFS($U$2:$U$225,$D$2:$D$225,"&lt;="&amp;$D190,$B$2:$B$225,$B190,$F$2:$F$225,"Conf"))</f>
        <v>2</v>
      </c>
      <c r="Y190" s="172" t="str">
        <f ca="1">IF($D190&gt;Standings!$Q$27,"",$X190&amp;"-"&amp;COUNTIF(OFFSET($F190,(-$D190+1),0,1,1):$F190,"Conf")-$X190)</f>
        <v>2-2</v>
      </c>
      <c r="Z190" s="172">
        <f ca="1">IF($D190&gt;Standings!$Q$27,"",SUM(OFFSET(U190,(-$D190+1),0,1,1):U190))</f>
        <v>3</v>
      </c>
      <c r="AA190" s="172">
        <f ca="1">IF($D190&gt;Standings!$Q$27,"",IF(U190=1,1+AA189,0))</f>
        <v>0</v>
      </c>
      <c r="AB190" s="250">
        <f ca="1">IF($D190&gt;Standings!$Q$27,"",IF(AA190=0,1+AB189,0))</f>
        <v>4</v>
      </c>
      <c r="AC190" s="253">
        <f ca="1">IF($D190&gt;Standings!$Q$27,"",SUM(OFFSET(J190,(-$D190+1),0,1,1):J190))</f>
        <v>730.07</v>
      </c>
      <c r="AD190" s="248">
        <f ca="1">IF($D190&gt;Standings!$Q$27,"",SUM(OFFSET(K190,(-$D190+1),0,1,1):K190))</f>
        <v>708.43000000000006</v>
      </c>
      <c r="AE190" s="248">
        <f ca="1">IF($D190&gt;Standings!$Q$27,"",$J190-$K190)</f>
        <v>-33.67</v>
      </c>
      <c r="AF190" s="248">
        <f ca="1">IF($D190&gt;Standings!$Q$27,"",AC190-AD190)</f>
        <v>21.639999999999986</v>
      </c>
      <c r="AG190" s="234">
        <f ca="1">IF($D190&gt;Standings!$Q$27,"",(COUNTIFS($D$2:$D$225,$D190,$C$2:$C$225,$C190,$AC$2:$AC$225,"&lt;"&amp;$AC190)+1)*0.01)</f>
        <v>0.05</v>
      </c>
      <c r="AH190" s="234">
        <f ca="1">IF($D190&gt;Standings!$Q$27,"",Z190+AG190)</f>
        <v>3.05</v>
      </c>
      <c r="AI190" s="234"/>
      <c r="AJ190" s="172">
        <f t="array" aca="1" ref="AJ190" ca="1">IF($D190&gt;Standings!$Q$27,"",(COUNTIFS($D$2:$D$225,$D190,$C$2:$C$225,$C190,$AM$2:$AM$225,"&gt;"&amp;$AM190)+1))</f>
        <v>4</v>
      </c>
      <c r="AK190" s="172">
        <f t="array" aca="1" ref="AK190" ca="1">IF($D190&gt;Standings!$Q$27,"",IF((COUNTIFS($D$2:$D$225,$D190,$C$2:$C$225,$C190,$AH$2:$AH$225,"&gt;"&amp;$AH190)+1)=2,1,0))</f>
        <v>0</v>
      </c>
      <c r="AL190" s="172">
        <f t="array" aca="1" ref="AL190" ca="1">IF($D190&gt;Standings!$Q$27,"",IF((COUNTIFS($D$2:$D$225,$D190,$C$2:$C$225,$C190,$AH$2:$AH$225,"&gt;"&amp;$AH190)+1)&lt;2,1,0))</f>
        <v>0</v>
      </c>
      <c r="AM190" s="172">
        <f ca="1">IF($D190&gt;Standings!$Q$27,"",IF(AL190=1,200+Z190+(16-AQ190)*0.01+AI190,IF(AK190=1,100+Z190+(16-AQ190)*0.01+AI190,IF(AN190=1,50+Z190+(16-AQ190)*0.01,IF(AO190=1,15+Z190+(16-AQ190)*0.01,Z190+(16-AQ190)*0.01+AI190)))))</f>
        <v>3.07</v>
      </c>
      <c r="AN190" s="172">
        <f ca="1">IF($D190&gt;Standings!$Q$27,"",IF(OR($AK190=1,$AL190=1),"Conf Playoff Spot",COUNTIFS($AL$2:$AL$225,0,$AK$2:$AK$225,0,$C$2:$C$225,$C190,$D$2:$D$225,$D190,$AC$2:$AC$225,"&gt;"&amp;$AC190)+1))</f>
        <v>2</v>
      </c>
      <c r="AO190" s="172">
        <f t="array" aca="1" ref="AO190" ca="1">IF($D190&gt;Standings!$Q$27,"",IF(OR($AK190=1,$AL190=1),"Conf Playoff Spot",COUNTIFS($AK$2:$AK$225,0,$AL$2:$AL$225,0,$D$2:$D$225,$D190,$AH$2:$AH$225,"&gt;"&amp;$AH190)+1))</f>
        <v>5</v>
      </c>
      <c r="AP190" s="172">
        <f t="array" aca="1" ref="AP190" ca="1">IF($D190&gt;Standings!$Q$27,"",(COUNTIFS($D$2:$D$225,$D190,$J$2:$J$225,"&gt;"&amp;$J190)+1))</f>
        <v>13</v>
      </c>
      <c r="AQ190" s="172">
        <f ca="1">IF($D190&gt;Standings!$Q$27,"",(COUNTIFS($D$2:$D$225,$D190,$AC$2:$AC$225,"&gt;"&amp;$AC190)+1))</f>
        <v>9</v>
      </c>
      <c r="AR190" s="172">
        <f ca="1">IF($D190&gt;Standings!$Q$27,"",(COUNTIFS($D$2:$D$225,$D190,$K$2:$K$225,"&gt;"&amp;$K190)+1))</f>
        <v>3</v>
      </c>
      <c r="AS190" s="172">
        <f ca="1">IF($D190&gt;Standings!$Q$27,"",(COUNTIFS($D$2:$D$225,$D190,$AD$2:$AD$225,"&gt;"&amp;$AD190)+1))</f>
        <v>12</v>
      </c>
      <c r="AT190" s="354">
        <f ca="1">IF($D190&gt;Standings!$Q$27,"",SUMIFS($J$2:$J$225,$D$2:$D$225,$D190,$C$2:$C$225,$C190))</f>
        <v>714.95</v>
      </c>
      <c r="AU190" s="253">
        <f ca="1">IF($D190&gt;Standings!$Q$27,"",SUMIFS($AC$2:$AC$225,$D$2:$D$225,$D190,$C$2:$C$225,$C190))</f>
        <v>5808.34</v>
      </c>
    </row>
    <row r="191" spans="1:47">
      <c r="A191" s="190">
        <f t="shared" si="2"/>
        <v>125</v>
      </c>
      <c r="B191" s="5" t="str">
        <f>'ESPN Data'!$L$17</f>
        <v>Team 14</v>
      </c>
      <c r="C191" s="350" t="str">
        <f>VLOOKUP(B191,'ESPN Data'!$L$4:$M$19,2,FALSE)</f>
        <v>Wardo</v>
      </c>
      <c r="D191" s="400">
        <v>8</v>
      </c>
      <c r="E191" s="267" t="str">
        <f t="array" ref="E191">INDEX('ESPN Data'!$C$3:$C$226,MATCH(1,('ESPN Data'!$A$3:$A$226='Point Data'!$D191)*('ESPN Data'!$B$3:$B$226='Point Data'!$B191),0))</f>
        <v>Team 8</v>
      </c>
      <c r="F191" s="250" t="str">
        <f>IF(C191&lt;&gt;VLOOKUP($E191,'ESPN Data'!$L$4:$M$19,2,FALSE),"Non Conf", "Conf")</f>
        <v>Non Conf</v>
      </c>
      <c r="G191" s="246">
        <f t="array" aca="1" ref="G191" ca="1">IF('Point Data'!$D191&gt;Standings!$Q$27,"",(COUNTIFS($D$2:$D$225,$D191,$AM$2:$AM$225,"&gt;"&amp;$AM191)+1))</f>
        <v>9</v>
      </c>
      <c r="H191" s="172">
        <f ca="1">IF('Point Data'!$D191&gt;Standings!$Q$27,"",$G190)</f>
        <v>10</v>
      </c>
      <c r="I191" s="249">
        <f ca="1">IF('Point Data'!D191&gt;Standings!$Q$27,"",H191-G191)</f>
        <v>1</v>
      </c>
      <c r="J191" s="172">
        <f ca="1">IF('Point Data'!D191&gt;Standings!$Q$27,"",OFFSET('ESPN Data'!D$3,$A191,0,1,1))</f>
        <v>131.43</v>
      </c>
      <c r="K191" s="248">
        <f ca="1">IF('Point Data'!D191&gt;Standings!$Q$27,"",OFFSET('ESPN Data'!E$3,$A191,0,1,1))</f>
        <v>88.93</v>
      </c>
      <c r="L191" s="249">
        <f ca="1">IF('Point Data'!D191&gt;Standings!$Q$27,"",OFFSET('ESPN Data'!I$3,$A191,0,1,1))</f>
        <v>95</v>
      </c>
      <c r="M191" s="249">
        <f ca="1">IF('Point Data'!D191&gt;Standings!$Q$27,"",OFFSET('ESPN Data'!I$3,$A191,-2,1,1))</f>
        <v>0</v>
      </c>
      <c r="N191" s="249">
        <f ca="1">IF('Point Data'!D191&gt;Standings!$Q$27,"",SUMIFS($M$2:$M$225,$D$2:$D$225,D191,$C$2:$C$225,C191))</f>
        <v>62</v>
      </c>
      <c r="O191" s="249">
        <f ca="1">IF('Point Data'!D191&gt;Standings!$Q$27,"",SUMIFS($L$2:$L$225,$D$2:$D$225,$D191,$C$2:$C$225,$C191))</f>
        <v>268</v>
      </c>
      <c r="P191" s="249">
        <f ca="1">IF('Point Data'!D191&gt;Standings!$Q$27,"",SUMIFS($M$2:$M$225,$D$2:$D$225,D191))</f>
        <v>80</v>
      </c>
      <c r="Q191" s="249">
        <f ca="1">IF('Point Data'!D191&gt;Standings!$Q$27,"",SUMIFS($L$2:$L$225,$D$2:$D$225,D191))</f>
        <v>608</v>
      </c>
      <c r="R191" s="249">
        <f ca="1">IF($D191&gt;Standings!$Q$27,"",IF(U191="T",(Z191+0.5)/(D191)*100,(Z191/D191)*100))</f>
        <v>50</v>
      </c>
      <c r="S191" s="248">
        <f ca="1">IF($D191&gt;Standings!$Q$27,"",$J191-$K191)</f>
        <v>42.5</v>
      </c>
      <c r="T191" s="248">
        <f ca="1">IF($D191&gt;Standings!$Q$27,"",AVERAGE(OFFSET(S191,(-$D191+1),0,1,1):S191))</f>
        <v>8.0174999999999983</v>
      </c>
      <c r="U191" s="172">
        <f ca="1">IF($D191&gt;Standings!$Q$27,"",IF(J191&gt;K191,1,IF(J191=K191,"T",0)))</f>
        <v>1</v>
      </c>
      <c r="V191" s="172">
        <f ca="1">IF($D191&gt;Standings!$Q$27,"",IF(F191="Conf",V190,SUMIFS($U$2:$U$225,$D$2:$D$225,"&lt;="&amp;$D191,$B$2:$B$225,$B191,$F$2:$F$225,"Non Conf")))</f>
        <v>2</v>
      </c>
      <c r="W191" s="172" t="str">
        <f ca="1">IF($D191&gt;Standings!$Q$27,"",$V191&amp;"-"&amp;COUNTIF(OFFSET($F191,(-$D191+1),0,1,1):$F191,"Non Conf")-$V191)</f>
        <v>2-2</v>
      </c>
      <c r="X191" s="172">
        <f ca="1">IF($D191&gt;Standings!$Q$27,"",SUMIFS($U$2:$U$225,$D$2:$D$225,"&lt;="&amp;$D191,$B$2:$B$225,$B191,$F$2:$F$225,"Conf"))</f>
        <v>2</v>
      </c>
      <c r="Y191" s="172" t="str">
        <f ca="1">IF($D191&gt;Standings!$Q$27,"",$X191&amp;"-"&amp;COUNTIF(OFFSET($F191,(-$D191+1),0,1,1):$F191,"Conf")-$X191)</f>
        <v>2-2</v>
      </c>
      <c r="Z191" s="172">
        <f ca="1">IF($D191&gt;Standings!$Q$27,"",SUM(OFFSET(U191,(-$D191+1),0,1,1):U191))</f>
        <v>4</v>
      </c>
      <c r="AA191" s="172">
        <f ca="1">IF($D191&gt;Standings!$Q$27,"",IF(U191=1,1+AA190,0))</f>
        <v>1</v>
      </c>
      <c r="AB191" s="250">
        <f ca="1">IF($D191&gt;Standings!$Q$27,"",IF(AA191=0,1+AB190,0))</f>
        <v>0</v>
      </c>
      <c r="AC191" s="253">
        <f ca="1">IF($D191&gt;Standings!$Q$27,"",SUM(OFFSET(J191,(-$D191+1),0,1,1):J191))</f>
        <v>861.5</v>
      </c>
      <c r="AD191" s="248">
        <f ca="1">IF($D191&gt;Standings!$Q$27,"",SUM(OFFSET(K191,(-$D191+1),0,1,1):K191))</f>
        <v>797.36000000000013</v>
      </c>
      <c r="AE191" s="248">
        <f ca="1">IF($D191&gt;Standings!$Q$27,"",$J191-$K191)</f>
        <v>42.5</v>
      </c>
      <c r="AF191" s="248">
        <f ca="1">IF($D191&gt;Standings!$Q$27,"",AC191-AD191)</f>
        <v>64.139999999999873</v>
      </c>
      <c r="AG191" s="234">
        <f ca="1">IF($D191&gt;Standings!$Q$27,"",(COUNTIFS($D$2:$D$225,$D191,$C$2:$C$225,$C191,$AC$2:$AC$225,"&lt;"&amp;$AC191)+1)*0.01)</f>
        <v>0.06</v>
      </c>
      <c r="AH191" s="234">
        <f ca="1">IF($D191&gt;Standings!$Q$27,"",Z191+AG191)</f>
        <v>4.0599999999999996</v>
      </c>
      <c r="AI191" s="234"/>
      <c r="AJ191" s="172">
        <f t="array" aca="1" ref="AJ191" ca="1">IF($D191&gt;Standings!$Q$27,"",(COUNTIFS($D$2:$D$225,$D191,$C$2:$C$225,$C191,$AM$2:$AM$225,"&gt;"&amp;$AM191)+1))</f>
        <v>4</v>
      </c>
      <c r="AK191" s="172">
        <f t="array" aca="1" ref="AK191" ca="1">IF($D191&gt;Standings!$Q$27,"",IF((COUNTIFS($D$2:$D$225,$D191,$C$2:$C$225,$C191,$AH$2:$AH$225,"&gt;"&amp;$AH191)+1)=2,1,0))</f>
        <v>0</v>
      </c>
      <c r="AL191" s="172">
        <f t="array" aca="1" ref="AL191" ca="1">IF($D191&gt;Standings!$Q$27,"",IF((COUNTIFS($D$2:$D$225,$D191,$C$2:$C$225,$C191,$AH$2:$AH$225,"&gt;"&amp;$AH191)+1)&lt;2,1,0))</f>
        <v>0</v>
      </c>
      <c r="AM191" s="172">
        <f ca="1">IF($D191&gt;Standings!$Q$27,"",IF(AL191=1,200+Z191+(16-AQ191)*0.01+AI191,IF(AK191=1,100+Z191+(16-AQ191)*0.01+AI191,IF(AN191=1,50+Z191+(16-AQ191)*0.01,IF(AO191=1,15+Z191+(16-AQ191)*0.01,Z191+(16-AQ191)*0.01+AI191)))))</f>
        <v>4.1100000000000003</v>
      </c>
      <c r="AN191" s="172">
        <f ca="1">IF($D191&gt;Standings!$Q$27,"",IF(OR($AK191=1,$AL191=1),"Conf Playoff Spot",COUNTIFS($AL$2:$AL$225,0,$AK$2:$AK$225,0,$C$2:$C$225,$C191,$D$2:$D$225,$D191,$AC$2:$AC$225,"&gt;"&amp;$AC191)+1))</f>
        <v>2</v>
      </c>
      <c r="AO191" s="172">
        <f t="array" aca="1" ref="AO191" ca="1">IF($D191&gt;Standings!$Q$27,"",IF(OR($AK191=1,$AL191=1),"Conf Playoff Spot",COUNTIFS($AK$2:$AK$225,0,$AL$2:$AL$225,0,$D$2:$D$225,$D191,$AH$2:$AH$225,"&gt;"&amp;$AH191)+1))</f>
        <v>4</v>
      </c>
      <c r="AP191" s="172">
        <f t="array" aca="1" ref="AP191" ca="1">IF($D191&gt;Standings!$Q$27,"",(COUNTIFS($D$2:$D$225,$D191,$J$2:$J$225,"&gt;"&amp;$J191)+1))</f>
        <v>1</v>
      </c>
      <c r="AQ191" s="172">
        <f ca="1">IF($D191&gt;Standings!$Q$27,"",(COUNTIFS($D$2:$D$225,$D191,$AC$2:$AC$225,"&gt;"&amp;$AC191)+1))</f>
        <v>5</v>
      </c>
      <c r="AR191" s="172">
        <f ca="1">IF($D191&gt;Standings!$Q$27,"",(COUNTIFS($D$2:$D$225,$D191,$K$2:$K$225,"&gt;"&amp;$K191)+1))</f>
        <v>8</v>
      </c>
      <c r="AS191" s="172">
        <f ca="1">IF($D191&gt;Standings!$Q$27,"",(COUNTIFS($D$2:$D$225,$D191,$AD$2:$AD$225,"&gt;"&amp;$AD191)+1))</f>
        <v>12</v>
      </c>
      <c r="AT191" s="354">
        <f ca="1">IF($D191&gt;Standings!$Q$27,"",SUMIFS($J$2:$J$225,$D$2:$D$225,$D191,$C$2:$C$225,$C191))</f>
        <v>755.84</v>
      </c>
      <c r="AU191" s="253">
        <f ca="1">IF($D191&gt;Standings!$Q$27,"",SUMIFS($AC$2:$AC$225,$D$2:$D$225,$D191,$C$2:$C$225,$C191))</f>
        <v>6564.1799999999994</v>
      </c>
    </row>
    <row r="192" spans="1:47">
      <c r="A192" s="190">
        <f t="shared" si="2"/>
        <v>141</v>
      </c>
      <c r="B192" s="5" t="str">
        <f>'ESPN Data'!$L$17</f>
        <v>Team 14</v>
      </c>
      <c r="C192" s="350" t="str">
        <f>VLOOKUP(B192,'ESPN Data'!$L$4:$M$19,2,FALSE)</f>
        <v>Wardo</v>
      </c>
      <c r="D192" s="400">
        <v>9</v>
      </c>
      <c r="E192" s="267" t="str">
        <f t="array" ref="E192">INDEX('ESPN Data'!$C$3:$C$226,MATCH(1,('ESPN Data'!$A$3:$A$226='Point Data'!$D192)*('ESPN Data'!$B$3:$B$226='Point Data'!$B192),0))</f>
        <v>Team 15</v>
      </c>
      <c r="F192" s="250" t="str">
        <f>IF(C192&lt;&gt;VLOOKUP($E192,'ESPN Data'!$L$4:$M$19,2,FALSE),"Non Conf", "Conf")</f>
        <v>Conf</v>
      </c>
      <c r="G192" s="246">
        <f t="array" aca="1" ref="G192" ca="1">IF('Point Data'!$D192&gt;Standings!$Q$27,"",(COUNTIFS($D$2:$D$225,$D192,$AM$2:$AM$225,"&gt;"&amp;$AM192)+1))</f>
        <v>6</v>
      </c>
      <c r="H192" s="172">
        <f ca="1">IF('Point Data'!$D192&gt;Standings!$Q$27,"",$G191)</f>
        <v>9</v>
      </c>
      <c r="I192" s="249">
        <f ca="1">IF('Point Data'!D192&gt;Standings!$Q$27,"",H192-G192)</f>
        <v>3</v>
      </c>
      <c r="J192" s="172">
        <f ca="1">IF('Point Data'!D192&gt;Standings!$Q$27,"",OFFSET('ESPN Data'!D$3,$A192,0,1,1))</f>
        <v>135.29</v>
      </c>
      <c r="K192" s="248">
        <f ca="1">IF('Point Data'!D192&gt;Standings!$Q$27,"",OFFSET('ESPN Data'!E$3,$A192,0,1,1))</f>
        <v>82.36</v>
      </c>
      <c r="L192" s="249">
        <f ca="1">IF('Point Data'!D192&gt;Standings!$Q$27,"",OFFSET('ESPN Data'!I$3,$A192,0,1,1))</f>
        <v>95</v>
      </c>
      <c r="M192" s="249">
        <f ca="1">IF('Point Data'!D192&gt;Standings!$Q$27,"",OFFSET('ESPN Data'!I$3,$A192,-2,1,1))</f>
        <v>0</v>
      </c>
      <c r="N192" s="249">
        <f ca="1">IF('Point Data'!D192&gt;Standings!$Q$27,"",SUMIFS($M$2:$M$225,$D$2:$D$225,D192,$C$2:$C$225,C192))</f>
        <v>28</v>
      </c>
      <c r="O192" s="249">
        <f ca="1">IF('Point Data'!D192&gt;Standings!$Q$27,"",SUMIFS($L$2:$L$225,$D$2:$D$225,$D192,$C$2:$C$225,$C192))</f>
        <v>240</v>
      </c>
      <c r="P192" s="249">
        <f ca="1">IF('Point Data'!D192&gt;Standings!$Q$27,"",SUMIFS($M$2:$M$225,$D$2:$D$225,D192))</f>
        <v>63</v>
      </c>
      <c r="Q192" s="249">
        <f ca="1">IF('Point Data'!D192&gt;Standings!$Q$27,"",SUMIFS($L$2:$L$225,$D$2:$D$225,D192))</f>
        <v>545</v>
      </c>
      <c r="R192" s="249">
        <f ca="1">IF($D192&gt;Standings!$Q$27,"",IF(U192="T",(Z192+0.5)/(D192)*100,(Z192/D192)*100))</f>
        <v>55.555555555555557</v>
      </c>
      <c r="S192" s="248">
        <f ca="1">IF($D192&gt;Standings!$Q$27,"",$J192-$K192)</f>
        <v>52.929999999999993</v>
      </c>
      <c r="T192" s="248">
        <f ca="1">IF($D192&gt;Standings!$Q$27,"",AVERAGE(OFFSET(S192,(-$D192+1),0,1,1):S192))</f>
        <v>13.007777777777775</v>
      </c>
      <c r="U192" s="172">
        <f ca="1">IF($D192&gt;Standings!$Q$27,"",IF(J192&gt;K192,1,IF(J192=K192,"T",0)))</f>
        <v>1</v>
      </c>
      <c r="V192" s="172">
        <f ca="1">IF($D192&gt;Standings!$Q$27,"",IF(F192="Conf",V191,SUMIFS($U$2:$U$225,$D$2:$D$225,"&lt;="&amp;$D192,$B$2:$B$225,$B192,$F$2:$F$225,"Non Conf")))</f>
        <v>2</v>
      </c>
      <c r="W192" s="172" t="str">
        <f ca="1">IF($D192&gt;Standings!$Q$27,"",$V192&amp;"-"&amp;COUNTIF(OFFSET($F192,(-$D192+1),0,1,1):$F192,"Non Conf")-$V192)</f>
        <v>2-2</v>
      </c>
      <c r="X192" s="172">
        <f ca="1">IF($D192&gt;Standings!$Q$27,"",SUMIFS($U$2:$U$225,$D$2:$D$225,"&lt;="&amp;$D192,$B$2:$B$225,$B192,$F$2:$F$225,"Conf"))</f>
        <v>3</v>
      </c>
      <c r="Y192" s="172" t="str">
        <f ca="1">IF($D192&gt;Standings!$Q$27,"",$X192&amp;"-"&amp;COUNTIF(OFFSET($F192,(-$D192+1),0,1,1):$F192,"Conf")-$X192)</f>
        <v>3-2</v>
      </c>
      <c r="Z192" s="172">
        <f ca="1">IF($D192&gt;Standings!$Q$27,"",SUM(OFFSET(U192,(-$D192+1),0,1,1):U192))</f>
        <v>5</v>
      </c>
      <c r="AA192" s="172">
        <f ca="1">IF($D192&gt;Standings!$Q$27,"",IF(U192=1,1+AA191,0))</f>
        <v>2</v>
      </c>
      <c r="AB192" s="250">
        <f ca="1">IF($D192&gt;Standings!$Q$27,"",IF(AA192=0,1+AB191,0))</f>
        <v>0</v>
      </c>
      <c r="AC192" s="253">
        <f ca="1">IF($D192&gt;Standings!$Q$27,"",SUM(OFFSET(J192,(-$D192+1),0,1,1):J192))</f>
        <v>996.79</v>
      </c>
      <c r="AD192" s="248">
        <f ca="1">IF($D192&gt;Standings!$Q$27,"",SUM(OFFSET(K192,(-$D192+1),0,1,1):K192))</f>
        <v>879.72000000000014</v>
      </c>
      <c r="AE192" s="248">
        <f ca="1">IF($D192&gt;Standings!$Q$27,"",$J192-$K192)</f>
        <v>52.929999999999993</v>
      </c>
      <c r="AF192" s="248">
        <f ca="1">IF($D192&gt;Standings!$Q$27,"",AC192-AD192)</f>
        <v>117.06999999999982</v>
      </c>
      <c r="AG192" s="234">
        <f ca="1">IF($D192&gt;Standings!$Q$27,"",(COUNTIFS($D$2:$D$225,$D192,$C$2:$C$225,$C192,$AC$2:$AC$225,"&lt;"&amp;$AC192)+1)*0.01)</f>
        <v>7.0000000000000007E-2</v>
      </c>
      <c r="AH192" s="234">
        <f ca="1">IF($D192&gt;Standings!$Q$27,"",Z192+AG192)</f>
        <v>5.07</v>
      </c>
      <c r="AI192" s="234"/>
      <c r="AJ192" s="172">
        <f t="array" aca="1" ref="AJ192" ca="1">IF($D192&gt;Standings!$Q$27,"",(COUNTIFS($D$2:$D$225,$D192,$C$2:$C$225,$C192,$AM$2:$AM$225,"&gt;"&amp;$AM192)+1))</f>
        <v>3</v>
      </c>
      <c r="AK192" s="172">
        <f t="array" aca="1" ref="AK192" ca="1">IF($D192&gt;Standings!$Q$27,"",IF((COUNTIFS($D$2:$D$225,$D192,$C$2:$C$225,$C192,$AH$2:$AH$225,"&gt;"&amp;$AH192)+1)=2,1,0))</f>
        <v>0</v>
      </c>
      <c r="AL192" s="172">
        <f t="array" aca="1" ref="AL192" ca="1">IF($D192&gt;Standings!$Q$27,"",IF((COUNTIFS($D$2:$D$225,$D192,$C$2:$C$225,$C192,$AH$2:$AH$225,"&gt;"&amp;$AH192)+1)&lt;2,1,0))</f>
        <v>0</v>
      </c>
      <c r="AM192" s="172">
        <f ca="1">IF($D192&gt;Standings!$Q$27,"",IF(AL192=1,200+Z192+(16-AQ192)*0.01+AI192,IF(AK192=1,100+Z192+(16-AQ192)*0.01+AI192,IF(AN192=1,50+Z192+(16-AQ192)*0.01,IF(AO192=1,15+Z192+(16-AQ192)*0.01,Z192+(16-AQ192)*0.01+AI192)))))</f>
        <v>55.12</v>
      </c>
      <c r="AN192" s="172">
        <f ca="1">IF($D192&gt;Standings!$Q$27,"",IF(OR($AK192=1,$AL192=1),"Conf Playoff Spot",COUNTIFS($AL$2:$AL$225,0,$AK$2:$AK$225,0,$C$2:$C$225,$C192,$D$2:$D$225,$D192,$AC$2:$AC$225,"&gt;"&amp;$AC192)+1))</f>
        <v>1</v>
      </c>
      <c r="AO192" s="172">
        <f t="array" aca="1" ref="AO192" ca="1">IF($D192&gt;Standings!$Q$27,"",IF(OR($AK192=1,$AL192=1),"Conf Playoff Spot",COUNTIFS($AK$2:$AK$225,0,$AL$2:$AL$225,0,$D$2:$D$225,$D192,$AH$2:$AH$225,"&gt;"&amp;$AH192)+1))</f>
        <v>1</v>
      </c>
      <c r="AP192" s="172">
        <f t="array" aca="1" ref="AP192" ca="1">IF($D192&gt;Standings!$Q$27,"",(COUNTIFS($D$2:$D$225,$D192,$J$2:$J$225,"&gt;"&amp;$J192)+1))</f>
        <v>2</v>
      </c>
      <c r="AQ192" s="172">
        <f ca="1">IF($D192&gt;Standings!$Q$27,"",(COUNTIFS($D$2:$D$225,$D192,$AC$2:$AC$225,"&gt;"&amp;$AC192)+1))</f>
        <v>4</v>
      </c>
      <c r="AR192" s="172">
        <f ca="1">IF($D192&gt;Standings!$Q$27,"",(COUNTIFS($D$2:$D$225,$D192,$K$2:$K$225,"&gt;"&amp;$K192)+1))</f>
        <v>13</v>
      </c>
      <c r="AS192" s="172">
        <f ca="1">IF($D192&gt;Standings!$Q$27,"",(COUNTIFS($D$2:$D$225,$D192,$AD$2:$AD$225,"&gt;"&amp;$AD192)+1))</f>
        <v>13</v>
      </c>
      <c r="AT192" s="354">
        <f ca="1">IF($D192&gt;Standings!$Q$27,"",SUMIFS($J$2:$J$225,$D$2:$D$225,$D192,$C$2:$C$225,$C192))</f>
        <v>813.24</v>
      </c>
      <c r="AU192" s="253">
        <f ca="1">IF($D192&gt;Standings!$Q$27,"",SUMIFS($AC$2:$AC$225,$D$2:$D$225,$D192,$C$2:$C$225,$C192))</f>
        <v>7377.42</v>
      </c>
    </row>
    <row r="193" spans="1:47">
      <c r="A193" s="190">
        <f t="shared" si="2"/>
        <v>157</v>
      </c>
      <c r="B193" s="5" t="str">
        <f>'ESPN Data'!$L$17</f>
        <v>Team 14</v>
      </c>
      <c r="C193" s="350" t="str">
        <f>VLOOKUP(B193,'ESPN Data'!$L$4:$M$19,2,FALSE)</f>
        <v>Wardo</v>
      </c>
      <c r="D193" s="400">
        <v>10</v>
      </c>
      <c r="E193" s="267" t="str">
        <f t="array" ref="E193">INDEX('ESPN Data'!$C$3:$C$226,MATCH(1,('ESPN Data'!$A$3:$A$226='Point Data'!$D193)*('ESPN Data'!$B$3:$B$226='Point Data'!$B193),0))</f>
        <v>Team 10</v>
      </c>
      <c r="F193" s="250" t="str">
        <f>IF(C193&lt;&gt;VLOOKUP($E193,'ESPN Data'!$L$4:$M$19,2,FALSE),"Non Conf", "Conf")</f>
        <v>Conf</v>
      </c>
      <c r="G193" s="246">
        <f t="array" aca="1" ref="G193" ca="1">IF('Point Data'!$D193&gt;Standings!$Q$27,"",(COUNTIFS($D$2:$D$225,$D193,$AM$2:$AM$225,"&gt;"&amp;$AM193)+1))</f>
        <v>4</v>
      </c>
      <c r="H193" s="172">
        <f ca="1">IF('Point Data'!$D193&gt;Standings!$Q$27,"",$G192)</f>
        <v>6</v>
      </c>
      <c r="I193" s="249">
        <f ca="1">IF('Point Data'!D193&gt;Standings!$Q$27,"",H193-G193)</f>
        <v>2</v>
      </c>
      <c r="J193" s="172">
        <f ca="1">IF('Point Data'!D193&gt;Standings!$Q$27,"",OFFSET('ESPN Data'!D$3,$A193,0,1,1))</f>
        <v>128.22</v>
      </c>
      <c r="K193" s="248">
        <f ca="1">IF('Point Data'!D193&gt;Standings!$Q$27,"",OFFSET('ESPN Data'!E$3,$A193,0,1,1))</f>
        <v>59.04</v>
      </c>
      <c r="L193" s="249">
        <f ca="1">IF('Point Data'!D193&gt;Standings!$Q$27,"",OFFSET('ESPN Data'!I$3,$A193,0,1,1))</f>
        <v>95</v>
      </c>
      <c r="M193" s="249">
        <f ca="1">IF('Point Data'!D193&gt;Standings!$Q$27,"",OFFSET('ESPN Data'!I$3,$A193,-2,1,1))</f>
        <v>0</v>
      </c>
      <c r="N193" s="249">
        <f ca="1">IF('Point Data'!D193&gt;Standings!$Q$27,"",SUMIFS($M$2:$M$225,$D$2:$D$225,D193,$C$2:$C$225,C193))</f>
        <v>13</v>
      </c>
      <c r="O193" s="249">
        <f ca="1">IF('Point Data'!D193&gt;Standings!$Q$27,"",SUMIFS($L$2:$L$225,$D$2:$D$225,$D193,$C$2:$C$225,$C193))</f>
        <v>227</v>
      </c>
      <c r="P193" s="249">
        <f ca="1">IF('Point Data'!D193&gt;Standings!$Q$27,"",SUMIFS($M$2:$M$225,$D$2:$D$225,D193))</f>
        <v>32</v>
      </c>
      <c r="Q193" s="249">
        <f ca="1">IF('Point Data'!D193&gt;Standings!$Q$27,"",SUMIFS($L$2:$L$225,$D$2:$D$225,D193))</f>
        <v>513</v>
      </c>
      <c r="R193" s="249">
        <f ca="1">IF($D193&gt;Standings!$Q$27,"",IF(U193="T",(Z193+0.5)/(D193)*100,(Z193/D193)*100))</f>
        <v>60</v>
      </c>
      <c r="S193" s="248">
        <f ca="1">IF($D193&gt;Standings!$Q$27,"",$J193-$K193)</f>
        <v>69.180000000000007</v>
      </c>
      <c r="T193" s="248">
        <f ca="1">IF($D193&gt;Standings!$Q$27,"",AVERAGE(OFFSET(S193,(-$D193+1),0,1,1):S193))</f>
        <v>18.625</v>
      </c>
      <c r="U193" s="172">
        <f ca="1">IF($D193&gt;Standings!$Q$27,"",IF(J193&gt;K193,1,IF(J193=K193,"T",0)))</f>
        <v>1</v>
      </c>
      <c r="V193" s="172">
        <f ca="1">IF($D193&gt;Standings!$Q$27,"",IF(F193="Conf",V192,SUMIFS($U$2:$U$225,$D$2:$D$225,"&lt;="&amp;$D193,$B$2:$B$225,$B193,$F$2:$F$225,"Non Conf")))</f>
        <v>2</v>
      </c>
      <c r="W193" s="172" t="str">
        <f ca="1">IF($D193&gt;Standings!$Q$27,"",$V193&amp;"-"&amp;COUNTIF(OFFSET($F193,(-$D193+1),0,1,1):$F193,"Non Conf")-$V193)</f>
        <v>2-2</v>
      </c>
      <c r="X193" s="172">
        <f ca="1">IF($D193&gt;Standings!$Q$27,"",SUMIFS($U$2:$U$225,$D$2:$D$225,"&lt;="&amp;$D193,$B$2:$B$225,$B193,$F$2:$F$225,"Conf"))</f>
        <v>4</v>
      </c>
      <c r="Y193" s="172" t="str">
        <f ca="1">IF($D193&gt;Standings!$Q$27,"",$X193&amp;"-"&amp;COUNTIF(OFFSET($F193,(-$D193+1),0,1,1):$F193,"Conf")-$X193)</f>
        <v>4-2</v>
      </c>
      <c r="Z193" s="172">
        <f ca="1">IF($D193&gt;Standings!$Q$27,"",SUM(OFFSET(U193,(-$D193+1),0,1,1):U193))</f>
        <v>6</v>
      </c>
      <c r="AA193" s="172">
        <f ca="1">IF($D193&gt;Standings!$Q$27,"",IF(U193=1,1+AA192,0))</f>
        <v>3</v>
      </c>
      <c r="AB193" s="250">
        <f ca="1">IF($D193&gt;Standings!$Q$27,"",IF(AA193=0,1+AB192,0))</f>
        <v>0</v>
      </c>
      <c r="AC193" s="253">
        <f ca="1">IF($D193&gt;Standings!$Q$27,"",SUM(OFFSET(J193,(-$D193+1),0,1,1):J193))</f>
        <v>1125.01</v>
      </c>
      <c r="AD193" s="248">
        <f ca="1">IF($D193&gt;Standings!$Q$27,"",SUM(OFFSET(K193,(-$D193+1),0,1,1):K193))</f>
        <v>938.7600000000001</v>
      </c>
      <c r="AE193" s="248">
        <f ca="1">IF($D193&gt;Standings!$Q$27,"",$J193-$K193)</f>
        <v>69.180000000000007</v>
      </c>
      <c r="AF193" s="248">
        <f ca="1">IF($D193&gt;Standings!$Q$27,"",AC193-AD193)</f>
        <v>186.24999999999989</v>
      </c>
      <c r="AG193" s="234">
        <f ca="1">IF($D193&gt;Standings!$Q$27,"",(COUNTIFS($D$2:$D$225,$D193,$C$2:$C$225,$C193,$AC$2:$AC$225,"&lt;"&amp;$AC193)+1)*0.01)</f>
        <v>7.0000000000000007E-2</v>
      </c>
      <c r="AH193" s="234">
        <f ca="1">IF($D193&gt;Standings!$Q$27,"",Z193+AG193)</f>
        <v>6.07</v>
      </c>
      <c r="AI193" s="234"/>
      <c r="AJ193" s="172">
        <f t="array" aca="1" ref="AJ193" ca="1">IF($D193&gt;Standings!$Q$27,"",(COUNTIFS($D$2:$D$225,$D193,$C$2:$C$225,$C193,$AM$2:$AM$225,"&gt;"&amp;$AM193)+1))</f>
        <v>2</v>
      </c>
      <c r="AK193" s="172">
        <f t="array" aca="1" ref="AK193" ca="1">IF($D193&gt;Standings!$Q$27,"",IF((COUNTIFS($D$2:$D$225,$D193,$C$2:$C$225,$C193,$AH$2:$AH$225,"&gt;"&amp;$AH193)+1)=2,1,0))</f>
        <v>1</v>
      </c>
      <c r="AL193" s="172">
        <f t="array" aca="1" ref="AL193" ca="1">IF($D193&gt;Standings!$Q$27,"",IF((COUNTIFS($D$2:$D$225,$D193,$C$2:$C$225,$C193,$AH$2:$AH$225,"&gt;"&amp;$AH193)+1)&lt;2,1,0))</f>
        <v>0</v>
      </c>
      <c r="AM193" s="172">
        <f ca="1">IF($D193&gt;Standings!$Q$27,"",IF(AL193=1,200+Z193+(16-AQ193)*0.01+AI193,IF(AK193=1,100+Z193+(16-AQ193)*0.01+AI193,IF(AN193=1,50+Z193+(16-AQ193)*0.01,IF(AO193=1,15+Z193+(16-AQ193)*0.01,Z193+(16-AQ193)*0.01+AI193)))))</f>
        <v>106.13</v>
      </c>
      <c r="AN193" s="172" t="str">
        <f ca="1">IF($D193&gt;Standings!$Q$27,"",IF(OR($AK193=1,$AL193=1),"Conf Playoff Spot",COUNTIFS($AL$2:$AL$225,0,$AK$2:$AK$225,0,$C$2:$C$225,$C193,$D$2:$D$225,$D193,$AC$2:$AC$225,"&gt;"&amp;$AC193)+1))</f>
        <v>Conf Playoff Spot</v>
      </c>
      <c r="AO193" s="172" t="str">
        <f t="array" aca="1" ref="AO193" ca="1">IF($D193&gt;Standings!$Q$27,"",IF(OR($AK193=1,$AL193=1),"Conf Playoff Spot",COUNTIFS($AK$2:$AK$225,0,$AL$2:$AL$225,0,$D$2:$D$225,$D193,$AH$2:$AH$225,"&gt;"&amp;$AH193)+1))</f>
        <v>Conf Playoff Spot</v>
      </c>
      <c r="AP193" s="172">
        <f t="array" aca="1" ref="AP193" ca="1">IF($D193&gt;Standings!$Q$27,"",(COUNTIFS($D$2:$D$225,$D193,$J$2:$J$225,"&gt;"&amp;$J193)+1))</f>
        <v>2</v>
      </c>
      <c r="AQ193" s="172">
        <f ca="1">IF($D193&gt;Standings!$Q$27,"",(COUNTIFS($D$2:$D$225,$D193,$AC$2:$AC$225,"&gt;"&amp;$AC193)+1))</f>
        <v>3</v>
      </c>
      <c r="AR193" s="172">
        <f ca="1">IF($D193&gt;Standings!$Q$27,"",(COUNTIFS($D$2:$D$225,$D193,$K$2:$K$225,"&gt;"&amp;$K193)+1))</f>
        <v>16</v>
      </c>
      <c r="AS193" s="172">
        <f ca="1">IF($D193&gt;Standings!$Q$27,"",(COUNTIFS($D$2:$D$225,$D193,$AD$2:$AD$225,"&gt;"&amp;$AD193)+1))</f>
        <v>14</v>
      </c>
      <c r="AT193" s="354">
        <f ca="1">IF($D193&gt;Standings!$Q$27,"",SUMIFS($J$2:$J$225,$D$2:$D$225,$D193,$C$2:$C$225,$C193))</f>
        <v>737.32999999999993</v>
      </c>
      <c r="AU193" s="253">
        <f ca="1">IF($D193&gt;Standings!$Q$27,"",SUMIFS($AC$2:$AC$225,$D$2:$D$225,$D193,$C$2:$C$225,$C193))</f>
        <v>8114.7500000000009</v>
      </c>
    </row>
    <row r="194" spans="1:47">
      <c r="A194" s="190">
        <f t="shared" si="2"/>
        <v>173</v>
      </c>
      <c r="B194" s="5" t="str">
        <f>'ESPN Data'!$L$17</f>
        <v>Team 14</v>
      </c>
      <c r="C194" s="350" t="str">
        <f>VLOOKUP(B194,'ESPN Data'!$L$4:$M$19,2,FALSE)</f>
        <v>Wardo</v>
      </c>
      <c r="D194" s="400">
        <v>11</v>
      </c>
      <c r="E194" s="267" t="str">
        <f t="array" ref="E194">INDEX('ESPN Data'!$C$3:$C$226,MATCH(1,('ESPN Data'!$A$3:$A$226='Point Data'!$D194)*('ESPN Data'!$B$3:$B$226='Point Data'!$B194),0))</f>
        <v>Team 7</v>
      </c>
      <c r="F194" s="250" t="str">
        <f>IF(C194&lt;&gt;VLOOKUP($E194,'ESPN Data'!$L$4:$M$19,2,FALSE),"Non Conf", "Conf")</f>
        <v>Non Conf</v>
      </c>
      <c r="G194" s="246">
        <f t="array" aca="1" ref="G194" ca="1">IF('Point Data'!$D194&gt;Standings!$Q$27,"",(COUNTIFS($D$2:$D$225,$D194,$AM$2:$AM$225,"&gt;"&amp;$AM194)+1))</f>
        <v>4</v>
      </c>
      <c r="H194" s="172">
        <f ca="1">IF('Point Data'!$D194&gt;Standings!$Q$27,"",$G193)</f>
        <v>4</v>
      </c>
      <c r="I194" s="249">
        <f ca="1">IF('Point Data'!D194&gt;Standings!$Q$27,"",H194-G194)</f>
        <v>0</v>
      </c>
      <c r="J194" s="172">
        <f ca="1">IF('Point Data'!D194&gt;Standings!$Q$27,"",OFFSET('ESPN Data'!D$3,$A194,0,1,1))</f>
        <v>120.56</v>
      </c>
      <c r="K194" s="248">
        <f ca="1">IF('Point Data'!D194&gt;Standings!$Q$27,"",OFFSET('ESPN Data'!E$3,$A194,0,1,1))</f>
        <v>121.21</v>
      </c>
      <c r="L194" s="249">
        <f ca="1">IF('Point Data'!D194&gt;Standings!$Q$27,"",OFFSET('ESPN Data'!I$3,$A194,0,1,1))</f>
        <v>95</v>
      </c>
      <c r="M194" s="249">
        <f ca="1">IF('Point Data'!D194&gt;Standings!$Q$27,"",OFFSET('ESPN Data'!I$3,$A194,-2,1,1))</f>
        <v>0</v>
      </c>
      <c r="N194" s="249">
        <f ca="1">IF('Point Data'!D194&gt;Standings!$Q$27,"",SUMIFS($M$2:$M$225,$D$2:$D$225,D194,$C$2:$C$225,C194))</f>
        <v>10</v>
      </c>
      <c r="O194" s="249">
        <f ca="1">IF('Point Data'!D194&gt;Standings!$Q$27,"",SUMIFS($L$2:$L$225,$D$2:$D$225,$D194,$C$2:$C$225,$C194))</f>
        <v>217</v>
      </c>
      <c r="P194" s="249">
        <f ca="1">IF('Point Data'!D194&gt;Standings!$Q$27,"",SUMIFS($M$2:$M$225,$D$2:$D$225,D194))</f>
        <v>61</v>
      </c>
      <c r="Q194" s="249">
        <f ca="1">IF('Point Data'!D194&gt;Standings!$Q$27,"",SUMIFS($L$2:$L$225,$D$2:$D$225,D194))</f>
        <v>452</v>
      </c>
      <c r="R194" s="249">
        <f ca="1">IF($D194&gt;Standings!$Q$27,"",IF(U194="T",(Z194+0.5)/(D194)*100,(Z194/D194)*100))</f>
        <v>54.54545454545454</v>
      </c>
      <c r="S194" s="248">
        <f ca="1">IF($D194&gt;Standings!$Q$27,"",$J194-$K194)</f>
        <v>-0.64999999999999147</v>
      </c>
      <c r="T194" s="248">
        <f ca="1">IF($D194&gt;Standings!$Q$27,"",AVERAGE(OFFSET(S194,(-$D194+1),0,1,1):S194))</f>
        <v>16.872727272727275</v>
      </c>
      <c r="U194" s="172">
        <f ca="1">IF($D194&gt;Standings!$Q$27,"",IF(J194&gt;K194,1,IF(J194=K194,"T",0)))</f>
        <v>0</v>
      </c>
      <c r="V194" s="172">
        <f ca="1">IF($D194&gt;Standings!$Q$27,"",IF(F194="Conf",V193,SUMIFS($U$2:$U$225,$D$2:$D$225,"&lt;="&amp;$D194,$B$2:$B$225,$B194,$F$2:$F$225,"Non Conf")))</f>
        <v>2</v>
      </c>
      <c r="W194" s="172" t="str">
        <f ca="1">IF($D194&gt;Standings!$Q$27,"",$V194&amp;"-"&amp;COUNTIF(OFFSET($F194,(-$D194+1),0,1,1):$F194,"Non Conf")-$V194)</f>
        <v>2-3</v>
      </c>
      <c r="X194" s="172">
        <f ca="1">IF($D194&gt;Standings!$Q$27,"",SUMIFS($U$2:$U$225,$D$2:$D$225,"&lt;="&amp;$D194,$B$2:$B$225,$B194,$F$2:$F$225,"Conf"))</f>
        <v>4</v>
      </c>
      <c r="Y194" s="172" t="str">
        <f ca="1">IF($D194&gt;Standings!$Q$27,"",$X194&amp;"-"&amp;COUNTIF(OFFSET($F194,(-$D194+1),0,1,1):$F194,"Conf")-$X194)</f>
        <v>4-2</v>
      </c>
      <c r="Z194" s="172">
        <f ca="1">IF($D194&gt;Standings!$Q$27,"",SUM(OFFSET(U194,(-$D194+1),0,1,1):U194))</f>
        <v>6</v>
      </c>
      <c r="AA194" s="172">
        <f ca="1">IF($D194&gt;Standings!$Q$27,"",IF(U194=1,1+AA193,0))</f>
        <v>0</v>
      </c>
      <c r="AB194" s="250">
        <f ca="1">IF($D194&gt;Standings!$Q$27,"",IF(AA194=0,1+AB193,0))</f>
        <v>1</v>
      </c>
      <c r="AC194" s="253">
        <f ca="1">IF($D194&gt;Standings!$Q$27,"",SUM(OFFSET(J194,(-$D194+1),0,1,1):J194))</f>
        <v>1245.57</v>
      </c>
      <c r="AD194" s="248">
        <f ca="1">IF($D194&gt;Standings!$Q$27,"",SUM(OFFSET(K194,(-$D194+1),0,1,1):K194))</f>
        <v>1059.97</v>
      </c>
      <c r="AE194" s="248">
        <f ca="1">IF($D194&gt;Standings!$Q$27,"",$J194-$K194)</f>
        <v>-0.64999999999999147</v>
      </c>
      <c r="AF194" s="248">
        <f ca="1">IF($D194&gt;Standings!$Q$27,"",AC194-AD194)</f>
        <v>185.59999999999991</v>
      </c>
      <c r="AG194" s="234">
        <f ca="1">IF($D194&gt;Standings!$Q$27,"",(COUNTIFS($D$2:$D$225,$D194,$C$2:$C$225,$C194,$AC$2:$AC$225,"&lt;"&amp;$AC194)+1)*0.01)</f>
        <v>7.0000000000000007E-2</v>
      </c>
      <c r="AH194" s="234">
        <f ca="1">IF($D194&gt;Standings!$Q$27,"",Z194+AG194)</f>
        <v>6.07</v>
      </c>
      <c r="AI194" s="234"/>
      <c r="AJ194" s="172">
        <f t="array" aca="1" ref="AJ194" ca="1">IF($D194&gt;Standings!$Q$27,"",(COUNTIFS($D$2:$D$225,$D194,$C$2:$C$225,$C194,$AM$2:$AM$225,"&gt;"&amp;$AM194)+1))</f>
        <v>2</v>
      </c>
      <c r="AK194" s="172">
        <f t="array" aca="1" ref="AK194" ca="1">IF($D194&gt;Standings!$Q$27,"",IF((COUNTIFS($D$2:$D$225,$D194,$C$2:$C$225,$C194,$AH$2:$AH$225,"&gt;"&amp;$AH194)+1)=2,1,0))</f>
        <v>1</v>
      </c>
      <c r="AL194" s="172">
        <f t="array" aca="1" ref="AL194" ca="1">IF($D194&gt;Standings!$Q$27,"",IF((COUNTIFS($D$2:$D$225,$D194,$C$2:$C$225,$C194,$AH$2:$AH$225,"&gt;"&amp;$AH194)+1)&lt;2,1,0))</f>
        <v>0</v>
      </c>
      <c r="AM194" s="172">
        <f ca="1">IF($D194&gt;Standings!$Q$27,"",IF(AL194=1,200+Z194+(16-AQ194)*0.01+AI194,IF(AK194=1,100+Z194+(16-AQ194)*0.01+AI194,IF(AN194=1,50+Z194+(16-AQ194)*0.01,IF(AO194=1,15+Z194+(16-AQ194)*0.01,Z194+(16-AQ194)*0.01+AI194)))))</f>
        <v>106.13</v>
      </c>
      <c r="AN194" s="172" t="str">
        <f ca="1">IF($D194&gt;Standings!$Q$27,"",IF(OR($AK194=1,$AL194=1),"Conf Playoff Spot",COUNTIFS($AL$2:$AL$225,0,$AK$2:$AK$225,0,$C$2:$C$225,$C194,$D$2:$D$225,$D194,$AC$2:$AC$225,"&gt;"&amp;$AC194)+1))</f>
        <v>Conf Playoff Spot</v>
      </c>
      <c r="AO194" s="172" t="str">
        <f t="array" aca="1" ref="AO194" ca="1">IF($D194&gt;Standings!$Q$27,"",IF(OR($AK194=1,$AL194=1),"Conf Playoff Spot",COUNTIFS($AK$2:$AK$225,0,$AL$2:$AL$225,0,$D$2:$D$225,$D194,$AH$2:$AH$225,"&gt;"&amp;$AH194)+1))</f>
        <v>Conf Playoff Spot</v>
      </c>
      <c r="AP194" s="172">
        <f t="array" aca="1" ref="AP194" ca="1">IF($D194&gt;Standings!$Q$27,"",(COUNTIFS($D$2:$D$225,$D194,$J$2:$J$225,"&gt;"&amp;$J194)+1))</f>
        <v>4</v>
      </c>
      <c r="AQ194" s="172">
        <f ca="1">IF($D194&gt;Standings!$Q$27,"",(COUNTIFS($D$2:$D$225,$D194,$AC$2:$AC$225,"&gt;"&amp;$AC194)+1))</f>
        <v>3</v>
      </c>
      <c r="AR194" s="172">
        <f ca="1">IF($D194&gt;Standings!$Q$27,"",(COUNTIFS($D$2:$D$225,$D194,$K$2:$K$225,"&gt;"&amp;$K194)+1))</f>
        <v>3</v>
      </c>
      <c r="AS194" s="172">
        <f ca="1">IF($D194&gt;Standings!$Q$27,"",(COUNTIFS($D$2:$D$225,$D194,$AD$2:$AD$225,"&gt;"&amp;$AD194)+1))</f>
        <v>12</v>
      </c>
      <c r="AT194" s="354">
        <f ca="1">IF($D194&gt;Standings!$Q$27,"",SUMIFS($J$2:$J$225,$D$2:$D$225,$D194,$C$2:$C$225,$C194))</f>
        <v>790.16000000000008</v>
      </c>
      <c r="AU194" s="253">
        <f ca="1">IF($D194&gt;Standings!$Q$27,"",SUMIFS($AC$2:$AC$225,$D$2:$D$225,$D194,$C$2:$C$225,$C194))</f>
        <v>8904.91</v>
      </c>
    </row>
    <row r="195" spans="1:47">
      <c r="A195" s="190">
        <f t="shared" si="2"/>
        <v>189</v>
      </c>
      <c r="B195" s="5" t="str">
        <f>'ESPN Data'!$L$17</f>
        <v>Team 14</v>
      </c>
      <c r="C195" s="350" t="str">
        <f>VLOOKUP(B195,'ESPN Data'!$L$4:$M$19,2,FALSE)</f>
        <v>Wardo</v>
      </c>
      <c r="D195" s="400">
        <v>12</v>
      </c>
      <c r="E195" s="267" t="str">
        <f t="array" ref="E195">INDEX('ESPN Data'!$C$3:$C$226,MATCH(1,('ESPN Data'!$A$3:$A$226='Point Data'!$D195)*('ESPN Data'!$B$3:$B$226='Point Data'!$B195),0))</f>
        <v>Team 11</v>
      </c>
      <c r="F195" s="250" t="str">
        <f>IF(C195&lt;&gt;VLOOKUP($E195,'ESPN Data'!$L$4:$M$19,2,FALSE),"Non Conf", "Conf")</f>
        <v>Conf</v>
      </c>
      <c r="G195" s="246">
        <f t="array" aca="1" ref="G195" ca="1">IF('Point Data'!$D195&gt;Standings!$Q$27,"",(COUNTIFS($D$2:$D$225,$D195,$AM$2:$AM$225,"&gt;"&amp;$AM195)+1))</f>
        <v>6</v>
      </c>
      <c r="H195" s="172">
        <f ca="1">IF('Point Data'!$D195&gt;Standings!$Q$27,"",$G194)</f>
        <v>4</v>
      </c>
      <c r="I195" s="249">
        <f ca="1">IF('Point Data'!D195&gt;Standings!$Q$27,"",H195-G195)</f>
        <v>-2</v>
      </c>
      <c r="J195" s="172">
        <f ca="1">IF('Point Data'!D195&gt;Standings!$Q$27,"",OFFSET('ESPN Data'!D$3,$A195,0,1,1))</f>
        <v>106.11</v>
      </c>
      <c r="K195" s="248">
        <f ca="1">IF('Point Data'!D195&gt;Standings!$Q$27,"",OFFSET('ESPN Data'!E$3,$A195,0,1,1))</f>
        <v>116.15</v>
      </c>
      <c r="L195" s="249">
        <f ca="1">IF('Point Data'!D195&gt;Standings!$Q$27,"",OFFSET('ESPN Data'!I$3,$A195,0,1,1))</f>
        <v>60</v>
      </c>
      <c r="M195" s="249">
        <f ca="1">IF('Point Data'!D195&gt;Standings!$Q$27,"",OFFSET('ESPN Data'!I$3,$A195,-2,1,1))</f>
        <v>35</v>
      </c>
      <c r="N195" s="249">
        <f ca="1">IF('Point Data'!D195&gt;Standings!$Q$27,"",SUMIFS($M$2:$M$225,$D$2:$D$225,D195,$C$2:$C$225,C195))</f>
        <v>35</v>
      </c>
      <c r="O195" s="249">
        <f ca="1">IF('Point Data'!D195&gt;Standings!$Q$27,"",SUMIFS($L$2:$L$225,$D$2:$D$225,$D195,$C$2:$C$225,$C195))</f>
        <v>182</v>
      </c>
      <c r="P195" s="249">
        <f ca="1">IF('Point Data'!D195&gt;Standings!$Q$27,"",SUMIFS($M$2:$M$225,$D$2:$D$225,D195))</f>
        <v>41</v>
      </c>
      <c r="Q195" s="249">
        <f ca="1">IF('Point Data'!D195&gt;Standings!$Q$27,"",SUMIFS($L$2:$L$225,$D$2:$D$225,D195))</f>
        <v>411</v>
      </c>
      <c r="R195" s="249">
        <f ca="1">IF($D195&gt;Standings!$Q$27,"",IF(U195="T",(Z195+0.5)/(D195)*100,(Z195/D195)*100))</f>
        <v>50</v>
      </c>
      <c r="S195" s="248">
        <f ca="1">IF($D195&gt;Standings!$Q$27,"",$J195-$K195)</f>
        <v>-10.040000000000006</v>
      </c>
      <c r="T195" s="248">
        <f ca="1">IF($D195&gt;Standings!$Q$27,"",AVERAGE(OFFSET(S195,(-$D195+1),0,1,1):S195))</f>
        <v>14.63</v>
      </c>
      <c r="U195" s="172">
        <f ca="1">IF($D195&gt;Standings!$Q$27,"",IF(J195&gt;K195,1,IF(J195=K195,"T",0)))</f>
        <v>0</v>
      </c>
      <c r="V195" s="172">
        <f ca="1">IF($D195&gt;Standings!$Q$27,"",IF(F195="Conf",V194,SUMIFS($U$2:$U$225,$D$2:$D$225,"&lt;="&amp;$D195,$B$2:$B$225,$B195,$F$2:$F$225,"Non Conf")))</f>
        <v>2</v>
      </c>
      <c r="W195" s="172" t="str">
        <f ca="1">IF($D195&gt;Standings!$Q$27,"",$V195&amp;"-"&amp;COUNTIF(OFFSET($F195,(-$D195+1),0,1,1):$F195,"Non Conf")-$V195)</f>
        <v>2-3</v>
      </c>
      <c r="X195" s="172">
        <f ca="1">IF($D195&gt;Standings!$Q$27,"",SUMIFS($U$2:$U$225,$D$2:$D$225,"&lt;="&amp;$D195,$B$2:$B$225,$B195,$F$2:$F$225,"Conf"))</f>
        <v>4</v>
      </c>
      <c r="Y195" s="172" t="str">
        <f ca="1">IF($D195&gt;Standings!$Q$27,"",$X195&amp;"-"&amp;COUNTIF(OFFSET($F195,(-$D195+1),0,1,1):$F195,"Conf")-$X195)</f>
        <v>4-3</v>
      </c>
      <c r="Z195" s="172">
        <f ca="1">IF($D195&gt;Standings!$Q$27,"",SUM(OFFSET(U195,(-$D195+1),0,1,1):U195))</f>
        <v>6</v>
      </c>
      <c r="AA195" s="172">
        <f ca="1">IF($D195&gt;Standings!$Q$27,"",IF(U195=1,1+AA194,0))</f>
        <v>0</v>
      </c>
      <c r="AB195" s="250">
        <f ca="1">IF($D195&gt;Standings!$Q$27,"",IF(AA195=0,1+AB194,0))</f>
        <v>2</v>
      </c>
      <c r="AC195" s="253">
        <f ca="1">IF($D195&gt;Standings!$Q$27,"",SUM(OFFSET(J195,(-$D195+1),0,1,1):J195))</f>
        <v>1351.6799999999998</v>
      </c>
      <c r="AD195" s="248">
        <f ca="1">IF($D195&gt;Standings!$Q$27,"",SUM(OFFSET(K195,(-$D195+1),0,1,1):K195))</f>
        <v>1176.1200000000001</v>
      </c>
      <c r="AE195" s="248">
        <f ca="1">IF($D195&gt;Standings!$Q$27,"",$J195-$K195)</f>
        <v>-10.040000000000006</v>
      </c>
      <c r="AF195" s="248">
        <f ca="1">IF($D195&gt;Standings!$Q$27,"",AC195-AD195)</f>
        <v>175.55999999999972</v>
      </c>
      <c r="AG195" s="234">
        <f ca="1">IF($D195&gt;Standings!$Q$27,"",(COUNTIFS($D$2:$D$225,$D195,$C$2:$C$225,$C195,$AC$2:$AC$225,"&lt;"&amp;$AC195)+1)*0.01)</f>
        <v>7.0000000000000007E-2</v>
      </c>
      <c r="AH195" s="234">
        <f ca="1">IF($D195&gt;Standings!$Q$27,"",Z195+AG195)</f>
        <v>6.07</v>
      </c>
      <c r="AI195" s="234"/>
      <c r="AJ195" s="172">
        <f t="array" aca="1" ref="AJ195" ca="1">IF($D195&gt;Standings!$Q$27,"",(COUNTIFS($D$2:$D$225,$D195,$C$2:$C$225,$C195,$AM$2:$AM$225,"&gt;"&amp;$AM195)+1))</f>
        <v>3</v>
      </c>
      <c r="AK195" s="172">
        <f t="array" aca="1" ref="AK195" ca="1">IF($D195&gt;Standings!$Q$27,"",IF((COUNTIFS($D$2:$D$225,$D195,$C$2:$C$225,$C195,$AH$2:$AH$225,"&gt;"&amp;$AH195)+1)=2,1,0))</f>
        <v>0</v>
      </c>
      <c r="AL195" s="172">
        <f t="array" aca="1" ref="AL195" ca="1">IF($D195&gt;Standings!$Q$27,"",IF((COUNTIFS($D$2:$D$225,$D195,$C$2:$C$225,$C195,$AH$2:$AH$225,"&gt;"&amp;$AH195)+1)&lt;2,1,0))</f>
        <v>0</v>
      </c>
      <c r="AM195" s="172">
        <f ca="1">IF($D195&gt;Standings!$Q$27,"",IF(AL195=1,200+Z195+(16-AQ195)*0.01+AI195,IF(AK195=1,100+Z195+(16-AQ195)*0.01+AI195,IF(AN195=1,50+Z195+(16-AQ195)*0.01,IF(AO195=1,15+Z195+(16-AQ195)*0.01,Z195+(16-AQ195)*0.01+AI195)))))</f>
        <v>56.13</v>
      </c>
      <c r="AN195" s="172">
        <f ca="1">IF($D195&gt;Standings!$Q$27,"",IF(OR($AK195=1,$AL195=1),"Conf Playoff Spot",COUNTIFS($AL$2:$AL$225,0,$AK$2:$AK$225,0,$C$2:$C$225,$C195,$D$2:$D$225,$D195,$AC$2:$AC$225,"&gt;"&amp;$AC195)+1))</f>
        <v>1</v>
      </c>
      <c r="AO195" s="172">
        <f t="array" aca="1" ref="AO195" ca="1">IF($D195&gt;Standings!$Q$27,"",IF(OR($AK195=1,$AL195=1),"Conf Playoff Spot",COUNTIFS($AK$2:$AK$225,0,$AL$2:$AL$225,0,$D$2:$D$225,$D195,$AH$2:$AH$225,"&gt;"&amp;$AH195)+1))</f>
        <v>5</v>
      </c>
      <c r="AP195" s="172">
        <f t="array" aca="1" ref="AP195" ca="1">IF($D195&gt;Standings!$Q$27,"",(COUNTIFS($D$2:$D$225,$D195,$J$2:$J$225,"&gt;"&amp;$J195)+1))</f>
        <v>7</v>
      </c>
      <c r="AQ195" s="172">
        <f ca="1">IF($D195&gt;Standings!$Q$27,"",(COUNTIFS($D$2:$D$225,$D195,$AC$2:$AC$225,"&gt;"&amp;$AC195)+1))</f>
        <v>3</v>
      </c>
      <c r="AR195" s="172">
        <f ca="1">IF($D195&gt;Standings!$Q$27,"",(COUNTIFS($D$2:$D$225,$D195,$K$2:$K$225,"&gt;"&amp;$K195)+1))</f>
        <v>4</v>
      </c>
      <c r="AS195" s="172">
        <f ca="1">IF($D195&gt;Standings!$Q$27,"",(COUNTIFS($D$2:$D$225,$D195,$AD$2:$AD$225,"&gt;"&amp;$AD195)+1))</f>
        <v>11</v>
      </c>
      <c r="AT195" s="354">
        <f ca="1">IF($D195&gt;Standings!$Q$27,"",SUMIFS($J$2:$J$225,$D$2:$D$225,$D195,$C$2:$C$225,$C195))</f>
        <v>746.43999999999994</v>
      </c>
      <c r="AU195" s="253">
        <f ca="1">IF($D195&gt;Standings!$Q$27,"",SUMIFS($AC$2:$AC$225,$D$2:$D$225,$D195,$C$2:$C$225,$C195))</f>
        <v>9651.35</v>
      </c>
    </row>
    <row r="196" spans="1:47" s="190" customFormat="1">
      <c r="A196" s="190">
        <f t="shared" si="2"/>
        <v>205</v>
      </c>
      <c r="B196" s="56" t="str">
        <f>'ESPN Data'!$L$17</f>
        <v>Team 14</v>
      </c>
      <c r="C196" s="352" t="str">
        <f>VLOOKUP(B196,'ESPN Data'!$L$4:$M$19,2,FALSE)</f>
        <v>Wardo</v>
      </c>
      <c r="D196" s="553">
        <v>13</v>
      </c>
      <c r="E196" s="275" t="str">
        <f t="array" ref="E196">INDEX('ESPN Data'!$C$3:$C$226,MATCH(1,('ESPN Data'!$A$3:$A$226='Point Data'!$D196)*('ESPN Data'!$B$3:$B$226='Point Data'!$B196),0))</f>
        <v>Team 6</v>
      </c>
      <c r="F196" s="274" t="str">
        <f>IF(C196&lt;&gt;VLOOKUP($E196,'ESPN Data'!$L$4:$M$19,2,FALSE),"Non Conf", "Conf")</f>
        <v>Non Conf</v>
      </c>
      <c r="G196" s="271">
        <f t="array" aca="1" ref="G196" ca="1">IF('Point Data'!$D196&gt;Standings!$Q$27,"",(COUNTIFS($D$2:$D$225,$D196,$AM$2:$AM$225,"&gt;"&amp;$AM196)+1))</f>
        <v>5</v>
      </c>
      <c r="H196" s="264">
        <f ca="1">IF('Point Data'!$D196&gt;Standings!$Q$27,"",$G195)</f>
        <v>6</v>
      </c>
      <c r="I196" s="265">
        <f ca="1">IF('Point Data'!D196&gt;Standings!$Q$27,"",H196-G196)</f>
        <v>1</v>
      </c>
      <c r="J196" s="264">
        <f ca="1">IF('Point Data'!D196&gt;Standings!$Q$27,"",OFFSET('ESPN Data'!D$3,$A196,0,1,1))</f>
        <v>114.13</v>
      </c>
      <c r="K196" s="272">
        <f ca="1">IF('Point Data'!D196&gt;Standings!$Q$27,"",OFFSET('ESPN Data'!E$3,$A196,0,1,1))</f>
        <v>101.68</v>
      </c>
      <c r="L196" s="265">
        <f ca="1">IF('Point Data'!D196&gt;Standings!$Q$27,"",OFFSET('ESPN Data'!I$3,$A196,0,1,1))</f>
        <v>60</v>
      </c>
      <c r="M196" s="265">
        <f ca="1">IF('Point Data'!D196&gt;Standings!$Q$27,"",OFFSET('ESPN Data'!I$3,$A196,-2,1,1))</f>
        <v>0</v>
      </c>
      <c r="N196" s="265">
        <f ca="1">IF('Point Data'!D196&gt;Standings!$Q$27,"",SUMIFS($M$2:$M$225,$D$2:$D$225,D196,$C$2:$C$225,C196))</f>
        <v>36</v>
      </c>
      <c r="O196" s="265">
        <f ca="1">IF('Point Data'!D196&gt;Standings!$Q$27,"",SUMIFS($L$2:$L$225,$D$2:$D$225,$D196,$C$2:$C$225,$C196))</f>
        <v>146</v>
      </c>
      <c r="P196" s="265">
        <f ca="1">IF('Point Data'!D196&gt;Standings!$Q$27,"",SUMIFS($M$2:$M$225,$D$2:$D$225,D196))</f>
        <v>41</v>
      </c>
      <c r="Q196" s="265">
        <f ca="1">IF('Point Data'!D196&gt;Standings!$Q$27,"",SUMIFS($L$2:$L$225,$D$2:$D$225,D196))</f>
        <v>370</v>
      </c>
      <c r="R196" s="265">
        <f ca="1">IF($D196&gt;Standings!$Q$27,"",IF(U196="T",(Z196+0.5)/(D196)*100,(Z196/D196)*100))</f>
        <v>53.846153846153847</v>
      </c>
      <c r="S196" s="272">
        <f ca="1">IF($D196&gt;Standings!$Q$27,"",$J196-$K196)</f>
        <v>12.449999999999989</v>
      </c>
      <c r="T196" s="272">
        <f ca="1">IF($D196&gt;Standings!$Q$27,"",AVERAGE(OFFSET(S196,(-$D196+1),0,1,1):S196))</f>
        <v>14.462307692307691</v>
      </c>
      <c r="U196" s="264">
        <f ca="1">IF($D196&gt;Standings!$Q$27,"",IF(J196&gt;K196,1,IF(J196=K196,"T",0)))</f>
        <v>1</v>
      </c>
      <c r="V196" s="264">
        <f ca="1">IF($D196&gt;Standings!$Q$27,"",IF(F196="Conf",V195,SUMIFS($U$2:$U$225,$D$2:$D$225,"&lt;="&amp;$D196,$B$2:$B$225,$B196,$F$2:$F$225,"Non Conf")))</f>
        <v>3</v>
      </c>
      <c r="W196" s="264" t="str">
        <f ca="1">IF($D196&gt;Standings!$Q$27,"",$V196&amp;"-"&amp;COUNTIF(OFFSET($F196,(-$D196+1),0,1,1):$F196,"Non Conf")-$V196)</f>
        <v>3-3</v>
      </c>
      <c r="X196" s="264">
        <f ca="1">IF($D196&gt;Standings!$Q$27,"",SUMIFS($U$2:$U$225,$D$2:$D$225,"&lt;="&amp;$D196,$B$2:$B$225,$B196,$F$2:$F$225,"Conf"))</f>
        <v>4</v>
      </c>
      <c r="Y196" s="264" t="str">
        <f ca="1">IF($D196&gt;Standings!$Q$27,"",$X196&amp;"-"&amp;COUNTIF(OFFSET($F196,(-$D196+1),0,1,1):$F196,"Conf")-$X196)</f>
        <v>4-3</v>
      </c>
      <c r="Z196" s="264">
        <f ca="1">IF($D196&gt;Standings!$Q$27,"",SUM(OFFSET(U196,(-$D196+1),0,1,1):U196))</f>
        <v>7</v>
      </c>
      <c r="AA196" s="264">
        <f ca="1">IF($D196&gt;Standings!$Q$27,"",IF(U196=1,1+AA195,0))</f>
        <v>1</v>
      </c>
      <c r="AB196" s="274">
        <f ca="1">IF($D196&gt;Standings!$Q$27,"",IF(AA196=0,1+AB195,0))</f>
        <v>0</v>
      </c>
      <c r="AC196" s="340">
        <f ca="1">IF($D196&gt;Standings!$Q$27,"",SUM(OFFSET(J196,(-$D196+1),0,1,1):J196))</f>
        <v>1465.81</v>
      </c>
      <c r="AD196" s="272">
        <f ca="1">IF($D196&gt;Standings!$Q$27,"",SUM(OFFSET(K196,(-$D196+1),0,1,1):K196))</f>
        <v>1277.8000000000002</v>
      </c>
      <c r="AE196" s="272">
        <f ca="1">IF($D196&gt;Standings!$Q$27,"",$J196-$K196)</f>
        <v>12.449999999999989</v>
      </c>
      <c r="AF196" s="272">
        <f ca="1">IF($D196&gt;Standings!$Q$27,"",AC196-AD196)</f>
        <v>188.00999999999976</v>
      </c>
      <c r="AG196" s="554">
        <f ca="1">IF($D196&gt;Standings!$Q$27,"",(COUNTIFS($D$2:$D$225,$D196,$C$2:$C$225,$C196,$AC$2:$AC$225,"&lt;"&amp;$AC196)+1)*0.01)</f>
        <v>7.0000000000000007E-2</v>
      </c>
      <c r="AH196" s="554">
        <f ca="1">IF($D196&gt;Standings!$Q$27,"",Z196+AG196)</f>
        <v>7.07</v>
      </c>
      <c r="AI196" s="554"/>
      <c r="AJ196" s="264">
        <f t="array" aca="1" ref="AJ196" ca="1">IF($D196&gt;Standings!$Q$27,"",(COUNTIFS($D$2:$D$225,$D196,$C$2:$C$225,$C196,$AM$2:$AM$225,"&gt;"&amp;$AM196)+1))</f>
        <v>3</v>
      </c>
      <c r="AK196" s="264">
        <f t="array" aca="1" ref="AK196" ca="1">IF($D196&gt;Standings!$Q$27,"",IF((COUNTIFS($D$2:$D$225,$D196,$C$2:$C$225,$C196,$AH$2:$AH$225,"&gt;"&amp;$AH196)+1)=2,1,0))</f>
        <v>0</v>
      </c>
      <c r="AL196" s="264">
        <f t="array" aca="1" ref="AL196" ca="1">IF($D196&gt;Standings!$Q$27,"",IF((COUNTIFS($D$2:$D$225,$D196,$C$2:$C$225,$C196,$AH$2:$AH$225,"&gt;"&amp;$AH196)+1)&lt;2,1,0))</f>
        <v>0</v>
      </c>
      <c r="AM196" s="264">
        <f ca="1">IF($D196&gt;Standings!$Q$27,"",IF(AL196=1,200+Z196+(16-AQ196)*0.01+AI196,IF(AK196=1,100+Z196+(16-AQ196)*0.01+AI196,IF(AN196=1,50+Z196+(16-AQ196)*0.01,IF(AO196=1,15+Z196+(16-AQ196)*0.01,Z196+(16-AQ196)*0.01+AI196)))))</f>
        <v>57.13</v>
      </c>
      <c r="AN196" s="264">
        <f ca="1">IF($D196&gt;Standings!$Q$27,"",IF(OR($AK196=1,$AL196=1),"Conf Playoff Spot",COUNTIFS($AL$2:$AL$225,0,$AK$2:$AK$225,0,$C$2:$C$225,$C196,$D$2:$D$225,$D196,$AC$2:$AC$225,"&gt;"&amp;$AC196)+1))</f>
        <v>1</v>
      </c>
      <c r="AO196" s="264">
        <f t="array" aca="1" ref="AO196" ca="1">IF($D196&gt;Standings!$Q$27,"",IF(OR($AK196=1,$AL196=1),"Conf Playoff Spot",COUNTIFS($AK$2:$AK$225,0,$AL$2:$AL$225,0,$D$2:$D$225,$D196,$AH$2:$AH$225,"&gt;"&amp;$AH196)+1))</f>
        <v>3</v>
      </c>
      <c r="AP196" s="264">
        <f t="array" aca="1" ref="AP196" ca="1">IF($D196&gt;Standings!$Q$27,"",(COUNTIFS($D$2:$D$225,$D196,$J$2:$J$225,"&gt;"&amp;$J196)+1))</f>
        <v>3</v>
      </c>
      <c r="AQ196" s="264">
        <f ca="1">IF($D196&gt;Standings!$Q$27,"",(COUNTIFS($D$2:$D$225,$D196,$AC$2:$AC$225,"&gt;"&amp;$AC196)+1))</f>
        <v>3</v>
      </c>
      <c r="AR196" s="264">
        <f ca="1">IF($D196&gt;Standings!$Q$27,"",(COUNTIFS($D$2:$D$225,$D196,$K$2:$K$225,"&gt;"&amp;$K196)+1))</f>
        <v>8</v>
      </c>
      <c r="AS196" s="264">
        <f ca="1">IF($D196&gt;Standings!$Q$27,"",(COUNTIFS($D$2:$D$225,$D196,$AD$2:$AD$225,"&gt;"&amp;$AD196)+1))</f>
        <v>12</v>
      </c>
      <c r="AT196" s="356">
        <f ca="1">IF($D196&gt;Standings!$Q$27,"",SUMIFS($J$2:$J$225,$D$2:$D$225,$D196,$C$2:$C$225,$C196))</f>
        <v>885.58</v>
      </c>
      <c r="AU196" s="340">
        <f ca="1">IF($D196&gt;Standings!$Q$27,"",SUMIFS($AC$2:$AC$225,$D$2:$D$225,$D196,$C$2:$C$225,$C196))</f>
        <v>10536.93</v>
      </c>
    </row>
    <row r="197" spans="1:47" ht="16" thickBot="1">
      <c r="A197" s="190">
        <f t="shared" si="2"/>
        <v>221</v>
      </c>
      <c r="B197" s="10" t="str">
        <f>'ESPN Data'!$L$17</f>
        <v>Team 14</v>
      </c>
      <c r="C197" s="351" t="str">
        <f>VLOOKUP(B197,'ESPN Data'!$L$4:$M$19,2,FALSE)</f>
        <v>Wardo</v>
      </c>
      <c r="D197" s="401">
        <v>14</v>
      </c>
      <c r="E197" s="268" t="str">
        <f t="array" ref="E197">INDEX('ESPN Data'!$C$3:$C$226,MATCH(1,('ESPN Data'!$A$3:$A$226='Point Data'!$D197)*('ESPN Data'!$B$3:$B$226='Point Data'!$B197),0))</f>
        <v>Team 6</v>
      </c>
      <c r="F197" s="258" t="str">
        <f>IF(C197&lt;&gt;VLOOKUP($E197,'ESPN Data'!$L$4:$M$19,2,FALSE),"Non Conf", "Conf")</f>
        <v>Non Conf</v>
      </c>
      <c r="G197" s="262" t="str">
        <f t="array" ref="G197">IF('Point Data'!$D197&gt;Standings!$Q$27,"",(COUNTIFS($D$2:$D$225,$D197,$AM$2:$AM$225,"&gt;"&amp;$AM197)+1))</f>
        <v/>
      </c>
      <c r="H197" s="257" t="str">
        <f>IF('Point Data'!$D197&gt;Standings!$Q$27,"",$G195)</f>
        <v/>
      </c>
      <c r="I197" s="256" t="str">
        <f>IF('Point Data'!D197&gt;Standings!$Q$27,"",H197-G197)</f>
        <v/>
      </c>
      <c r="J197" s="257" t="str">
        <f ca="1">IF('Point Data'!D197&gt;Standings!$Q$27,"",OFFSET('ESPN Data'!D$3,$A197,0,1,1))</f>
        <v/>
      </c>
      <c r="K197" s="255" t="str">
        <f ca="1">IF('Point Data'!D197&gt;Standings!$Q$27,"",OFFSET('ESPN Data'!E$3,$A197,0,1,1))</f>
        <v/>
      </c>
      <c r="L197" s="256" t="str">
        <f ca="1">IF('Point Data'!D197&gt;Standings!$Q$27,"",OFFSET('ESPN Data'!I$3,$A197,0,1,1))</f>
        <v/>
      </c>
      <c r="M197" s="256" t="str">
        <f ca="1">IF('Point Data'!D197&gt;Standings!$Q$27,"",OFFSET('ESPN Data'!I$3,$A197,-2,1,1))</f>
        <v/>
      </c>
      <c r="N197" s="256" t="str">
        <f>IF('Point Data'!D197&gt;Standings!$Q$27,"",SUMIFS($M$2:$M$225,$D$2:$D$225,D197,$C$2:$C$225,C197))</f>
        <v/>
      </c>
      <c r="O197" s="256" t="str">
        <f>IF('Point Data'!D197&gt;Standings!$Q$27,"",SUMIFS($L$2:$L$225,$D$2:$D$225,$D197,$C$2:$C$225,$C197))</f>
        <v/>
      </c>
      <c r="P197" s="256" t="str">
        <f>IF('Point Data'!D197&gt;Standings!$Q$27,"",SUMIFS($M$2:$M$225,$D$2:$D$225,D197))</f>
        <v/>
      </c>
      <c r="Q197" s="256" t="str">
        <f>IF('Point Data'!D197&gt;Standings!$Q$27,"",SUMIFS($L$2:$L$225,$D$2:$D$225,D197))</f>
        <v/>
      </c>
      <c r="R197" s="256" t="str">
        <f>IF($D197&gt;Standings!$Q$27,"",IF(U197="T",(Z197+0.5)/(D197)*100,(Z197/D197)*100))</f>
        <v/>
      </c>
      <c r="S197" s="255" t="str">
        <f>IF($D197&gt;Standings!$Q$27,"",$J197-$K197)</f>
        <v/>
      </c>
      <c r="T197" s="255" t="str">
        <f ca="1">IF($D197&gt;Standings!$Q$27,"",AVERAGE(OFFSET(S197,(-$D197+1),0,1,1):S197))</f>
        <v/>
      </c>
      <c r="U197" s="257" t="str">
        <f>IF($D197&gt;Standings!$Q$27,"",IF(J197&gt;K197,1,IF(J197=K197,"T",0)))</f>
        <v/>
      </c>
      <c r="V197" s="257" t="str">
        <f>IF($D197&gt;Standings!$Q$27,"",SUMIFS($U$2:$U$225,$D$2:$D$225,"&lt;="&amp;$D197,$B$2:$B$225,$B197,$F$2:$F$225,"Non Conf"))</f>
        <v/>
      </c>
      <c r="W197" s="257" t="str">
        <f ca="1">IF($D197&gt;Standings!$Q$27,"",$V197&amp;"-"&amp;COUNTIF(OFFSET($F197,(-$D197+1),0,1,1):$F197,"Non Conf")-$V197)</f>
        <v/>
      </c>
      <c r="X197" s="257" t="str">
        <f>IF($D197&gt;Standings!$Q$27,"",SUMIFS($U$2:$U$225,$D$2:$D$225,"&lt;="&amp;$D197,$B$2:$B$225,$B197,$F$2:$F$225,"Conf"))</f>
        <v/>
      </c>
      <c r="Y197" s="257" t="str">
        <f ca="1">IF($D197&gt;Standings!$Q$27,"",$X197&amp;"-"&amp;COUNTIF(OFFSET($F197,(-$D197+1),0,1,1):$F197,"Conf")-$X197)</f>
        <v/>
      </c>
      <c r="Z197" s="257" t="str">
        <f ca="1">IF($D197&gt;Standings!$Q$27,"",SUM(OFFSET(U197,(-$D197+1),0,1,1):U197))</f>
        <v/>
      </c>
      <c r="AA197" s="257" t="str">
        <f>IF($D197&gt;Standings!$Q$27,"",IF(U197=1,1+AA195,0))</f>
        <v/>
      </c>
      <c r="AB197" s="258" t="str">
        <f>IF($D197&gt;Standings!$Q$27,"",IF(AA197=0,1+AB195,0))</f>
        <v/>
      </c>
      <c r="AC197" s="261" t="str">
        <f ca="1">IF($D197&gt;Standings!$Q$27,"",SUM(OFFSET(J197,(-$D197+1),0,1,1):J197))</f>
        <v/>
      </c>
      <c r="AD197" s="255" t="str">
        <f ca="1">IF($D197&gt;Standings!$Q$27,"",SUM(OFFSET(K197,(-$D197+1),0,1,1):K197))</f>
        <v/>
      </c>
      <c r="AE197" s="255" t="str">
        <f>IF($D197&gt;Standings!$Q$27,"",$J197-$K197)</f>
        <v/>
      </c>
      <c r="AF197" s="255" t="str">
        <f>IF($D197&gt;Standings!$Q$27,"",AC197-AD197)</f>
        <v/>
      </c>
      <c r="AG197" s="235" t="str">
        <f>IF($D197&gt;Standings!$Q$27,"",(COUNTIFS($D$2:$D$225,$D197,$C$2:$C$225,$C197,$AC$2:$AC$225,"&lt;"&amp;$AC197)+1)*0.01)</f>
        <v/>
      </c>
      <c r="AH197" s="235" t="str">
        <f>IF($D197&gt;Standings!$Q$27,"",Z197+AG197)</f>
        <v/>
      </c>
      <c r="AI197" s="235"/>
      <c r="AJ197" s="257" t="str">
        <f t="array" ref="AJ197">IF($D197&gt;Standings!$Q$27,"",(COUNTIFS($D$2:$D$225,$D197,$C$2:$C$225,$C197,$AM$2:$AM$225,"&gt;"&amp;$AM197)+1))</f>
        <v/>
      </c>
      <c r="AK197" s="257" t="str">
        <f t="array" ref="AK197">IF($D197&gt;Standings!$Q$27,"",IF((COUNTIFS($D$2:$D$225,$D197,$C$2:$C$225,$C197,$AH$2:$AH$225,"&gt;"&amp;$AH197)+1)=2,1,0))</f>
        <v/>
      </c>
      <c r="AL197" s="257" t="str">
        <f t="array" ref="AL197">IF($D197&gt;Standings!$Q$27,"",IF((COUNTIFS($D$2:$D$225,$D197,$C$2:$C$225,$C197,$AH$2:$AH$225,"&gt;"&amp;$AH197)+1)&lt;2,1,0))</f>
        <v/>
      </c>
      <c r="AM197" s="257" t="str">
        <f>IF($D197&gt;Standings!$Q$27,"",IF(AL197=1,200+Z197+(16-AQ197)*0.01+AI197,IF(AK197=1,100+Z197+(16-AQ197)*0.01+AI197,IF(AN197=1,50+Z197+(16-AQ197)*0.01,IF(AO197=1,15+Z197+(16-AQ197)*0.01,Z197+(16-AQ197)*0.01+AI197)))))</f>
        <v/>
      </c>
      <c r="AN197" s="257" t="str">
        <f>IF($D197&gt;Standings!$Q$27,"",IF(OR($AK197=1,$AL197=1),"Conf Playoff Spot",COUNTIFS($AL$2:$AL$225,0,$AK$2:$AK$225,0,$C$2:$C$225,$C197,$D$2:$D$225,$D197,$AC$2:$AC$225,"&gt;"&amp;$AC197)+1))</f>
        <v/>
      </c>
      <c r="AO197" s="257" t="str">
        <f t="array" ref="AO197">IF($D197&gt;Standings!$Q$27,"",IF(OR($AK197=1,$AL197=1),"Conf Playoff Spot",COUNTIFS($AK$2:$AK$225,0,$AL$2:$AL$225,0,$D$2:$D$225,$D197,$AH$2:$AH$225,"&gt;"&amp;$AH197)+1))</f>
        <v/>
      </c>
      <c r="AP197" s="257" t="str">
        <f t="array" ref="AP197">IF($D197&gt;Standings!$Q$27,"",(COUNTIFS($D$2:$D$225,$D197,$J$2:$J$225,"&gt;"&amp;$J197)+1))</f>
        <v/>
      </c>
      <c r="AQ197" s="257" t="str">
        <f>IF($D197&gt;Standings!$Q$27,"",(COUNTIFS($D$2:$D$225,$D197,$AC$2:$AC$225,"&gt;"&amp;$AC197)+1))</f>
        <v/>
      </c>
      <c r="AR197" s="257" t="str">
        <f>IF($D197&gt;Standings!$Q$27,"",(COUNTIFS($D$2:$D$225,$D197,$K$2:$K$225,"&gt;"&amp;$K197)+1))</f>
        <v/>
      </c>
      <c r="AS197" s="257" t="str">
        <f>IF($D197&gt;Standings!$Q$27,"",(COUNTIFS($D$2:$D$225,$D197,$AD$2:$AD$225,"&gt;"&amp;$AD197)+1))</f>
        <v/>
      </c>
      <c r="AT197" s="355" t="str">
        <f>IF($D197&gt;Standings!$Q$27,"",SUMIFS($J$2:$J$225,$D$2:$D$225,$D197,$C$2:$C$225,$C197))</f>
        <v/>
      </c>
      <c r="AU197" s="261" t="str">
        <f>IF($D197&gt;Standings!$Q$27,"",SUMIFS($AC$2:$AC$225,$D$2:$D$225,$D197,$C$2:$C$225,$C197))</f>
        <v/>
      </c>
    </row>
    <row r="198" spans="1:47">
      <c r="A198" s="190">
        <f t="shared" si="2"/>
        <v>14</v>
      </c>
      <c r="B198" s="3" t="str">
        <f>'ESPN Data'!$L$18</f>
        <v>Team 15</v>
      </c>
      <c r="C198" s="349" t="str">
        <f>VLOOKUP(B198,'ESPN Data'!$L$4:$M$19,2,FALSE)</f>
        <v>Wardo</v>
      </c>
      <c r="D198" s="399">
        <v>1</v>
      </c>
      <c r="E198" s="266" t="str">
        <f t="array" ref="E198">INDEX('ESPN Data'!$C$3:$C$226,MATCH(1,('ESPN Data'!$A$3:$A$226='Point Data'!$D198)*('ESPN Data'!$B$3:$B$226='Point Data'!$B198),0))</f>
        <v>Team 9</v>
      </c>
      <c r="F198" s="242" t="str">
        <f>IF(C198&lt;&gt;VLOOKUP($E198,'ESPN Data'!$L$4:$M$19,2,FALSE),"Non Conf", "Conf")</f>
        <v>Conf</v>
      </c>
      <c r="G198" s="237">
        <f t="array" aca="1" ref="G198" ca="1">IF('Point Data'!$D198&gt;Standings!$Q$27,"",(COUNTIFS($D$2:$D$225,$D198,$AM$2:$AM$225,"&gt;"&amp;$AM198)+1))</f>
        <v>5</v>
      </c>
      <c r="H198" s="241">
        <f>IF('Point Data'!$D198&gt;Standings!$Q$27,"",VLOOKUP($B198,'ESPN Data'!$L$4:$N$19,3,FALSE))</f>
        <v>13</v>
      </c>
      <c r="I198" s="240">
        <f ca="1">IF('Point Data'!$D198&gt;Standings!$Q$27,"",H198-G198)</f>
        <v>8</v>
      </c>
      <c r="J198" s="241">
        <f ca="1">IF('Point Data'!D198&gt;Standings!$Q$27,"",OFFSET('ESPN Data'!D$3,$A198,0,1,1))</f>
        <v>114.82</v>
      </c>
      <c r="K198" s="239">
        <f ca="1">IF('Point Data'!D198&gt;Standings!$Q$27,"",OFFSET('ESPN Data'!E$3,$A198,0,1,1))</f>
        <v>150.91999999999999</v>
      </c>
      <c r="L198" s="240">
        <f ca="1">IF('Point Data'!D198&gt;Standings!$Q$27,"",OFFSET('ESPN Data'!I$3,$A198,0,1,1))</f>
        <v>100</v>
      </c>
      <c r="M198" s="240">
        <f ca="1">IF('Point Data'!D198&gt;Standings!$Q$27,"",OFFSET('ESPN Data'!I$3,$A198,-2,1,1))</f>
        <v>0</v>
      </c>
      <c r="N198" s="240">
        <f ca="1">IF('Point Data'!D198&gt;Standings!$Q$27,"",SUMIFS($M$2:$M$225,$D$2:$D$225,D198,$C$2:$C$225,C198))</f>
        <v>0</v>
      </c>
      <c r="O198" s="240">
        <f ca="1">IF('Point Data'!D198&gt;Standings!$Q$27,"",SUMIFS($L$2:$L$225,$D$2:$D$225,$D198,$C$2:$C$225,$C198))</f>
        <v>800</v>
      </c>
      <c r="P198" s="240">
        <f ca="1">IF('Point Data'!D198&gt;Standings!$Q$27,"",SUMIFS($M$2:$M$225,$D$2:$D$225,D198))</f>
        <v>3</v>
      </c>
      <c r="Q198" s="240">
        <f ca="1">IF('Point Data'!D198&gt;Standings!$Q$27,"",SUMIFS($L$2:$L$225,$D$2:$D$225,$D198))</f>
        <v>1597</v>
      </c>
      <c r="R198" s="240">
        <f ca="1">IF($D198&gt;Standings!$Q$27,"",IF(U198="T",(Z198+0.5)/(D198)*100,(Z198/D198)*100))</f>
        <v>0</v>
      </c>
      <c r="S198" s="239">
        <f ca="1">IF($D198&gt;Standings!$Q$27,"",$J198-$K198)</f>
        <v>-36.099999999999994</v>
      </c>
      <c r="T198" s="239">
        <f ca="1">IF($D198&gt;Standings!$Q$27,"",AVERAGE(OFFSET(S198,(-$D198+1),0,1,1):S198))</f>
        <v>-36.099999999999994</v>
      </c>
      <c r="U198" s="241">
        <f ca="1">IF($D198&gt;Standings!$Q$27,"",IF(J198&gt;K198,1,IF(J198=K198,"T",0)))</f>
        <v>0</v>
      </c>
      <c r="V198" s="241">
        <f>IF($D198&gt;Standings!$Q$27,"",IF(F198="Conf",0,SUMIFS($U$2:$U$225,$D$2:$D$225,"&lt;="&amp;$D198,$B$2:$B$225,$B198,$F$2:$F$225,"Non Conf")))</f>
        <v>0</v>
      </c>
      <c r="W198" s="241" t="str">
        <f ca="1">IF($D198&gt;Standings!$Q$27,"",$V198&amp;"-"&amp;COUNTIF(OFFSET($F198,(-$D198+1),0,1,1):$F198,"Non Conf")-$V198)</f>
        <v>0-0</v>
      </c>
      <c r="X198" s="241">
        <f ca="1">IF($D198&gt;Standings!$Q$27,"",SUMIFS($U$2:$U$225,$D$2:$D$225,"&lt;="&amp;$D198,$B$2:$B$225,$B198,$F$2:$F$225,"Conf"))</f>
        <v>0</v>
      </c>
      <c r="Y198" s="241" t="str">
        <f ca="1">IF($D198&gt;Standings!$Q$27,"",$X198&amp;"-"&amp;COUNTIF(OFFSET($F198,(-$D198+1),0,1,1):$F198,"Conf")-$X198)</f>
        <v>0-1</v>
      </c>
      <c r="Z198" s="241">
        <f ca="1">IF($D198&gt;Standings!$Q$27,"",SUM(OFFSET(U198,(-$D198+1),0,1,1):U198))</f>
        <v>0</v>
      </c>
      <c r="AA198" s="241">
        <f ca="1">IF($D198&gt;Standings!$Q$27,"",IF(U198=1,1,0))</f>
        <v>0</v>
      </c>
      <c r="AB198" s="242">
        <f ca="1">IF($D198&gt;Standings!$Q$27,"",IF(AA198=0,1,0))</f>
        <v>1</v>
      </c>
      <c r="AC198" s="245">
        <f ca="1">IF($D198&gt;Standings!$Q$27,"",SUM(OFFSET(J198,(-$D198+1),0,1,1):J198))</f>
        <v>114.82</v>
      </c>
      <c r="AD198" s="239">
        <f ca="1">IF($D198&gt;Standings!$Q$27,"",SUM(OFFSET(K198,(-$D198+1),0,1,1):K198))</f>
        <v>150.91999999999999</v>
      </c>
      <c r="AE198" s="239">
        <f ca="1">IF($D198&gt;Standings!$Q$27,"",$J198-$K198)</f>
        <v>-36.099999999999994</v>
      </c>
      <c r="AF198" s="239">
        <f ca="1">IF($D198&gt;Standings!$Q$27,"",AC198-AD198)</f>
        <v>-36.099999999999994</v>
      </c>
      <c r="AG198" s="233">
        <f ca="1">IF($D198&gt;Standings!$Q$27,"",(COUNTIFS($D$2:$D$225,$D198,$C$2:$C$225,$C198,$AC$2:$AC$225,"&lt;"&amp;$AC198)+1)*0.01)</f>
        <v>0.06</v>
      </c>
      <c r="AH198" s="233">
        <f ca="1">IF($D198&gt;Standings!$Q$27,"",Z198+AG198)</f>
        <v>0.06</v>
      </c>
      <c r="AI198" s="233"/>
      <c r="AJ198" s="241">
        <f t="array" aca="1" ref="AJ198" ca="1">IF($D198&gt;Standings!$Q$27,"",(COUNTIFS($D$2:$D$225,$D198,$C$2:$C$225,$C198,$AM$2:$AM$225,"&gt;"&amp;$AM198)+1))</f>
        <v>3</v>
      </c>
      <c r="AK198" s="241">
        <f t="array" aca="1" ref="AK198" ca="1">IF($D198&gt;Standings!$Q$27,"",IF((COUNTIFS($D$2:$D$225,$D198,$C$2:$C$225,$C198,$AH$2:$AH$225,"&gt;"&amp;$AH198)+1)=2,1,0))</f>
        <v>0</v>
      </c>
      <c r="AL198" s="241">
        <f t="array" aca="1" ref="AL198" ca="1">IF($D198&gt;Standings!$Q$27,"",IF((COUNTIFS($D$2:$D$225,$D198,$C$2:$C$225,$C198,$AH$2:$AH$225,"&gt;"&amp;$AH198)+1)&lt;2,1,0))</f>
        <v>0</v>
      </c>
      <c r="AM198" s="241">
        <f ca="1">IF($D198&gt;Standings!$Q$27,"",IF(AL198=1,200+Z198+(16-AQ198)*0.01+AI198,IF(AK198=1,100+Z198+(16-AQ198)*0.01+AI198,IF(AN198=1,50+Z198+(16-AQ198)*0.01,IF(AO198=1,15+Z198+(16-AQ198)*0.01,Z198+(16-AQ198)*0.01+AI198)))))</f>
        <v>50.12</v>
      </c>
      <c r="AN198" s="241">
        <f ca="1">IF($D198&gt;Standings!$Q$27,"",IF(OR($AK198=1,$AL198=1),"Conf Playoff Spot",COUNTIFS($AL$2:$AL$225,0,$AK$2:$AK$225,0,$C$2:$C$225,$C198,$D$2:$D$225,$D198,$AC$2:$AC$225,"&gt;"&amp;$AC198)+1))</f>
        <v>1</v>
      </c>
      <c r="AO198" s="241">
        <f t="array" aca="1" ref="AO198" ca="1">IF($D198&gt;Standings!$Q$27,"",IF(OR($AK198=1,$AL198=1),"Conf Playoff Spot",COUNTIFS($AK$2:$AK$225,0,$AL$2:$AL$225,0,$D$2:$D$225,$D198,$AH$2:$AH$225,"&gt;"&amp;$AH198)+1))</f>
        <v>5</v>
      </c>
      <c r="AP198" s="241">
        <f t="array" aca="1" ref="AP198" ca="1">IF($D198&gt;Standings!$Q$27,"",(COUNTIFS($D$2:$D$225,$D198,$J$2:$J$225,"&gt;"&amp;$J198)+1))</f>
        <v>4</v>
      </c>
      <c r="AQ198" s="241">
        <f ca="1">IF($D198&gt;Standings!$Q$27,"",(COUNTIFS($D$2:$D$225,$D198,$AC$2:$AC$225,"&gt;"&amp;$AC198)+1))</f>
        <v>4</v>
      </c>
      <c r="AR198" s="241">
        <f ca="1">IF($D198&gt;Standings!$Q$27,"",(COUNTIFS($D$2:$D$225,$D198,$K$2:$K$225,"&gt;"&amp;$K198)+1))</f>
        <v>1</v>
      </c>
      <c r="AS198" s="241">
        <f ca="1">IF($D198&gt;Standings!$Q$27,"",(COUNTIFS($D$2:$D$225,$D198,$AD$2:$AD$225,"&gt;"&amp;$AD198)+1))</f>
        <v>1</v>
      </c>
      <c r="AT198" s="357">
        <f ca="1">IF($D198&gt;Standings!$Q$27,"",SUMIFS($J$2:$J$225,$D$2:$D$225,$D198,$C$2:$C$225,$C198))</f>
        <v>872.36000000000013</v>
      </c>
      <c r="AU198" s="245">
        <f ca="1">IF($D198&gt;Standings!$Q$27,"",SUMIFS($AC$2:$AC$225,$D$2:$D$225,$D198,$C$2:$C$225,$C198))</f>
        <v>872.36000000000013</v>
      </c>
    </row>
    <row r="199" spans="1:47">
      <c r="A199" s="190">
        <f t="shared" si="2"/>
        <v>30</v>
      </c>
      <c r="B199" s="5" t="str">
        <f>'ESPN Data'!$L$18</f>
        <v>Team 15</v>
      </c>
      <c r="C199" s="350" t="str">
        <f>VLOOKUP(B199,'ESPN Data'!$L$4:$M$19,2,FALSE)</f>
        <v>Wardo</v>
      </c>
      <c r="D199" s="400">
        <v>2</v>
      </c>
      <c r="E199" s="267" t="str">
        <f t="array" ref="E199">INDEX('ESPN Data'!$C$3:$C$226,MATCH(1,('ESPN Data'!$A$3:$A$226='Point Data'!$D199)*('ESPN Data'!$B$3:$B$226='Point Data'!$B199),0))</f>
        <v>Team 13</v>
      </c>
      <c r="F199" s="250" t="str">
        <f>IF(C199&lt;&gt;VLOOKUP($E199,'ESPN Data'!$L$4:$M$19,2,FALSE),"Non Conf", "Conf")</f>
        <v>Conf</v>
      </c>
      <c r="G199" s="246">
        <f t="array" aca="1" ref="G199" ca="1">IF('Point Data'!$D199&gt;Standings!$Q$27,"",(COUNTIFS($D$2:$D$225,$D199,$AM$2:$AM$225,"&gt;"&amp;$AM199)+1))</f>
        <v>5</v>
      </c>
      <c r="H199" s="172">
        <f ca="1">IF('Point Data'!$D199&gt;Standings!$Q$27,"",$G198)</f>
        <v>5</v>
      </c>
      <c r="I199" s="249">
        <f ca="1">IF('Point Data'!D199&gt;Standings!$Q$27,"",H199-G199)</f>
        <v>0</v>
      </c>
      <c r="J199" s="172">
        <f ca="1">IF('Point Data'!D199&gt;Standings!$Q$27,"",OFFSET('ESPN Data'!D$3,$A199,0,1,1))</f>
        <v>148.19</v>
      </c>
      <c r="K199" s="248">
        <f ca="1">IF('Point Data'!D199&gt;Standings!$Q$27,"",OFFSET('ESPN Data'!E$3,$A199,0,1,1))</f>
        <v>79.11</v>
      </c>
      <c r="L199" s="249">
        <f ca="1">IF('Point Data'!D199&gt;Standings!$Q$27,"",OFFSET('ESPN Data'!I$3,$A199,0,1,1))</f>
        <v>100</v>
      </c>
      <c r="M199" s="249">
        <f ca="1">IF('Point Data'!D199&gt;Standings!$Q$27,"",OFFSET('ESPN Data'!I$3,$A199,-2,1,1))</f>
        <v>0</v>
      </c>
      <c r="N199" s="249">
        <f ca="1">IF('Point Data'!D199&gt;Standings!$Q$27,"",SUMIFS($M$2:$M$225,$D$2:$D$225,D199,$C$2:$C$225,C199))</f>
        <v>29</v>
      </c>
      <c r="O199" s="249">
        <f ca="1">IF('Point Data'!D199&gt;Standings!$Q$27,"",SUMIFS($L$2:$L$225,$D$2:$D$225,$D199,$C$2:$C$225,$C199))</f>
        <v>771</v>
      </c>
      <c r="P199" s="249">
        <f ca="1">IF('Point Data'!D199&gt;Standings!$Q$27,"",SUMIFS($M$2:$M$225,$D$2:$D$225,D199))</f>
        <v>73</v>
      </c>
      <c r="Q199" s="249">
        <f ca="1">IF('Point Data'!D199&gt;Standings!$Q$27,"",SUMIFS($L$2:$L$225,$D$2:$D$225,D199))</f>
        <v>1524</v>
      </c>
      <c r="R199" s="249">
        <f ca="1">IF($D199&gt;Standings!$Q$27,"",IF(U199="T",(Z199+0.5)/(D199)*100,(Z199/D199)*100))</f>
        <v>50</v>
      </c>
      <c r="S199" s="248">
        <f ca="1">IF($D199&gt;Standings!$Q$27,"",$J199-$K199)</f>
        <v>69.08</v>
      </c>
      <c r="T199" s="248">
        <f ca="1">IF($D199&gt;Standings!$Q$27,"",AVERAGE(OFFSET(S199,(-$D199+1),0,1,1):S199))</f>
        <v>16.490000000000002</v>
      </c>
      <c r="U199" s="172">
        <f ca="1">IF($D199&gt;Standings!$Q$27,"",IF(J199&gt;K199,1,IF(J199=K199,"T",0)))</f>
        <v>1</v>
      </c>
      <c r="V199" s="172">
        <f>IF($D199&gt;Standings!$Q$27,"",IF(F199="Conf",V198,SUMIFS($U$2:$U$225,$D$2:$D$225,"&lt;="&amp;$D199,$B$2:$B$225,$B199,$F$2:$F$225,"Non Conf")))</f>
        <v>0</v>
      </c>
      <c r="W199" s="172" t="str">
        <f ca="1">IF($D199&gt;Standings!$Q$27,"",$V199&amp;"-"&amp;COUNTIF(OFFSET($F199,(-$D199+1),0,1,1):$F199,"Non Conf")-$V199)</f>
        <v>0-0</v>
      </c>
      <c r="X199" s="172">
        <f ca="1">IF($D199&gt;Standings!$Q$27,"",SUMIFS($U$2:$U$225,$D$2:$D$225,"&lt;="&amp;$D199,$B$2:$B$225,$B199,$F$2:$F$225,"Conf"))</f>
        <v>1</v>
      </c>
      <c r="Y199" s="172" t="str">
        <f ca="1">IF($D199&gt;Standings!$Q$27,"",$X199&amp;"-"&amp;COUNTIF(OFFSET($F199,(-$D199+1),0,1,1):$F199,"Conf")-$X199)</f>
        <v>1-1</v>
      </c>
      <c r="Z199" s="172">
        <f ca="1">IF($D199&gt;Standings!$Q$27,"",SUM(OFFSET(U199,(-$D199+1),0,1,1):U199))</f>
        <v>1</v>
      </c>
      <c r="AA199" s="172">
        <f ca="1">IF($D199&gt;Standings!$Q$27,"",IF(U199=1,1+AA198,0))</f>
        <v>1</v>
      </c>
      <c r="AB199" s="250">
        <f ca="1">IF($D199&gt;Standings!$Q$27,"",IF(AA199=0,1+AB198,0))</f>
        <v>0</v>
      </c>
      <c r="AC199" s="253">
        <f ca="1">IF($D199&gt;Standings!$Q$27,"",SUM(OFFSET(J199,(-$D199+1),0,1,1):J199))</f>
        <v>263.01</v>
      </c>
      <c r="AD199" s="248">
        <f ca="1">IF($D199&gt;Standings!$Q$27,"",SUM(OFFSET(K199,(-$D199+1),0,1,1):K199))</f>
        <v>230.02999999999997</v>
      </c>
      <c r="AE199" s="248">
        <f ca="1">IF($D199&gt;Standings!$Q$27,"",$J199-$K199)</f>
        <v>69.08</v>
      </c>
      <c r="AF199" s="248">
        <f ca="1">IF($D199&gt;Standings!$Q$27,"",AC199-AD199)</f>
        <v>32.980000000000018</v>
      </c>
      <c r="AG199" s="234">
        <f ca="1">IF($D199&gt;Standings!$Q$27,"",(COUNTIFS($D$2:$D$225,$D199,$C$2:$C$225,$C199,$AC$2:$AC$225,"&lt;"&amp;$AC199)+1)*0.01)</f>
        <v>7.0000000000000007E-2</v>
      </c>
      <c r="AH199" s="234">
        <f ca="1">IF($D199&gt;Standings!$Q$27,"",Z199+AG199)</f>
        <v>1.07</v>
      </c>
      <c r="AI199" s="234"/>
      <c r="AJ199" s="172">
        <f t="array" aca="1" ref="AJ199" ca="1">IF($D199&gt;Standings!$Q$27,"",(COUNTIFS($D$2:$D$225,$D199,$C$2:$C$225,$C199,$AM$2:$AM$225,"&gt;"&amp;$AM199)+1))</f>
        <v>3</v>
      </c>
      <c r="AK199" s="172">
        <f t="array" aca="1" ref="AK199" ca="1">IF($D199&gt;Standings!$Q$27,"",IF((COUNTIFS($D$2:$D$225,$D199,$C$2:$C$225,$C199,$AH$2:$AH$225,"&gt;"&amp;$AH199)+1)=2,1,0))</f>
        <v>0</v>
      </c>
      <c r="AL199" s="172">
        <f t="array" aca="1" ref="AL199" ca="1">IF($D199&gt;Standings!$Q$27,"",IF((COUNTIFS($D$2:$D$225,$D199,$C$2:$C$225,$C199,$AH$2:$AH$225,"&gt;"&amp;$AH199)+1)&lt;2,1,0))</f>
        <v>0</v>
      </c>
      <c r="AM199" s="172">
        <f ca="1">IF($D199&gt;Standings!$Q$27,"",IF(AL199=1,200+Z199+(16-AQ199)*0.01+AI199,IF(AK199=1,100+Z199+(16-AQ199)*0.01+AI199,IF(AN199=1,50+Z199+(16-AQ199)*0.01,IF(AO199=1,15+Z199+(16-AQ199)*0.01,Z199+(16-AQ199)*0.01+AI199)))))</f>
        <v>51.14</v>
      </c>
      <c r="AN199" s="172">
        <f ca="1">IF($D199&gt;Standings!$Q$27,"",IF(OR($AK199=1,$AL199=1),"Conf Playoff Spot",COUNTIFS($AL$2:$AL$225,0,$AK$2:$AK$225,0,$C$2:$C$225,$C199,$D$2:$D$225,$D199,$AC$2:$AC$225,"&gt;"&amp;$AC199)+1))</f>
        <v>1</v>
      </c>
      <c r="AO199" s="172">
        <f t="array" aca="1" ref="AO199" ca="1">IF($D199&gt;Standings!$Q$27,"",IF(OR($AK199=1,$AL199=1),"Conf Playoff Spot",COUNTIFS($AK$2:$AK$225,0,$AL$2:$AL$225,0,$D$2:$D$225,$D199,$AH$2:$AH$225,"&gt;"&amp;$AH199)+1))</f>
        <v>3</v>
      </c>
      <c r="AP199" s="172">
        <f t="array" aca="1" ref="AP199" ca="1">IF($D199&gt;Standings!$Q$27,"",(COUNTIFS($D$2:$D$225,$D199,$J$2:$J$225,"&gt;"&amp;$J199)+1))</f>
        <v>1</v>
      </c>
      <c r="AQ199" s="172">
        <f ca="1">IF($D199&gt;Standings!$Q$27,"",(COUNTIFS($D$2:$D$225,$D199,$AC$2:$AC$225,"&gt;"&amp;$AC199)+1))</f>
        <v>2</v>
      </c>
      <c r="AR199" s="172">
        <f ca="1">IF($D199&gt;Standings!$Q$27,"",(COUNTIFS($D$2:$D$225,$D199,$K$2:$K$225,"&gt;"&amp;$K199)+1))</f>
        <v>16</v>
      </c>
      <c r="AS199" s="172">
        <f ca="1">IF($D199&gt;Standings!$Q$27,"",(COUNTIFS($D$2:$D$225,$D199,$AD$2:$AD$225,"&gt;"&amp;$AD199)+1))</f>
        <v>4</v>
      </c>
      <c r="AT199" s="354">
        <f ca="1">IF($D199&gt;Standings!$Q$27,"",SUMIFS($J$2:$J$225,$D$2:$D$225,$D199,$C$2:$C$225,$C199))</f>
        <v>937.28000000000009</v>
      </c>
      <c r="AU199" s="253">
        <f ca="1">IF($D199&gt;Standings!$Q$27,"",SUMIFS($AC$2:$AC$225,$D$2:$D$225,$D199,$C$2:$C$225,$C199))</f>
        <v>1809.64</v>
      </c>
    </row>
    <row r="200" spans="1:47">
      <c r="A200" s="190">
        <f t="shared" si="2"/>
        <v>46</v>
      </c>
      <c r="B200" s="5" t="str">
        <f>'ESPN Data'!$L$18</f>
        <v>Team 15</v>
      </c>
      <c r="C200" s="350" t="str">
        <f>VLOOKUP(B200,'ESPN Data'!$L$4:$M$19,2,FALSE)</f>
        <v>Wardo</v>
      </c>
      <c r="D200" s="400">
        <v>3</v>
      </c>
      <c r="E200" s="267" t="str">
        <f t="array" ref="E200">INDEX('ESPN Data'!$C$3:$C$226,MATCH(1,('ESPN Data'!$A$3:$A$226='Point Data'!$D200)*('ESPN Data'!$B$3:$B$226='Point Data'!$B200),0))</f>
        <v>Team 1</v>
      </c>
      <c r="F200" s="250" t="str">
        <f>IF(C200&lt;&gt;VLOOKUP($E200,'ESPN Data'!$L$4:$M$19,2,FALSE),"Non Conf", "Conf")</f>
        <v>Non Conf</v>
      </c>
      <c r="G200" s="246">
        <f t="array" aca="1" ref="G200" ca="1">IF('Point Data'!$D200&gt;Standings!$Q$27,"",(COUNTIFS($D$2:$D$225,$D200,$AM$2:$AM$225,"&gt;"&amp;$AM200)+1))</f>
        <v>10</v>
      </c>
      <c r="H200" s="172">
        <f ca="1">IF('Point Data'!$D200&gt;Standings!$Q$27,"",$G199)</f>
        <v>5</v>
      </c>
      <c r="I200" s="249">
        <f ca="1">IF('Point Data'!D200&gt;Standings!$Q$27,"",H200-G200)</f>
        <v>-5</v>
      </c>
      <c r="J200" s="172">
        <f ca="1">IF('Point Data'!D200&gt;Standings!$Q$27,"",OFFSET('ESPN Data'!D$3,$A200,0,1,1))</f>
        <v>108.7</v>
      </c>
      <c r="K200" s="248">
        <f ca="1">IF('Point Data'!D200&gt;Standings!$Q$27,"",OFFSET('ESPN Data'!E$3,$A200,0,1,1))</f>
        <v>113.11</v>
      </c>
      <c r="L200" s="249">
        <f ca="1">IF('Point Data'!D200&gt;Standings!$Q$27,"",OFFSET('ESPN Data'!I$3,$A200,0,1,1))</f>
        <v>61</v>
      </c>
      <c r="M200" s="249">
        <f ca="1">IF('Point Data'!D200&gt;Standings!$Q$27,"",OFFSET('ESPN Data'!I$3,$A200,-2,1,1))</f>
        <v>39</v>
      </c>
      <c r="N200" s="249">
        <f ca="1">IF('Point Data'!D200&gt;Standings!$Q$27,"",SUMIFS($M$2:$M$225,$D$2:$D$225,D200,$C$2:$C$225,C200))</f>
        <v>185</v>
      </c>
      <c r="O200" s="249">
        <f ca="1">IF('Point Data'!D200&gt;Standings!$Q$27,"",SUMIFS($L$2:$L$225,$D$2:$D$225,$D200,$C$2:$C$225,$C200))</f>
        <v>586</v>
      </c>
      <c r="P200" s="249">
        <f ca="1">IF('Point Data'!D200&gt;Standings!$Q$27,"",SUMIFS($M$2:$M$225,$D$2:$D$225,D200))</f>
        <v>210</v>
      </c>
      <c r="Q200" s="249">
        <f ca="1">IF('Point Data'!D200&gt;Standings!$Q$27,"",SUMIFS($L$2:$L$225,$D$2:$D$225,D200))</f>
        <v>1314</v>
      </c>
      <c r="R200" s="249">
        <f ca="1">IF($D200&gt;Standings!$Q$27,"",IF(U200="T",(Z200+0.5)/(D200)*100,(Z200/D200)*100))</f>
        <v>33.333333333333329</v>
      </c>
      <c r="S200" s="248">
        <f ca="1">IF($D200&gt;Standings!$Q$27,"",$J200-$K200)</f>
        <v>-4.4099999999999966</v>
      </c>
      <c r="T200" s="248">
        <f ca="1">IF($D200&gt;Standings!$Q$27,"",AVERAGE(OFFSET(S200,(-$D200+1),0,1,1):S200))</f>
        <v>9.5233333333333352</v>
      </c>
      <c r="U200" s="172">
        <f ca="1">IF($D200&gt;Standings!$Q$27,"",IF(J200&gt;K200,1,IF(J200=K200,"T",0)))</f>
        <v>0</v>
      </c>
      <c r="V200" s="172">
        <f ca="1">IF($D200&gt;Standings!$Q$27,"",IF(F200="Conf",V199,SUMIFS($U$2:$U$225,$D$2:$D$225,"&lt;="&amp;$D200,$B$2:$B$225,$B200,$F$2:$F$225,"Non Conf")))</f>
        <v>0</v>
      </c>
      <c r="W200" s="172" t="str">
        <f ca="1">IF($D200&gt;Standings!$Q$27,"",$V200&amp;"-"&amp;COUNTIF(OFFSET($F200,(-$D200+1),0,1,1):$F200,"Non Conf")-$V200)</f>
        <v>0-1</v>
      </c>
      <c r="X200" s="172">
        <f ca="1">IF($D200&gt;Standings!$Q$27,"",SUMIFS($U$2:$U$225,$D$2:$D$225,"&lt;="&amp;$D200,$B$2:$B$225,$B200,$F$2:$F$225,"Conf"))</f>
        <v>1</v>
      </c>
      <c r="Y200" s="172" t="str">
        <f ca="1">IF($D200&gt;Standings!$Q$27,"",$X200&amp;"-"&amp;COUNTIF(OFFSET($F200,(-$D200+1),0,1,1):$F200,"Conf")-$X200)</f>
        <v>1-1</v>
      </c>
      <c r="Z200" s="172">
        <f ca="1">IF($D200&gt;Standings!$Q$27,"",SUM(OFFSET(U200,(-$D200+1),0,1,1):U200))</f>
        <v>1</v>
      </c>
      <c r="AA200" s="172">
        <f ca="1">IF($D200&gt;Standings!$Q$27,"",IF(U200=1,1+AA199,0))</f>
        <v>0</v>
      </c>
      <c r="AB200" s="250">
        <f ca="1">IF($D200&gt;Standings!$Q$27,"",IF(AA200=0,1+AB199,0))</f>
        <v>1</v>
      </c>
      <c r="AC200" s="253">
        <f ca="1">IF($D200&gt;Standings!$Q$27,"",SUM(OFFSET(J200,(-$D200+1),0,1,1):J200))</f>
        <v>371.71</v>
      </c>
      <c r="AD200" s="248">
        <f ca="1">IF($D200&gt;Standings!$Q$27,"",SUM(OFFSET(K200,(-$D200+1),0,1,1):K200))</f>
        <v>343.14</v>
      </c>
      <c r="AE200" s="248">
        <f ca="1">IF($D200&gt;Standings!$Q$27,"",$J200-$K200)</f>
        <v>-4.4099999999999966</v>
      </c>
      <c r="AF200" s="248">
        <f ca="1">IF($D200&gt;Standings!$Q$27,"",AC200-AD200)</f>
        <v>28.569999999999993</v>
      </c>
      <c r="AG200" s="234">
        <f ca="1">IF($D200&gt;Standings!$Q$27,"",(COUNTIFS($D$2:$D$225,$D200,$C$2:$C$225,$C200,$AC$2:$AC$225,"&lt;"&amp;$AC200)+1)*0.01)</f>
        <v>7.0000000000000007E-2</v>
      </c>
      <c r="AH200" s="234">
        <f ca="1">IF($D200&gt;Standings!$Q$27,"",Z200+AG200)</f>
        <v>1.07</v>
      </c>
      <c r="AI200" s="234"/>
      <c r="AJ200" s="172">
        <f t="array" aca="1" ref="AJ200" ca="1">IF($D200&gt;Standings!$Q$27,"",(COUNTIFS($D$2:$D$225,$D200,$C$2:$C$225,$C200,$AM$2:$AM$225,"&gt;"&amp;$AM200)+1))</f>
        <v>4</v>
      </c>
      <c r="AK200" s="172">
        <f t="array" aca="1" ref="AK200" ca="1">IF($D200&gt;Standings!$Q$27,"",IF((COUNTIFS($D$2:$D$225,$D200,$C$2:$C$225,$C200,$AH$2:$AH$225,"&gt;"&amp;$AH200)+1)=2,1,0))</f>
        <v>0</v>
      </c>
      <c r="AL200" s="172">
        <f t="array" aca="1" ref="AL200" ca="1">IF($D200&gt;Standings!$Q$27,"",IF((COUNTIFS($D$2:$D$225,$D200,$C$2:$C$225,$C200,$AH$2:$AH$225,"&gt;"&amp;$AH200)+1)&lt;2,1,0))</f>
        <v>0</v>
      </c>
      <c r="AM200" s="172">
        <f ca="1">IF($D200&gt;Standings!$Q$27,"",IF(AL200=1,200+Z200+(16-AQ200)*0.01+AI200,IF(AK200=1,100+Z200+(16-AQ200)*0.01+AI200,IF(AN200=1,50+Z200+(16-AQ200)*0.01,IF(AO200=1,15+Z200+(16-AQ200)*0.01,Z200+(16-AQ200)*0.01+AI200)))))</f>
        <v>1.1400000000000001</v>
      </c>
      <c r="AN200" s="172">
        <f ca="1">IF($D200&gt;Standings!$Q$27,"",IF(OR($AK200=1,$AL200=1),"Conf Playoff Spot",COUNTIFS($AL$2:$AL$225,0,$AK$2:$AK$225,0,$C$2:$C$225,$C200,$D$2:$D$225,$D200,$AC$2:$AC$225,"&gt;"&amp;$AC200)+1))</f>
        <v>2</v>
      </c>
      <c r="AO200" s="172">
        <f t="array" aca="1" ref="AO200" ca="1">IF($D200&gt;Standings!$Q$27,"",IF(OR($AK200=1,$AL200=1),"Conf Playoff Spot",COUNTIFS($AK$2:$AK$225,0,$AL$2:$AL$225,0,$D$2:$D$225,$D200,$AH$2:$AH$225,"&gt;"&amp;$AH200)+1))</f>
        <v>6</v>
      </c>
      <c r="AP200" s="172">
        <f t="array" aca="1" ref="AP200" ca="1">IF($D200&gt;Standings!$Q$27,"",(COUNTIFS($D$2:$D$225,$D200,$J$2:$J$225,"&gt;"&amp;$J200)+1))</f>
        <v>8</v>
      </c>
      <c r="AQ200" s="172">
        <f ca="1">IF($D200&gt;Standings!$Q$27,"",(COUNTIFS($D$2:$D$225,$D200,$AC$2:$AC$225,"&gt;"&amp;$AC200)+1))</f>
        <v>2</v>
      </c>
      <c r="AR200" s="172">
        <f ca="1">IF($D200&gt;Standings!$Q$27,"",(COUNTIFS($D$2:$D$225,$D200,$K$2:$K$225,"&gt;"&amp;$K200)+1))</f>
        <v>7</v>
      </c>
      <c r="AS200" s="172">
        <f ca="1">IF($D200&gt;Standings!$Q$27,"",(COUNTIFS($D$2:$D$225,$D200,$AD$2:$AD$225,"&gt;"&amp;$AD200)+1))</f>
        <v>5</v>
      </c>
      <c r="AT200" s="354">
        <f ca="1">IF($D200&gt;Standings!$Q$27,"",SUMIFS($J$2:$J$225,$D$2:$D$225,$D200,$C$2:$C$225,$C200))</f>
        <v>832.04000000000008</v>
      </c>
      <c r="AU200" s="253">
        <f ca="1">IF($D200&gt;Standings!$Q$27,"",SUMIFS($AC$2:$AC$225,$D$2:$D$225,$D200,$C$2:$C$225,$C200))</f>
        <v>2641.68</v>
      </c>
    </row>
    <row r="201" spans="1:47">
      <c r="A201" s="190">
        <f t="shared" si="2"/>
        <v>62</v>
      </c>
      <c r="B201" s="5" t="str">
        <f>'ESPN Data'!$L$18</f>
        <v>Team 15</v>
      </c>
      <c r="C201" s="350" t="str">
        <f>VLOOKUP(B201,'ESPN Data'!$L$4:$M$19,2,FALSE)</f>
        <v>Wardo</v>
      </c>
      <c r="D201" s="400">
        <v>4</v>
      </c>
      <c r="E201" s="267" t="str">
        <f t="array" ref="E201">INDEX('ESPN Data'!$C$3:$C$226,MATCH(1,('ESPN Data'!$A$3:$A$226='Point Data'!$D201)*('ESPN Data'!$B$3:$B$226='Point Data'!$B201),0))</f>
        <v>Team 3</v>
      </c>
      <c r="F201" s="250" t="str">
        <f>IF(C201&lt;&gt;VLOOKUP($E201,'ESPN Data'!$L$4:$M$19,2,FALSE),"Non Conf", "Conf")</f>
        <v>Non Conf</v>
      </c>
      <c r="G201" s="246">
        <f t="array" aca="1" ref="G201" ca="1">IF('Point Data'!$D201&gt;Standings!$Q$27,"",(COUNTIFS($D$2:$D$225,$D201,$AM$2:$AM$225,"&gt;"&amp;$AM201)+1))</f>
        <v>5</v>
      </c>
      <c r="H201" s="172">
        <f ca="1">IF('Point Data'!$D201&gt;Standings!$Q$27,"",$G200)</f>
        <v>10</v>
      </c>
      <c r="I201" s="249">
        <f ca="1">IF('Point Data'!D201&gt;Standings!$Q$27,"",H201-G201)</f>
        <v>5</v>
      </c>
      <c r="J201" s="172">
        <f ca="1">IF('Point Data'!D201&gt;Standings!$Q$27,"",OFFSET('ESPN Data'!D$3,$A201,0,1,1))</f>
        <v>109.16</v>
      </c>
      <c r="K201" s="248">
        <f ca="1">IF('Point Data'!D201&gt;Standings!$Q$27,"",OFFSET('ESPN Data'!E$3,$A201,0,1,1))</f>
        <v>92.02</v>
      </c>
      <c r="L201" s="249">
        <f ca="1">IF('Point Data'!D201&gt;Standings!$Q$27,"",OFFSET('ESPN Data'!I$3,$A201,0,1,1))</f>
        <v>61</v>
      </c>
      <c r="M201" s="249">
        <f ca="1">IF('Point Data'!D201&gt;Standings!$Q$27,"",OFFSET('ESPN Data'!I$3,$A201,-2,1,1))</f>
        <v>0</v>
      </c>
      <c r="N201" s="249">
        <f ca="1">IF('Point Data'!D201&gt;Standings!$Q$27,"",SUMIFS($M$2:$M$225,$D$2:$D$225,D201,$C$2:$C$225,C201))</f>
        <v>10</v>
      </c>
      <c r="O201" s="249">
        <f ca="1">IF('Point Data'!D201&gt;Standings!$Q$27,"",SUMIFS($L$2:$L$225,$D$2:$D$225,$D201,$C$2:$C$225,$C201))</f>
        <v>576</v>
      </c>
      <c r="P201" s="249">
        <f ca="1">IF('Point Data'!D201&gt;Standings!$Q$27,"",SUMIFS($M$2:$M$225,$D$2:$D$225,D201))</f>
        <v>171</v>
      </c>
      <c r="Q201" s="249">
        <f ca="1">IF('Point Data'!D201&gt;Standings!$Q$27,"",SUMIFS($L$2:$L$225,$D$2:$D$225,D201))</f>
        <v>1143</v>
      </c>
      <c r="R201" s="249">
        <f ca="1">IF($D201&gt;Standings!$Q$27,"",IF(U201="T",(Z201+0.5)/(D201)*100,(Z201/D201)*100))</f>
        <v>50</v>
      </c>
      <c r="S201" s="248">
        <f ca="1">IF($D201&gt;Standings!$Q$27,"",$J201-$K201)</f>
        <v>17.14</v>
      </c>
      <c r="T201" s="248">
        <f ca="1">IF($D201&gt;Standings!$Q$27,"",AVERAGE(OFFSET(S201,(-$D201+1),0,1,1):S201))</f>
        <v>11.427500000000002</v>
      </c>
      <c r="U201" s="172">
        <f ca="1">IF($D201&gt;Standings!$Q$27,"",IF(J201&gt;K201,1,IF(J201=K201,"T",0)))</f>
        <v>1</v>
      </c>
      <c r="V201" s="172">
        <f ca="1">IF($D201&gt;Standings!$Q$27,"",IF(F201="Conf",V200,SUMIFS($U$2:$U$225,$D$2:$D$225,"&lt;="&amp;$D201,$B$2:$B$225,$B201,$F$2:$F$225,"Non Conf")))</f>
        <v>1</v>
      </c>
      <c r="W201" s="172" t="str">
        <f ca="1">IF($D201&gt;Standings!$Q$27,"",$V201&amp;"-"&amp;COUNTIF(OFFSET($F201,(-$D201+1),0,1,1):$F201,"Non Conf")-$V201)</f>
        <v>1-1</v>
      </c>
      <c r="X201" s="172">
        <f ca="1">IF($D201&gt;Standings!$Q$27,"",SUMIFS($U$2:$U$225,$D$2:$D$225,"&lt;="&amp;$D201,$B$2:$B$225,$B201,$F$2:$F$225,"Conf"))</f>
        <v>1</v>
      </c>
      <c r="Y201" s="172" t="str">
        <f ca="1">IF($D201&gt;Standings!$Q$27,"",$X201&amp;"-"&amp;COUNTIF(OFFSET($F201,(-$D201+1),0,1,1):$F201,"Conf")-$X201)</f>
        <v>1-1</v>
      </c>
      <c r="Z201" s="172">
        <f ca="1">IF($D201&gt;Standings!$Q$27,"",SUM(OFFSET(U201,(-$D201+1),0,1,1):U201))</f>
        <v>2</v>
      </c>
      <c r="AA201" s="172">
        <f ca="1">IF($D201&gt;Standings!$Q$27,"",IF(U201=1,1+AA200,0))</f>
        <v>1</v>
      </c>
      <c r="AB201" s="250">
        <f ca="1">IF($D201&gt;Standings!$Q$27,"",IF(AA201=0,1+AB200,0))</f>
        <v>0</v>
      </c>
      <c r="AC201" s="253">
        <f ca="1">IF($D201&gt;Standings!$Q$27,"",SUM(OFFSET(J201,(-$D201+1),0,1,1):J201))</f>
        <v>480.87</v>
      </c>
      <c r="AD201" s="248">
        <f ca="1">IF($D201&gt;Standings!$Q$27,"",SUM(OFFSET(K201,(-$D201+1),0,1,1):K201))</f>
        <v>435.15999999999997</v>
      </c>
      <c r="AE201" s="248">
        <f ca="1">IF($D201&gt;Standings!$Q$27,"",$J201-$K201)</f>
        <v>17.14</v>
      </c>
      <c r="AF201" s="248">
        <f ca="1">IF($D201&gt;Standings!$Q$27,"",AC201-AD201)</f>
        <v>45.710000000000036</v>
      </c>
      <c r="AG201" s="234">
        <f ca="1">IF($D201&gt;Standings!$Q$27,"",(COUNTIFS($D$2:$D$225,$D201,$C$2:$C$225,$C201,$AC$2:$AC$225,"&lt;"&amp;$AC201)+1)*0.01)</f>
        <v>7.0000000000000007E-2</v>
      </c>
      <c r="AH201" s="234">
        <f ca="1">IF($D201&gt;Standings!$Q$27,"",Z201+AG201)</f>
        <v>2.0699999999999998</v>
      </c>
      <c r="AI201" s="234"/>
      <c r="AJ201" s="172">
        <f t="array" aca="1" ref="AJ201" ca="1">IF($D201&gt;Standings!$Q$27,"",(COUNTIFS($D$2:$D$225,$D201,$C$2:$C$225,$C201,$AM$2:$AM$225,"&gt;"&amp;$AM201)+1))</f>
        <v>3</v>
      </c>
      <c r="AK201" s="172">
        <f t="array" aca="1" ref="AK201" ca="1">IF($D201&gt;Standings!$Q$27,"",IF((COUNTIFS($D$2:$D$225,$D201,$C$2:$C$225,$C201,$AH$2:$AH$225,"&gt;"&amp;$AH201)+1)=2,1,0))</f>
        <v>0</v>
      </c>
      <c r="AL201" s="172">
        <f t="array" aca="1" ref="AL201" ca="1">IF($D201&gt;Standings!$Q$27,"",IF((COUNTIFS($D$2:$D$225,$D201,$C$2:$C$225,$C201,$AH$2:$AH$225,"&gt;"&amp;$AH201)+1)&lt;2,1,0))</f>
        <v>0</v>
      </c>
      <c r="AM201" s="172">
        <f ca="1">IF($D201&gt;Standings!$Q$27,"",IF(AL201=1,200+Z201+(16-AQ201)*0.01+AI201,IF(AK201=1,100+Z201+(16-AQ201)*0.01+AI201,IF(AN201=1,50+Z201+(16-AQ201)*0.01,IF(AO201=1,15+Z201+(16-AQ201)*0.01,Z201+(16-AQ201)*0.01+AI201)))))</f>
        <v>52.14</v>
      </c>
      <c r="AN201" s="172">
        <f ca="1">IF($D201&gt;Standings!$Q$27,"",IF(OR($AK201=1,$AL201=1),"Conf Playoff Spot",COUNTIFS($AL$2:$AL$225,0,$AK$2:$AK$225,0,$C$2:$C$225,$C201,$D$2:$D$225,$D201,$AC$2:$AC$225,"&gt;"&amp;$AC201)+1))</f>
        <v>1</v>
      </c>
      <c r="AO201" s="172">
        <f t="array" aca="1" ref="AO201" ca="1">IF($D201&gt;Standings!$Q$27,"",IF(OR($AK201=1,$AL201=1),"Conf Playoff Spot",COUNTIFS($AK$2:$AK$225,0,$AL$2:$AL$225,0,$D$2:$D$225,$D201,$AH$2:$AH$225,"&gt;"&amp;$AH201)+1))</f>
        <v>4</v>
      </c>
      <c r="AP201" s="172">
        <f t="array" aca="1" ref="AP201" ca="1">IF($D201&gt;Standings!$Q$27,"",(COUNTIFS($D$2:$D$225,$D201,$J$2:$J$225,"&gt;"&amp;$J201)+1))</f>
        <v>6</v>
      </c>
      <c r="AQ201" s="172">
        <f ca="1">IF($D201&gt;Standings!$Q$27,"",(COUNTIFS($D$2:$D$225,$D201,$AC$2:$AC$225,"&gt;"&amp;$AC201)+1))</f>
        <v>2</v>
      </c>
      <c r="AR201" s="172">
        <f ca="1">IF($D201&gt;Standings!$Q$27,"",(COUNTIFS($D$2:$D$225,$D201,$K$2:$K$225,"&gt;"&amp;$K201)+1))</f>
        <v>13</v>
      </c>
      <c r="AS201" s="172">
        <f ca="1">IF($D201&gt;Standings!$Q$27,"",(COUNTIFS($D$2:$D$225,$D201,$AD$2:$AD$225,"&gt;"&amp;$AD201)+1))</f>
        <v>7</v>
      </c>
      <c r="AT201" s="354">
        <f ca="1">IF($D201&gt;Standings!$Q$27,"",SUMIFS($J$2:$J$225,$D$2:$D$225,$D201,$C$2:$C$225,$C201))</f>
        <v>827.84</v>
      </c>
      <c r="AU201" s="253">
        <f ca="1">IF($D201&gt;Standings!$Q$27,"",SUMIFS($AC$2:$AC$225,$D$2:$D$225,$D201,$C$2:$C$225,$C201))</f>
        <v>3469.52</v>
      </c>
    </row>
    <row r="202" spans="1:47">
      <c r="A202" s="190">
        <f t="shared" si="2"/>
        <v>78</v>
      </c>
      <c r="B202" s="5" t="str">
        <f>'ESPN Data'!$L$18</f>
        <v>Team 15</v>
      </c>
      <c r="C202" s="350" t="str">
        <f>VLOOKUP(B202,'ESPN Data'!$L$4:$M$19,2,FALSE)</f>
        <v>Wardo</v>
      </c>
      <c r="D202" s="400">
        <v>5</v>
      </c>
      <c r="E202" s="267" t="str">
        <f t="array" ref="E202">INDEX('ESPN Data'!$C$3:$C$226,MATCH(1,('ESPN Data'!$A$3:$A$226='Point Data'!$D202)*('ESPN Data'!$B$3:$B$226='Point Data'!$B202),0))</f>
        <v>Team 16</v>
      </c>
      <c r="F202" s="250" t="str">
        <f>IF(C202&lt;&gt;VLOOKUP($E202,'ESPN Data'!$L$4:$M$19,2,FALSE),"Non Conf", "Conf")</f>
        <v>Conf</v>
      </c>
      <c r="G202" s="246">
        <f t="array" aca="1" ref="G202" ca="1">IF('Point Data'!$D202&gt;Standings!$Q$27,"",(COUNTIFS($D$2:$D$225,$D202,$AM$2:$AM$225,"&gt;"&amp;$AM202)+1))</f>
        <v>6</v>
      </c>
      <c r="H202" s="172">
        <f ca="1">IF('Point Data'!$D202&gt;Standings!$Q$27,"",$G201)</f>
        <v>5</v>
      </c>
      <c r="I202" s="249">
        <f ca="1">IF('Point Data'!D202&gt;Standings!$Q$27,"",H202-G202)</f>
        <v>-1</v>
      </c>
      <c r="J202" s="172">
        <f ca="1">IF('Point Data'!D202&gt;Standings!$Q$27,"",OFFSET('ESPN Data'!D$3,$A202,0,1,1))</f>
        <v>105.13</v>
      </c>
      <c r="K202" s="248">
        <f ca="1">IF('Point Data'!D202&gt;Standings!$Q$27,"",OFFSET('ESPN Data'!E$3,$A202,0,1,1))</f>
        <v>133.30000000000001</v>
      </c>
      <c r="L202" s="249">
        <f ca="1">IF('Point Data'!D202&gt;Standings!$Q$27,"",OFFSET('ESPN Data'!I$3,$A202,0,1,1))</f>
        <v>61</v>
      </c>
      <c r="M202" s="249">
        <f ca="1">IF('Point Data'!D202&gt;Standings!$Q$27,"",OFFSET('ESPN Data'!I$3,$A202,-2,1,1))</f>
        <v>0</v>
      </c>
      <c r="N202" s="249">
        <f ca="1">IF('Point Data'!D202&gt;Standings!$Q$27,"",SUMIFS($M$2:$M$225,$D$2:$D$225,D202,$C$2:$C$225,C202))</f>
        <v>39</v>
      </c>
      <c r="O202" s="249">
        <f ca="1">IF('Point Data'!D202&gt;Standings!$Q$27,"",SUMIFS($L$2:$L$225,$D$2:$D$225,$D202,$C$2:$C$225,$C202))</f>
        <v>537</v>
      </c>
      <c r="P202" s="249">
        <f ca="1">IF('Point Data'!D202&gt;Standings!$Q$27,"",SUMIFS($M$2:$M$225,$D$2:$D$225,D202))</f>
        <v>104</v>
      </c>
      <c r="Q202" s="249">
        <f ca="1">IF('Point Data'!D202&gt;Standings!$Q$27,"",SUMIFS($L$2:$L$225,$D$2:$D$225,D202))</f>
        <v>1039</v>
      </c>
      <c r="R202" s="249">
        <f ca="1">IF($D202&gt;Standings!$Q$27,"",IF(U202="T",(Z202+0.5)/(D202)*100,(Z202/D202)*100))</f>
        <v>40</v>
      </c>
      <c r="S202" s="248">
        <f ca="1">IF($D202&gt;Standings!$Q$27,"",$J202-$K202)</f>
        <v>-28.170000000000016</v>
      </c>
      <c r="T202" s="248">
        <f ca="1">IF($D202&gt;Standings!$Q$27,"",AVERAGE(OFFSET(S202,(-$D202+1),0,1,1):S202))</f>
        <v>3.5079999999999982</v>
      </c>
      <c r="U202" s="172">
        <f ca="1">IF($D202&gt;Standings!$Q$27,"",IF(J202&gt;K202,1,IF(J202=K202,"T",0)))</f>
        <v>0</v>
      </c>
      <c r="V202" s="172">
        <f ca="1">IF($D202&gt;Standings!$Q$27,"",IF(F202="Conf",V201,SUMIFS($U$2:$U$225,$D$2:$D$225,"&lt;="&amp;$D202,$B$2:$B$225,$B202,$F$2:$F$225,"Non Conf")))</f>
        <v>1</v>
      </c>
      <c r="W202" s="172" t="str">
        <f ca="1">IF($D202&gt;Standings!$Q$27,"",$V202&amp;"-"&amp;COUNTIF(OFFSET($F202,(-$D202+1),0,1,1):$F202,"Non Conf")-$V202)</f>
        <v>1-1</v>
      </c>
      <c r="X202" s="172">
        <f ca="1">IF($D202&gt;Standings!$Q$27,"",SUMIFS($U$2:$U$225,$D$2:$D$225,"&lt;="&amp;$D202,$B$2:$B$225,$B202,$F$2:$F$225,"Conf"))</f>
        <v>1</v>
      </c>
      <c r="Y202" s="172" t="str">
        <f ca="1">IF($D202&gt;Standings!$Q$27,"",$X202&amp;"-"&amp;COUNTIF(OFFSET($F202,(-$D202+1),0,1,1):$F202,"Conf")-$X202)</f>
        <v>1-2</v>
      </c>
      <c r="Z202" s="172">
        <f ca="1">IF($D202&gt;Standings!$Q$27,"",SUM(OFFSET(U202,(-$D202+1),0,1,1):U202))</f>
        <v>2</v>
      </c>
      <c r="AA202" s="172">
        <f ca="1">IF($D202&gt;Standings!$Q$27,"",IF(U202=1,1+AA201,0))</f>
        <v>0</v>
      </c>
      <c r="AB202" s="250">
        <f ca="1">IF($D202&gt;Standings!$Q$27,"",IF(AA202=0,1+AB201,0))</f>
        <v>1</v>
      </c>
      <c r="AC202" s="253">
        <f ca="1">IF($D202&gt;Standings!$Q$27,"",SUM(OFFSET(J202,(-$D202+1),0,1,1):J202))</f>
        <v>586</v>
      </c>
      <c r="AD202" s="248">
        <f ca="1">IF($D202&gt;Standings!$Q$27,"",SUM(OFFSET(K202,(-$D202+1),0,1,1):K202))</f>
        <v>568.46</v>
      </c>
      <c r="AE202" s="248">
        <f ca="1">IF($D202&gt;Standings!$Q$27,"",$J202-$K202)</f>
        <v>-28.170000000000016</v>
      </c>
      <c r="AF202" s="248">
        <f ca="1">IF($D202&gt;Standings!$Q$27,"",AC202-AD202)</f>
        <v>17.539999999999964</v>
      </c>
      <c r="AG202" s="234">
        <f ca="1">IF($D202&gt;Standings!$Q$27,"",(COUNTIFS($D$2:$D$225,$D202,$C$2:$C$225,$C202,$AC$2:$AC$225,"&lt;"&amp;$AC202)+1)*0.01)</f>
        <v>7.0000000000000007E-2</v>
      </c>
      <c r="AH202" s="234">
        <f ca="1">IF($D202&gt;Standings!$Q$27,"",Z202+AG202)</f>
        <v>2.0699999999999998</v>
      </c>
      <c r="AI202" s="234"/>
      <c r="AJ202" s="172">
        <f t="array" aca="1" ref="AJ202" ca="1">IF($D202&gt;Standings!$Q$27,"",(COUNTIFS($D$2:$D$225,$D202,$C$2:$C$225,$C202,$AM$2:$AM$225,"&gt;"&amp;$AM202)+1))</f>
        <v>3</v>
      </c>
      <c r="AK202" s="172">
        <f t="array" aca="1" ref="AK202" ca="1">IF($D202&gt;Standings!$Q$27,"",IF((COUNTIFS($D$2:$D$225,$D202,$C$2:$C$225,$C202,$AH$2:$AH$225,"&gt;"&amp;$AH202)+1)=2,1,0))</f>
        <v>0</v>
      </c>
      <c r="AL202" s="172">
        <f t="array" aca="1" ref="AL202" ca="1">IF($D202&gt;Standings!$Q$27,"",IF((COUNTIFS($D$2:$D$225,$D202,$C$2:$C$225,$C202,$AH$2:$AH$225,"&gt;"&amp;$AH202)+1)&lt;2,1,0))</f>
        <v>0</v>
      </c>
      <c r="AM202" s="172">
        <f ca="1">IF($D202&gt;Standings!$Q$27,"",IF(AL202=1,200+Z202+(16-AQ202)*0.01+AI202,IF(AK202=1,100+Z202+(16-AQ202)*0.01+AI202,IF(AN202=1,50+Z202+(16-AQ202)*0.01,IF(AO202=1,15+Z202+(16-AQ202)*0.01,Z202+(16-AQ202)*0.01+AI202)))))</f>
        <v>52.14</v>
      </c>
      <c r="AN202" s="172">
        <f ca="1">IF($D202&gt;Standings!$Q$27,"",IF(OR($AK202=1,$AL202=1),"Conf Playoff Spot",COUNTIFS($AL$2:$AL$225,0,$AK$2:$AK$225,0,$C$2:$C$225,$C202,$D$2:$D$225,$D202,$AC$2:$AC$225,"&gt;"&amp;$AC202)+1))</f>
        <v>1</v>
      </c>
      <c r="AO202" s="172">
        <f t="array" aca="1" ref="AO202" ca="1">IF($D202&gt;Standings!$Q$27,"",IF(OR($AK202=1,$AL202=1),"Conf Playoff Spot",COUNTIFS($AK$2:$AK$225,0,$AL$2:$AL$225,0,$D$2:$D$225,$D202,$AH$2:$AH$225,"&gt;"&amp;$AH202)+1))</f>
        <v>6</v>
      </c>
      <c r="AP202" s="172">
        <f t="array" aca="1" ref="AP202" ca="1">IF($D202&gt;Standings!$Q$27,"",(COUNTIFS($D$2:$D$225,$D202,$J$2:$J$225,"&gt;"&amp;$J202)+1))</f>
        <v>8</v>
      </c>
      <c r="AQ202" s="172">
        <f ca="1">IF($D202&gt;Standings!$Q$27,"",(COUNTIFS($D$2:$D$225,$D202,$AC$2:$AC$225,"&gt;"&amp;$AC202)+1))</f>
        <v>2</v>
      </c>
      <c r="AR202" s="172">
        <f ca="1">IF($D202&gt;Standings!$Q$27,"",(COUNTIFS($D$2:$D$225,$D202,$K$2:$K$225,"&gt;"&amp;$K202)+1))</f>
        <v>4</v>
      </c>
      <c r="AS202" s="172">
        <f ca="1">IF($D202&gt;Standings!$Q$27,"",(COUNTIFS($D$2:$D$225,$D202,$AD$2:$AD$225,"&gt;"&amp;$AD202)+1))</f>
        <v>2</v>
      </c>
      <c r="AT202" s="354">
        <f ca="1">IF($D202&gt;Standings!$Q$27,"",SUMIFS($J$2:$J$225,$D$2:$D$225,$D202,$C$2:$C$225,$C202))</f>
        <v>855.19</v>
      </c>
      <c r="AU202" s="253">
        <f ca="1">IF($D202&gt;Standings!$Q$27,"",SUMIFS($AC$2:$AC$225,$D$2:$D$225,$D202,$C$2:$C$225,$C202))</f>
        <v>4324.71</v>
      </c>
    </row>
    <row r="203" spans="1:47">
      <c r="A203" s="190">
        <f t="shared" si="2"/>
        <v>94</v>
      </c>
      <c r="B203" s="5" t="str">
        <f>'ESPN Data'!$L$18</f>
        <v>Team 15</v>
      </c>
      <c r="C203" s="350" t="str">
        <f>VLOOKUP(B203,'ESPN Data'!$L$4:$M$19,2,FALSE)</f>
        <v>Wardo</v>
      </c>
      <c r="D203" s="400">
        <v>6</v>
      </c>
      <c r="E203" s="267" t="str">
        <f t="array" ref="E203">INDEX('ESPN Data'!$C$3:$C$226,MATCH(1,('ESPN Data'!$A$3:$A$226='Point Data'!$D203)*('ESPN Data'!$B$3:$B$226='Point Data'!$B203),0))</f>
        <v>Team 2</v>
      </c>
      <c r="F203" s="250" t="str">
        <f>IF(C203&lt;&gt;VLOOKUP($E203,'ESPN Data'!$L$4:$M$19,2,FALSE),"Non Conf", "Conf")</f>
        <v>Non Conf</v>
      </c>
      <c r="G203" s="246">
        <f t="array" aca="1" ref="G203" ca="1">IF('Point Data'!$D203&gt;Standings!$Q$27,"",(COUNTIFS($D$2:$D$225,$D203,$AM$2:$AM$225,"&gt;"&amp;$AM203)+1))</f>
        <v>6</v>
      </c>
      <c r="H203" s="172">
        <f ca="1">IF('Point Data'!$D203&gt;Standings!$Q$27,"",$G202)</f>
        <v>6</v>
      </c>
      <c r="I203" s="249">
        <f ca="1">IF('Point Data'!D203&gt;Standings!$Q$27,"",H203-G203)</f>
        <v>0</v>
      </c>
      <c r="J203" s="172">
        <f ca="1">IF('Point Data'!D203&gt;Standings!$Q$27,"",OFFSET('ESPN Data'!D$3,$A203,0,1,1))</f>
        <v>73.25</v>
      </c>
      <c r="K203" s="248">
        <f ca="1">IF('Point Data'!D203&gt;Standings!$Q$27,"",OFFSET('ESPN Data'!E$3,$A203,0,1,1))</f>
        <v>97.96</v>
      </c>
      <c r="L203" s="249">
        <f ca="1">IF('Point Data'!D203&gt;Standings!$Q$27,"",OFFSET('ESPN Data'!I$3,$A203,0,1,1))</f>
        <v>46</v>
      </c>
      <c r="M203" s="249">
        <f ca="1">IF('Point Data'!D203&gt;Standings!$Q$27,"",OFFSET('ESPN Data'!I$3,$A203,-2,1,1))</f>
        <v>15</v>
      </c>
      <c r="N203" s="249">
        <f ca="1">IF('Point Data'!D203&gt;Standings!$Q$27,"",SUMIFS($M$2:$M$225,$D$2:$D$225,D203,$C$2:$C$225,C203))</f>
        <v>67</v>
      </c>
      <c r="O203" s="249">
        <f ca="1">IF('Point Data'!D203&gt;Standings!$Q$27,"",SUMIFS($L$2:$L$225,$D$2:$D$225,$D203,$C$2:$C$225,$C203))</f>
        <v>470</v>
      </c>
      <c r="P203" s="249">
        <f ca="1">IF('Point Data'!D203&gt;Standings!$Q$27,"",SUMIFS($M$2:$M$225,$D$2:$D$225,D203))</f>
        <v>183</v>
      </c>
      <c r="Q203" s="249">
        <f ca="1">IF('Point Data'!D203&gt;Standings!$Q$27,"",SUMIFS($L$2:$L$225,$D$2:$D$225,D203))</f>
        <v>856</v>
      </c>
      <c r="R203" s="249">
        <f ca="1">IF($D203&gt;Standings!$Q$27,"",IF(U203="T",(Z203+0.5)/(D203)*100,(Z203/D203)*100))</f>
        <v>33.333333333333329</v>
      </c>
      <c r="S203" s="248">
        <f ca="1">IF($D203&gt;Standings!$Q$27,"",$J203-$K203)</f>
        <v>-24.709999999999994</v>
      </c>
      <c r="T203" s="248">
        <f ca="1">IF($D203&gt;Standings!$Q$27,"",AVERAGE(OFFSET(S203,(-$D203+1),0,1,1):S203))</f>
        <v>-1.1950000000000003</v>
      </c>
      <c r="U203" s="172">
        <f ca="1">IF($D203&gt;Standings!$Q$27,"",IF(J203&gt;K203,1,IF(J203=K203,"T",0)))</f>
        <v>0</v>
      </c>
      <c r="V203" s="172">
        <f ca="1">IF($D203&gt;Standings!$Q$27,"",IF(F203="Conf",V202,SUMIFS($U$2:$U$225,$D$2:$D$225,"&lt;="&amp;$D203,$B$2:$B$225,$B203,$F$2:$F$225,"Non Conf")))</f>
        <v>1</v>
      </c>
      <c r="W203" s="172" t="str">
        <f ca="1">IF($D203&gt;Standings!$Q$27,"",$V203&amp;"-"&amp;COUNTIF(OFFSET($F203,(-$D203+1),0,1,1):$F203,"Non Conf")-$V203)</f>
        <v>1-2</v>
      </c>
      <c r="X203" s="172">
        <f ca="1">IF($D203&gt;Standings!$Q$27,"",SUMIFS($U$2:$U$225,$D$2:$D$225,"&lt;="&amp;$D203,$B$2:$B$225,$B203,$F$2:$F$225,"Conf"))</f>
        <v>1</v>
      </c>
      <c r="Y203" s="172" t="str">
        <f ca="1">IF($D203&gt;Standings!$Q$27,"",$X203&amp;"-"&amp;COUNTIF(OFFSET($F203,(-$D203+1),0,1,1):$F203,"Conf")-$X203)</f>
        <v>1-2</v>
      </c>
      <c r="Z203" s="172">
        <f ca="1">IF($D203&gt;Standings!$Q$27,"",SUM(OFFSET(U203,(-$D203+1),0,1,1):U203))</f>
        <v>2</v>
      </c>
      <c r="AA203" s="172">
        <f ca="1">IF($D203&gt;Standings!$Q$27,"",IF(U203=1,1+AA202,0))</f>
        <v>0</v>
      </c>
      <c r="AB203" s="250">
        <f ca="1">IF($D203&gt;Standings!$Q$27,"",IF(AA203=0,1+AB202,0))</f>
        <v>2</v>
      </c>
      <c r="AC203" s="253">
        <f ca="1">IF($D203&gt;Standings!$Q$27,"",SUM(OFFSET(J203,(-$D203+1),0,1,1):J203))</f>
        <v>659.25</v>
      </c>
      <c r="AD203" s="248">
        <f ca="1">IF($D203&gt;Standings!$Q$27,"",SUM(OFFSET(K203,(-$D203+1),0,1,1):K203))</f>
        <v>666.42000000000007</v>
      </c>
      <c r="AE203" s="248">
        <f ca="1">IF($D203&gt;Standings!$Q$27,"",$J203-$K203)</f>
        <v>-24.709999999999994</v>
      </c>
      <c r="AF203" s="248">
        <f ca="1">IF($D203&gt;Standings!$Q$27,"",AC203-AD203)</f>
        <v>-7.1700000000000728</v>
      </c>
      <c r="AG203" s="234">
        <f ca="1">IF($D203&gt;Standings!$Q$27,"",(COUNTIFS($D$2:$D$225,$D203,$C$2:$C$225,$C203,$AC$2:$AC$225,"&lt;"&amp;$AC203)+1)*0.01)</f>
        <v>7.0000000000000007E-2</v>
      </c>
      <c r="AH203" s="234">
        <f ca="1">IF($D203&gt;Standings!$Q$27,"",Z203+AG203)</f>
        <v>2.0699999999999998</v>
      </c>
      <c r="AI203" s="234"/>
      <c r="AJ203" s="172">
        <f t="array" aca="1" ref="AJ203" ca="1">IF($D203&gt;Standings!$Q$27,"",(COUNTIFS($D$2:$D$225,$D203,$C$2:$C$225,$C203,$AM$2:$AM$225,"&gt;"&amp;$AM203)+1))</f>
        <v>3</v>
      </c>
      <c r="AK203" s="172">
        <f t="array" aca="1" ref="AK203" ca="1">IF($D203&gt;Standings!$Q$27,"",IF((COUNTIFS($D$2:$D$225,$D203,$C$2:$C$225,$C203,$AH$2:$AH$225,"&gt;"&amp;$AH203)+1)=2,1,0))</f>
        <v>0</v>
      </c>
      <c r="AL203" s="172">
        <f t="array" aca="1" ref="AL203" ca="1">IF($D203&gt;Standings!$Q$27,"",IF((COUNTIFS($D$2:$D$225,$D203,$C$2:$C$225,$C203,$AH$2:$AH$225,"&gt;"&amp;$AH203)+1)&lt;2,1,0))</f>
        <v>0</v>
      </c>
      <c r="AM203" s="172">
        <f ca="1">IF($D203&gt;Standings!$Q$27,"",IF(AL203=1,200+Z203+(16-AQ203)*0.01+AI203,IF(AK203=1,100+Z203+(16-AQ203)*0.01+AI203,IF(AN203=1,50+Z203+(16-AQ203)*0.01,IF(AO203=1,15+Z203+(16-AQ203)*0.01,Z203+(16-AQ203)*0.01+AI203)))))</f>
        <v>52.1</v>
      </c>
      <c r="AN203" s="172">
        <f ca="1">IF($D203&gt;Standings!$Q$27,"",IF(OR($AK203=1,$AL203=1),"Conf Playoff Spot",COUNTIFS($AL$2:$AL$225,0,$AK$2:$AK$225,0,$C$2:$C$225,$C203,$D$2:$D$225,$D203,$AC$2:$AC$225,"&gt;"&amp;$AC203)+1))</f>
        <v>1</v>
      </c>
      <c r="AO203" s="172">
        <f t="array" aca="1" ref="AO203" ca="1">IF($D203&gt;Standings!$Q$27,"",IF(OR($AK203=1,$AL203=1),"Conf Playoff Spot",COUNTIFS($AK$2:$AK$225,0,$AL$2:$AL$225,0,$D$2:$D$225,$D203,$AH$2:$AH$225,"&gt;"&amp;$AH203)+1))</f>
        <v>7</v>
      </c>
      <c r="AP203" s="172">
        <f t="array" aca="1" ref="AP203" ca="1">IF($D203&gt;Standings!$Q$27,"",(COUNTIFS($D$2:$D$225,$D203,$J$2:$J$225,"&gt;"&amp;$J203)+1))</f>
        <v>14</v>
      </c>
      <c r="AQ203" s="172">
        <f ca="1">IF($D203&gt;Standings!$Q$27,"",(COUNTIFS($D$2:$D$225,$D203,$AC$2:$AC$225,"&gt;"&amp;$AC203)+1))</f>
        <v>6</v>
      </c>
      <c r="AR203" s="172">
        <f ca="1">IF($D203&gt;Standings!$Q$27,"",(COUNTIFS($D$2:$D$225,$D203,$K$2:$K$225,"&gt;"&amp;$K203)+1))</f>
        <v>9</v>
      </c>
      <c r="AS203" s="172">
        <f ca="1">IF($D203&gt;Standings!$Q$27,"",(COUNTIFS($D$2:$D$225,$D203,$AD$2:$AD$225,"&gt;"&amp;$AD203)+1))</f>
        <v>2</v>
      </c>
      <c r="AT203" s="354">
        <f ca="1">IF($D203&gt;Standings!$Q$27,"",SUMIFS($J$2:$J$225,$D$2:$D$225,$D203,$C$2:$C$225,$C203))</f>
        <v>768.68000000000006</v>
      </c>
      <c r="AU203" s="253">
        <f ca="1">IF($D203&gt;Standings!$Q$27,"",SUMIFS($AC$2:$AC$225,$D$2:$D$225,$D203,$C$2:$C$225,$C203))</f>
        <v>5093.3900000000003</v>
      </c>
    </row>
    <row r="204" spans="1:47">
      <c r="A204" s="190">
        <f t="shared" si="2"/>
        <v>110</v>
      </c>
      <c r="B204" s="5" t="str">
        <f>'ESPN Data'!$L$18</f>
        <v>Team 15</v>
      </c>
      <c r="C204" s="350" t="str">
        <f>VLOOKUP(B204,'ESPN Data'!$L$4:$M$19,2,FALSE)</f>
        <v>Wardo</v>
      </c>
      <c r="D204" s="400">
        <v>7</v>
      </c>
      <c r="E204" s="267" t="str">
        <f t="array" ref="E204">INDEX('ESPN Data'!$C$3:$C$226,MATCH(1,('ESPN Data'!$A$3:$A$226='Point Data'!$D204)*('ESPN Data'!$B$3:$B$226='Point Data'!$B204),0))</f>
        <v>Team 11</v>
      </c>
      <c r="F204" s="250" t="str">
        <f>IF(C204&lt;&gt;VLOOKUP($E204,'ESPN Data'!$L$4:$M$19,2,FALSE),"Non Conf", "Conf")</f>
        <v>Conf</v>
      </c>
      <c r="G204" s="246">
        <f t="array" aca="1" ref="G204" ca="1">IF('Point Data'!$D204&gt;Standings!$Q$27,"",(COUNTIFS($D$2:$D$225,$D204,$AM$2:$AM$225,"&gt;"&amp;$AM204)+1))</f>
        <v>6</v>
      </c>
      <c r="H204" s="172">
        <f ca="1">IF('Point Data'!$D204&gt;Standings!$Q$27,"",$G203)</f>
        <v>6</v>
      </c>
      <c r="I204" s="249">
        <f ca="1">IF('Point Data'!D204&gt;Standings!$Q$27,"",H204-G204)</f>
        <v>0</v>
      </c>
      <c r="J204" s="172">
        <f ca="1">IF('Point Data'!D204&gt;Standings!$Q$27,"",OFFSET('ESPN Data'!D$3,$A204,0,1,1))</f>
        <v>93.71</v>
      </c>
      <c r="K204" s="248">
        <f ca="1">IF('Point Data'!D204&gt;Standings!$Q$27,"",OFFSET('ESPN Data'!E$3,$A204,0,1,1))</f>
        <v>96.92</v>
      </c>
      <c r="L204" s="249">
        <f ca="1">IF('Point Data'!D204&gt;Standings!$Q$27,"",OFFSET('ESPN Data'!I$3,$A204,0,1,1))</f>
        <v>40</v>
      </c>
      <c r="M204" s="249">
        <f ca="1">IF('Point Data'!D204&gt;Standings!$Q$27,"",OFFSET('ESPN Data'!I$3,$A204,-2,1,1))</f>
        <v>6</v>
      </c>
      <c r="N204" s="249">
        <f ca="1">IF('Point Data'!D204&gt;Standings!$Q$27,"",SUMIFS($M$2:$M$225,$D$2:$D$225,D204,$C$2:$C$225,C204))</f>
        <v>140</v>
      </c>
      <c r="O204" s="249">
        <f ca="1">IF('Point Data'!D204&gt;Standings!$Q$27,"",SUMIFS($L$2:$L$225,$D$2:$D$225,$D204,$C$2:$C$225,$C204))</f>
        <v>330</v>
      </c>
      <c r="P204" s="249">
        <f ca="1">IF('Point Data'!D204&gt;Standings!$Q$27,"",SUMIFS($M$2:$M$225,$D$2:$D$225,D204))</f>
        <v>168</v>
      </c>
      <c r="Q204" s="249">
        <f ca="1">IF('Point Data'!D204&gt;Standings!$Q$27,"",SUMIFS($L$2:$L$225,$D$2:$D$225,D204))</f>
        <v>688</v>
      </c>
      <c r="R204" s="249">
        <f ca="1">IF($D204&gt;Standings!$Q$27,"",IF(U204="T",(Z204+0.5)/(D204)*100,(Z204/D204)*100))</f>
        <v>28.571428571428569</v>
      </c>
      <c r="S204" s="248">
        <f ca="1">IF($D204&gt;Standings!$Q$27,"",$J204-$K204)</f>
        <v>-3.210000000000008</v>
      </c>
      <c r="T204" s="248">
        <f ca="1">IF($D204&gt;Standings!$Q$27,"",AVERAGE(OFFSET(S204,(-$D204+1),0,1,1):S204))</f>
        <v>-1.4828571428571442</v>
      </c>
      <c r="U204" s="172">
        <f ca="1">IF($D204&gt;Standings!$Q$27,"",IF(J204&gt;K204,1,IF(J204=K204,"T",0)))</f>
        <v>0</v>
      </c>
      <c r="V204" s="172">
        <f ca="1">IF($D204&gt;Standings!$Q$27,"",IF(F204="Conf",V203,SUMIFS($U$2:$U$225,$D$2:$D$225,"&lt;="&amp;$D204,$B$2:$B$225,$B204,$F$2:$F$225,"Non Conf")))</f>
        <v>1</v>
      </c>
      <c r="W204" s="172" t="str">
        <f ca="1">IF($D204&gt;Standings!$Q$27,"",$V204&amp;"-"&amp;COUNTIF(OFFSET($F204,(-$D204+1),0,1,1):$F204,"Non Conf")-$V204)</f>
        <v>1-2</v>
      </c>
      <c r="X204" s="172">
        <f ca="1">IF($D204&gt;Standings!$Q$27,"",SUMIFS($U$2:$U$225,$D$2:$D$225,"&lt;="&amp;$D204,$B$2:$B$225,$B204,$F$2:$F$225,"Conf"))</f>
        <v>1</v>
      </c>
      <c r="Y204" s="172" t="str">
        <f ca="1">IF($D204&gt;Standings!$Q$27,"",$X204&amp;"-"&amp;COUNTIF(OFFSET($F204,(-$D204+1),0,1,1):$F204,"Conf")-$X204)</f>
        <v>1-3</v>
      </c>
      <c r="Z204" s="172">
        <f ca="1">IF($D204&gt;Standings!$Q$27,"",SUM(OFFSET(U204,(-$D204+1),0,1,1):U204))</f>
        <v>2</v>
      </c>
      <c r="AA204" s="172">
        <f ca="1">IF($D204&gt;Standings!$Q$27,"",IF(U204=1,1+AA203,0))</f>
        <v>0</v>
      </c>
      <c r="AB204" s="250">
        <f ca="1">IF($D204&gt;Standings!$Q$27,"",IF(AA204=0,1+AB203,0))</f>
        <v>3</v>
      </c>
      <c r="AC204" s="253">
        <f ca="1">IF($D204&gt;Standings!$Q$27,"",SUM(OFFSET(J204,(-$D204+1),0,1,1):J204))</f>
        <v>752.96</v>
      </c>
      <c r="AD204" s="248">
        <f ca="1">IF($D204&gt;Standings!$Q$27,"",SUM(OFFSET(K204,(-$D204+1),0,1,1):K204))</f>
        <v>763.34</v>
      </c>
      <c r="AE204" s="248">
        <f ca="1">IF($D204&gt;Standings!$Q$27,"",$J204-$K204)</f>
        <v>-3.210000000000008</v>
      </c>
      <c r="AF204" s="248">
        <f ca="1">IF($D204&gt;Standings!$Q$27,"",AC204-AD204)</f>
        <v>-10.379999999999995</v>
      </c>
      <c r="AG204" s="234">
        <f ca="1">IF($D204&gt;Standings!$Q$27,"",(COUNTIFS($D$2:$D$225,$D204,$C$2:$C$225,$C204,$AC$2:$AC$225,"&lt;"&amp;$AC204)+1)*0.01)</f>
        <v>7.0000000000000007E-2</v>
      </c>
      <c r="AH204" s="234">
        <f ca="1">IF($D204&gt;Standings!$Q$27,"",Z204+AG204)</f>
        <v>2.0699999999999998</v>
      </c>
      <c r="AI204" s="234"/>
      <c r="AJ204" s="172">
        <f t="array" aca="1" ref="AJ204" ca="1">IF($D204&gt;Standings!$Q$27,"",(COUNTIFS($D$2:$D$225,$D204,$C$2:$C$225,$C204,$AM$2:$AM$225,"&gt;"&amp;$AM204)+1))</f>
        <v>3</v>
      </c>
      <c r="AK204" s="172">
        <f t="array" aca="1" ref="AK204" ca="1">IF($D204&gt;Standings!$Q$27,"",IF((COUNTIFS($D$2:$D$225,$D204,$C$2:$C$225,$C204,$AH$2:$AH$225,"&gt;"&amp;$AH204)+1)=2,1,0))</f>
        <v>0</v>
      </c>
      <c r="AL204" s="172">
        <f t="array" aca="1" ref="AL204" ca="1">IF($D204&gt;Standings!$Q$27,"",IF((COUNTIFS($D$2:$D$225,$D204,$C$2:$C$225,$C204,$AH$2:$AH$225,"&gt;"&amp;$AH204)+1)&lt;2,1,0))</f>
        <v>0</v>
      </c>
      <c r="AM204" s="172">
        <f ca="1">IF($D204&gt;Standings!$Q$27,"",IF(AL204=1,200+Z204+(16-AQ204)*0.01+AI204,IF(AK204=1,100+Z204+(16-AQ204)*0.01+AI204,IF(AN204=1,50+Z204+(16-AQ204)*0.01,IF(AO204=1,15+Z204+(16-AQ204)*0.01,Z204+(16-AQ204)*0.01+AI204)))))</f>
        <v>52.11</v>
      </c>
      <c r="AN204" s="172">
        <f ca="1">IF($D204&gt;Standings!$Q$27,"",IF(OR($AK204=1,$AL204=1),"Conf Playoff Spot",COUNTIFS($AL$2:$AL$225,0,$AK$2:$AK$225,0,$C$2:$C$225,$C204,$D$2:$D$225,$D204,$AC$2:$AC$225,"&gt;"&amp;$AC204)+1))</f>
        <v>1</v>
      </c>
      <c r="AO204" s="172">
        <f t="array" aca="1" ref="AO204" ca="1">IF($D204&gt;Standings!$Q$27,"",IF(OR($AK204=1,$AL204=1),"Conf Playoff Spot",COUNTIFS($AK$2:$AK$225,0,$AL$2:$AL$225,0,$D$2:$D$225,$D204,$AH$2:$AH$225,"&gt;"&amp;$AH204)+1))</f>
        <v>8</v>
      </c>
      <c r="AP204" s="172">
        <f t="array" aca="1" ref="AP204" ca="1">IF($D204&gt;Standings!$Q$27,"",(COUNTIFS($D$2:$D$225,$D204,$J$2:$J$225,"&gt;"&amp;$J204)+1))</f>
        <v>11</v>
      </c>
      <c r="AQ204" s="172">
        <f ca="1">IF($D204&gt;Standings!$Q$27,"",(COUNTIFS($D$2:$D$225,$D204,$AC$2:$AC$225,"&gt;"&amp;$AC204)+1))</f>
        <v>5</v>
      </c>
      <c r="AR204" s="172">
        <f ca="1">IF($D204&gt;Standings!$Q$27,"",(COUNTIFS($D$2:$D$225,$D204,$K$2:$K$225,"&gt;"&amp;$K204)+1))</f>
        <v>8</v>
      </c>
      <c r="AS204" s="172">
        <f ca="1">IF($D204&gt;Standings!$Q$27,"",(COUNTIFS($D$2:$D$225,$D204,$AD$2:$AD$225,"&gt;"&amp;$AD204)+1))</f>
        <v>6</v>
      </c>
      <c r="AT204" s="354">
        <f ca="1">IF($D204&gt;Standings!$Q$27,"",SUMIFS($J$2:$J$225,$D$2:$D$225,$D204,$C$2:$C$225,$C204))</f>
        <v>714.95</v>
      </c>
      <c r="AU204" s="253">
        <f ca="1">IF($D204&gt;Standings!$Q$27,"",SUMIFS($AC$2:$AC$225,$D$2:$D$225,$D204,$C$2:$C$225,$C204))</f>
        <v>5808.34</v>
      </c>
    </row>
    <row r="205" spans="1:47">
      <c r="A205" s="190">
        <f t="shared" si="2"/>
        <v>126</v>
      </c>
      <c r="B205" s="5" t="str">
        <f>'ESPN Data'!$L$18</f>
        <v>Team 15</v>
      </c>
      <c r="C205" s="350" t="str">
        <f>VLOOKUP(B205,'ESPN Data'!$L$4:$M$19,2,FALSE)</f>
        <v>Wardo</v>
      </c>
      <c r="D205" s="400">
        <v>8</v>
      </c>
      <c r="E205" s="267" t="str">
        <f t="array" ref="E205">INDEX('ESPN Data'!$C$3:$C$226,MATCH(1,('ESPN Data'!$A$3:$A$226='Point Data'!$D205)*('ESPN Data'!$B$3:$B$226='Point Data'!$B205),0))</f>
        <v>Team 7</v>
      </c>
      <c r="F205" s="250" t="str">
        <f>IF(C205&lt;&gt;VLOOKUP($E205,'ESPN Data'!$L$4:$M$19,2,FALSE),"Non Conf", "Conf")</f>
        <v>Non Conf</v>
      </c>
      <c r="G205" s="246">
        <f t="array" aca="1" ref="G205" ca="1">IF('Point Data'!$D205&gt;Standings!$Q$27,"",(COUNTIFS($D$2:$D$225,$D205,$AM$2:$AM$225,"&gt;"&amp;$AM205)+1))</f>
        <v>6</v>
      </c>
      <c r="H205" s="172">
        <f ca="1">IF('Point Data'!$D205&gt;Standings!$Q$27,"",$G204)</f>
        <v>6</v>
      </c>
      <c r="I205" s="249">
        <f ca="1">IF('Point Data'!D205&gt;Standings!$Q$27,"",H205-G205)</f>
        <v>0</v>
      </c>
      <c r="J205" s="172">
        <f ca="1">IF('Point Data'!D205&gt;Standings!$Q$27,"",OFFSET('ESPN Data'!D$3,$A205,0,1,1))</f>
        <v>118.52</v>
      </c>
      <c r="K205" s="248">
        <f ca="1">IF('Point Data'!D205&gt;Standings!$Q$27,"",OFFSET('ESPN Data'!E$3,$A205,0,1,1))</f>
        <v>90.03</v>
      </c>
      <c r="L205" s="249">
        <f ca="1">IF('Point Data'!D205&gt;Standings!$Q$27,"",OFFSET('ESPN Data'!I$3,$A205,0,1,1))</f>
        <v>40</v>
      </c>
      <c r="M205" s="249">
        <f ca="1">IF('Point Data'!D205&gt;Standings!$Q$27,"",OFFSET('ESPN Data'!I$3,$A205,-2,1,1))</f>
        <v>0</v>
      </c>
      <c r="N205" s="249">
        <f ca="1">IF('Point Data'!D205&gt;Standings!$Q$27,"",SUMIFS($M$2:$M$225,$D$2:$D$225,D205,$C$2:$C$225,C205))</f>
        <v>62</v>
      </c>
      <c r="O205" s="249">
        <f ca="1">IF('Point Data'!D205&gt;Standings!$Q$27,"",SUMIFS($L$2:$L$225,$D$2:$D$225,$D205,$C$2:$C$225,$C205))</f>
        <v>268</v>
      </c>
      <c r="P205" s="249">
        <f ca="1">IF('Point Data'!D205&gt;Standings!$Q$27,"",SUMIFS($M$2:$M$225,$D$2:$D$225,D205))</f>
        <v>80</v>
      </c>
      <c r="Q205" s="249">
        <f ca="1">IF('Point Data'!D205&gt;Standings!$Q$27,"",SUMIFS($L$2:$L$225,$D$2:$D$225,D205))</f>
        <v>608</v>
      </c>
      <c r="R205" s="249">
        <f ca="1">IF($D205&gt;Standings!$Q$27,"",IF(U205="T",(Z205+0.5)/(D205)*100,(Z205/D205)*100))</f>
        <v>37.5</v>
      </c>
      <c r="S205" s="248">
        <f ca="1">IF($D205&gt;Standings!$Q$27,"",$J205-$K205)</f>
        <v>28.489999999999995</v>
      </c>
      <c r="T205" s="248">
        <f ca="1">IF($D205&gt;Standings!$Q$27,"",AVERAGE(OFFSET(S205,(-$D205+1),0,1,1):S205))</f>
        <v>2.2637499999999982</v>
      </c>
      <c r="U205" s="172">
        <f ca="1">IF($D205&gt;Standings!$Q$27,"",IF(J205&gt;K205,1,IF(J205=K205,"T",0)))</f>
        <v>1</v>
      </c>
      <c r="V205" s="172">
        <f ca="1">IF($D205&gt;Standings!$Q$27,"",IF(F205="Conf",V204,SUMIFS($U$2:$U$225,$D$2:$D$225,"&lt;="&amp;$D205,$B$2:$B$225,$B205,$F$2:$F$225,"Non Conf")))</f>
        <v>2</v>
      </c>
      <c r="W205" s="172" t="str">
        <f ca="1">IF($D205&gt;Standings!$Q$27,"",$V205&amp;"-"&amp;COUNTIF(OFFSET($F205,(-$D205+1),0,1,1):$F205,"Non Conf")-$V205)</f>
        <v>2-2</v>
      </c>
      <c r="X205" s="172">
        <f ca="1">IF($D205&gt;Standings!$Q$27,"",SUMIFS($U$2:$U$225,$D$2:$D$225,"&lt;="&amp;$D205,$B$2:$B$225,$B205,$F$2:$F$225,"Conf"))</f>
        <v>1</v>
      </c>
      <c r="Y205" s="172" t="str">
        <f ca="1">IF($D205&gt;Standings!$Q$27,"",$X205&amp;"-"&amp;COUNTIF(OFFSET($F205,(-$D205+1),0,1,1):$F205,"Conf")-$X205)</f>
        <v>1-3</v>
      </c>
      <c r="Z205" s="172">
        <f ca="1">IF($D205&gt;Standings!$Q$27,"",SUM(OFFSET(U205,(-$D205+1),0,1,1):U205))</f>
        <v>3</v>
      </c>
      <c r="AA205" s="172">
        <f ca="1">IF($D205&gt;Standings!$Q$27,"",IF(U205=1,1+AA204,0))</f>
        <v>1</v>
      </c>
      <c r="AB205" s="250">
        <f ca="1">IF($D205&gt;Standings!$Q$27,"",IF(AA205=0,1+AB204,0))</f>
        <v>0</v>
      </c>
      <c r="AC205" s="253">
        <f ca="1">IF($D205&gt;Standings!$Q$27,"",SUM(OFFSET(J205,(-$D205+1),0,1,1):J205))</f>
        <v>871.48</v>
      </c>
      <c r="AD205" s="248">
        <f ca="1">IF($D205&gt;Standings!$Q$27,"",SUM(OFFSET(K205,(-$D205+1),0,1,1):K205))</f>
        <v>853.37</v>
      </c>
      <c r="AE205" s="248">
        <f ca="1">IF($D205&gt;Standings!$Q$27,"",$J205-$K205)</f>
        <v>28.489999999999995</v>
      </c>
      <c r="AF205" s="248">
        <f ca="1">IF($D205&gt;Standings!$Q$27,"",AC205-AD205)</f>
        <v>18.110000000000014</v>
      </c>
      <c r="AG205" s="234">
        <f ca="1">IF($D205&gt;Standings!$Q$27,"",(COUNTIFS($D$2:$D$225,$D205,$C$2:$C$225,$C205,$AC$2:$AC$225,"&lt;"&amp;$AC205)+1)*0.01)</f>
        <v>7.0000000000000007E-2</v>
      </c>
      <c r="AH205" s="234">
        <f ca="1">IF($D205&gt;Standings!$Q$27,"",Z205+AG205)</f>
        <v>3.07</v>
      </c>
      <c r="AI205" s="234"/>
      <c r="AJ205" s="172">
        <f t="array" aca="1" ref="AJ205" ca="1">IF($D205&gt;Standings!$Q$27,"",(COUNTIFS($D$2:$D$225,$D205,$C$2:$C$225,$C205,$AM$2:$AM$225,"&gt;"&amp;$AM205)+1))</f>
        <v>3</v>
      </c>
      <c r="AK205" s="172">
        <f t="array" aca="1" ref="AK205" ca="1">IF($D205&gt;Standings!$Q$27,"",IF((COUNTIFS($D$2:$D$225,$D205,$C$2:$C$225,$C205,$AH$2:$AH$225,"&gt;"&amp;$AH205)+1)=2,1,0))</f>
        <v>0</v>
      </c>
      <c r="AL205" s="172">
        <f t="array" aca="1" ref="AL205" ca="1">IF($D205&gt;Standings!$Q$27,"",IF((COUNTIFS($D$2:$D$225,$D205,$C$2:$C$225,$C205,$AH$2:$AH$225,"&gt;"&amp;$AH205)+1)&lt;2,1,0))</f>
        <v>0</v>
      </c>
      <c r="AM205" s="172">
        <f ca="1">IF($D205&gt;Standings!$Q$27,"",IF(AL205=1,200+Z205+(16-AQ205)*0.01+AI205,IF(AK205=1,100+Z205+(16-AQ205)*0.01+AI205,IF(AN205=1,50+Z205+(16-AQ205)*0.01,IF(AO205=1,15+Z205+(16-AQ205)*0.01,Z205+(16-AQ205)*0.01+AI205)))))</f>
        <v>53.12</v>
      </c>
      <c r="AN205" s="172">
        <f ca="1">IF($D205&gt;Standings!$Q$27,"",IF(OR($AK205=1,$AL205=1),"Conf Playoff Spot",COUNTIFS($AL$2:$AL$225,0,$AK$2:$AK$225,0,$C$2:$C$225,$C205,$D$2:$D$225,$D205,$AC$2:$AC$225,"&gt;"&amp;$AC205)+1))</f>
        <v>1</v>
      </c>
      <c r="AO205" s="172">
        <f t="array" aca="1" ref="AO205" ca="1">IF($D205&gt;Standings!$Q$27,"",IF(OR($AK205=1,$AL205=1),"Conf Playoff Spot",COUNTIFS($AK$2:$AK$225,0,$AL$2:$AL$225,0,$D$2:$D$225,$D205,$AH$2:$AH$225,"&gt;"&amp;$AH205)+1))</f>
        <v>7</v>
      </c>
      <c r="AP205" s="172">
        <f t="array" aca="1" ref="AP205" ca="1">IF($D205&gt;Standings!$Q$27,"",(COUNTIFS($D$2:$D$225,$D205,$J$2:$J$225,"&gt;"&amp;$J205)+1))</f>
        <v>4</v>
      </c>
      <c r="AQ205" s="172">
        <f ca="1">IF($D205&gt;Standings!$Q$27,"",(COUNTIFS($D$2:$D$225,$D205,$AC$2:$AC$225,"&gt;"&amp;$AC205)+1))</f>
        <v>4</v>
      </c>
      <c r="AR205" s="172">
        <f ca="1">IF($D205&gt;Standings!$Q$27,"",(COUNTIFS($D$2:$D$225,$D205,$K$2:$K$225,"&gt;"&amp;$K205)+1))</f>
        <v>7</v>
      </c>
      <c r="AS205" s="172">
        <f ca="1">IF($D205&gt;Standings!$Q$27,"",(COUNTIFS($D$2:$D$225,$D205,$AD$2:$AD$225,"&gt;"&amp;$AD205)+1))</f>
        <v>5</v>
      </c>
      <c r="AT205" s="354">
        <f ca="1">IF($D205&gt;Standings!$Q$27,"",SUMIFS($J$2:$J$225,$D$2:$D$225,$D205,$C$2:$C$225,$C205))</f>
        <v>755.84</v>
      </c>
      <c r="AU205" s="253">
        <f ca="1">IF($D205&gt;Standings!$Q$27,"",SUMIFS($AC$2:$AC$225,$D$2:$D$225,$D205,$C$2:$C$225,$C205))</f>
        <v>6564.1799999999994</v>
      </c>
    </row>
    <row r="206" spans="1:47">
      <c r="A206" s="190">
        <f t="shared" si="2"/>
        <v>142</v>
      </c>
      <c r="B206" s="5" t="str">
        <f>'ESPN Data'!$L$18</f>
        <v>Team 15</v>
      </c>
      <c r="C206" s="350" t="str">
        <f>VLOOKUP(B206,'ESPN Data'!$L$4:$M$19,2,FALSE)</f>
        <v>Wardo</v>
      </c>
      <c r="D206" s="400">
        <v>9</v>
      </c>
      <c r="E206" s="267" t="str">
        <f t="array" ref="E206">INDEX('ESPN Data'!$C$3:$C$226,MATCH(1,('ESPN Data'!$A$3:$A$226='Point Data'!$D206)*('ESPN Data'!$B$3:$B$226='Point Data'!$B206),0))</f>
        <v>Team 14</v>
      </c>
      <c r="F206" s="250" t="str">
        <f>IF(C206&lt;&gt;VLOOKUP($E206,'ESPN Data'!$L$4:$M$19,2,FALSE),"Non Conf", "Conf")</f>
        <v>Conf</v>
      </c>
      <c r="G206" s="246">
        <f t="array" aca="1" ref="G206" ca="1">IF('Point Data'!$D206&gt;Standings!$Q$27,"",(COUNTIFS($D$2:$D$225,$D206,$AM$2:$AM$225,"&gt;"&amp;$AM206)+1))</f>
        <v>12</v>
      </c>
      <c r="H206" s="172">
        <f ca="1">IF('Point Data'!$D206&gt;Standings!$Q$27,"",$G205)</f>
        <v>6</v>
      </c>
      <c r="I206" s="249">
        <f ca="1">IF('Point Data'!D206&gt;Standings!$Q$27,"",H206-G206)</f>
        <v>-6</v>
      </c>
      <c r="J206" s="172">
        <f ca="1">IF('Point Data'!D206&gt;Standings!$Q$27,"",OFFSET('ESPN Data'!D$3,$A206,0,1,1))</f>
        <v>82.36</v>
      </c>
      <c r="K206" s="248">
        <f ca="1">IF('Point Data'!D206&gt;Standings!$Q$27,"",OFFSET('ESPN Data'!E$3,$A206,0,1,1))</f>
        <v>135.29</v>
      </c>
      <c r="L206" s="249">
        <f ca="1">IF('Point Data'!D206&gt;Standings!$Q$27,"",OFFSET('ESPN Data'!I$3,$A206,0,1,1))</f>
        <v>21</v>
      </c>
      <c r="M206" s="249">
        <f ca="1">IF('Point Data'!D206&gt;Standings!$Q$27,"",OFFSET('ESPN Data'!I$3,$A206,-2,1,1))</f>
        <v>19</v>
      </c>
      <c r="N206" s="249">
        <f ca="1">IF('Point Data'!D206&gt;Standings!$Q$27,"",SUMIFS($M$2:$M$225,$D$2:$D$225,D206,$C$2:$C$225,C206))</f>
        <v>28</v>
      </c>
      <c r="O206" s="249">
        <f ca="1">IF('Point Data'!D206&gt;Standings!$Q$27,"",SUMIFS($L$2:$L$225,$D$2:$D$225,$D206,$C$2:$C$225,$C206))</f>
        <v>240</v>
      </c>
      <c r="P206" s="249">
        <f ca="1">IF('Point Data'!D206&gt;Standings!$Q$27,"",SUMIFS($M$2:$M$225,$D$2:$D$225,D206))</f>
        <v>63</v>
      </c>
      <c r="Q206" s="249">
        <f ca="1">IF('Point Data'!D206&gt;Standings!$Q$27,"",SUMIFS($L$2:$L$225,$D$2:$D$225,D206))</f>
        <v>545</v>
      </c>
      <c r="R206" s="249">
        <f ca="1">IF($D206&gt;Standings!$Q$27,"",IF(U206="T",(Z206+0.5)/(D206)*100,(Z206/D206)*100))</f>
        <v>33.333333333333329</v>
      </c>
      <c r="S206" s="248">
        <f ca="1">IF($D206&gt;Standings!$Q$27,"",$J206-$K206)</f>
        <v>-52.929999999999993</v>
      </c>
      <c r="T206" s="248">
        <f ca="1">IF($D206&gt;Standings!$Q$27,"",AVERAGE(OFFSET(S206,(-$D206+1),0,1,1):S206))</f>
        <v>-3.8688888888888897</v>
      </c>
      <c r="U206" s="172">
        <f ca="1">IF($D206&gt;Standings!$Q$27,"",IF(J206&gt;K206,1,IF(J206=K206,"T",0)))</f>
        <v>0</v>
      </c>
      <c r="V206" s="172">
        <f ca="1">IF($D206&gt;Standings!$Q$27,"",IF(F206="Conf",V205,SUMIFS($U$2:$U$225,$D$2:$D$225,"&lt;="&amp;$D206,$B$2:$B$225,$B206,$F$2:$F$225,"Non Conf")))</f>
        <v>2</v>
      </c>
      <c r="W206" s="172" t="str">
        <f ca="1">IF($D206&gt;Standings!$Q$27,"",$V206&amp;"-"&amp;COUNTIF(OFFSET($F206,(-$D206+1),0,1,1):$F206,"Non Conf")-$V206)</f>
        <v>2-2</v>
      </c>
      <c r="X206" s="172">
        <f ca="1">IF($D206&gt;Standings!$Q$27,"",SUMIFS($U$2:$U$225,$D$2:$D$225,"&lt;="&amp;$D206,$B$2:$B$225,$B206,$F$2:$F$225,"Conf"))</f>
        <v>1</v>
      </c>
      <c r="Y206" s="172" t="str">
        <f ca="1">IF($D206&gt;Standings!$Q$27,"",$X206&amp;"-"&amp;COUNTIF(OFFSET($F206,(-$D206+1),0,1,1):$F206,"Conf")-$X206)</f>
        <v>1-4</v>
      </c>
      <c r="Z206" s="172">
        <f ca="1">IF($D206&gt;Standings!$Q$27,"",SUM(OFFSET(U206,(-$D206+1),0,1,1):U206))</f>
        <v>3</v>
      </c>
      <c r="AA206" s="172">
        <f ca="1">IF($D206&gt;Standings!$Q$27,"",IF(U206=1,1+AA205,0))</f>
        <v>0</v>
      </c>
      <c r="AB206" s="250">
        <f ca="1">IF($D206&gt;Standings!$Q$27,"",IF(AA206=0,1+AB205,0))</f>
        <v>1</v>
      </c>
      <c r="AC206" s="253">
        <f ca="1">IF($D206&gt;Standings!$Q$27,"",SUM(OFFSET(J206,(-$D206+1),0,1,1):J206))</f>
        <v>953.84</v>
      </c>
      <c r="AD206" s="248">
        <f ca="1">IF($D206&gt;Standings!$Q$27,"",SUM(OFFSET(K206,(-$D206+1),0,1,1):K206))</f>
        <v>988.66</v>
      </c>
      <c r="AE206" s="248">
        <f ca="1">IF($D206&gt;Standings!$Q$27,"",$J206-$K206)</f>
        <v>-52.929999999999993</v>
      </c>
      <c r="AF206" s="248">
        <f ca="1">IF($D206&gt;Standings!$Q$27,"",AC206-AD206)</f>
        <v>-34.819999999999936</v>
      </c>
      <c r="AG206" s="234">
        <f ca="1">IF($D206&gt;Standings!$Q$27,"",(COUNTIFS($D$2:$D$225,$D206,$C$2:$C$225,$C206,$AC$2:$AC$225,"&lt;"&amp;$AC206)+1)*0.01)</f>
        <v>0.06</v>
      </c>
      <c r="AH206" s="234">
        <f ca="1">IF($D206&gt;Standings!$Q$27,"",Z206+AG206)</f>
        <v>3.06</v>
      </c>
      <c r="AI206" s="234"/>
      <c r="AJ206" s="172">
        <f t="array" aca="1" ref="AJ206" ca="1">IF($D206&gt;Standings!$Q$27,"",(COUNTIFS($D$2:$D$225,$D206,$C$2:$C$225,$C206,$AM$2:$AM$225,"&gt;"&amp;$AM206)+1))</f>
        <v>5</v>
      </c>
      <c r="AK206" s="172">
        <f t="array" aca="1" ref="AK206" ca="1">IF($D206&gt;Standings!$Q$27,"",IF((COUNTIFS($D$2:$D$225,$D206,$C$2:$C$225,$C206,$AH$2:$AH$225,"&gt;"&amp;$AH206)+1)=2,1,0))</f>
        <v>0</v>
      </c>
      <c r="AL206" s="172">
        <f t="array" aca="1" ref="AL206" ca="1">IF($D206&gt;Standings!$Q$27,"",IF((COUNTIFS($D$2:$D$225,$D206,$C$2:$C$225,$C206,$AH$2:$AH$225,"&gt;"&amp;$AH206)+1)&lt;2,1,0))</f>
        <v>0</v>
      </c>
      <c r="AM206" s="172">
        <f ca="1">IF($D206&gt;Standings!$Q$27,"",IF(AL206=1,200+Z206+(16-AQ206)*0.01+AI206,IF(AK206=1,100+Z206+(16-AQ206)*0.01+AI206,IF(AN206=1,50+Z206+(16-AQ206)*0.01,IF(AO206=1,15+Z206+(16-AQ206)*0.01,Z206+(16-AQ206)*0.01+AI206)))))</f>
        <v>3.1</v>
      </c>
      <c r="AN206" s="172">
        <f ca="1">IF($D206&gt;Standings!$Q$27,"",IF(OR($AK206=1,$AL206=1),"Conf Playoff Spot",COUNTIFS($AL$2:$AL$225,0,$AK$2:$AK$225,0,$C$2:$C$225,$C206,$D$2:$D$225,$D206,$AC$2:$AC$225,"&gt;"&amp;$AC206)+1))</f>
        <v>2</v>
      </c>
      <c r="AO206" s="172">
        <f t="array" aca="1" ref="AO206" ca="1">IF($D206&gt;Standings!$Q$27,"",IF(OR($AK206=1,$AL206=1),"Conf Playoff Spot",COUNTIFS($AK$2:$AK$225,0,$AL$2:$AL$225,0,$D$2:$D$225,$D206,$AH$2:$AH$225,"&gt;"&amp;$AH206)+1))</f>
        <v>8</v>
      </c>
      <c r="AP206" s="172">
        <f t="array" aca="1" ref="AP206" ca="1">IF($D206&gt;Standings!$Q$27,"",(COUNTIFS($D$2:$D$225,$D206,$J$2:$J$225,"&gt;"&amp;$J206)+1))</f>
        <v>13</v>
      </c>
      <c r="AQ206" s="172">
        <f ca="1">IF($D206&gt;Standings!$Q$27,"",(COUNTIFS($D$2:$D$225,$D206,$AC$2:$AC$225,"&gt;"&amp;$AC206)+1))</f>
        <v>6</v>
      </c>
      <c r="AR206" s="172">
        <f ca="1">IF($D206&gt;Standings!$Q$27,"",(COUNTIFS($D$2:$D$225,$D206,$K$2:$K$225,"&gt;"&amp;$K206)+1))</f>
        <v>2</v>
      </c>
      <c r="AS206" s="172">
        <f ca="1">IF($D206&gt;Standings!$Q$27,"",(COUNTIFS($D$2:$D$225,$D206,$AD$2:$AD$225,"&gt;"&amp;$AD206)+1))</f>
        <v>2</v>
      </c>
      <c r="AT206" s="354">
        <f ca="1">IF($D206&gt;Standings!$Q$27,"",SUMIFS($J$2:$J$225,$D$2:$D$225,$D206,$C$2:$C$225,$C206))</f>
        <v>813.24</v>
      </c>
      <c r="AU206" s="253">
        <f ca="1">IF($D206&gt;Standings!$Q$27,"",SUMIFS($AC$2:$AC$225,$D$2:$D$225,$D206,$C$2:$C$225,$C206))</f>
        <v>7377.42</v>
      </c>
    </row>
    <row r="207" spans="1:47">
      <c r="A207" s="190">
        <f t="shared" si="2"/>
        <v>158</v>
      </c>
      <c r="B207" s="5" t="str">
        <f>'ESPN Data'!$L$18</f>
        <v>Team 15</v>
      </c>
      <c r="C207" s="350" t="str">
        <f>VLOOKUP(B207,'ESPN Data'!$L$4:$M$19,2,FALSE)</f>
        <v>Wardo</v>
      </c>
      <c r="D207" s="400">
        <v>10</v>
      </c>
      <c r="E207" s="267" t="str">
        <f t="array" ref="E207">INDEX('ESPN Data'!$C$3:$C$226,MATCH(1,('ESPN Data'!$A$3:$A$226='Point Data'!$D207)*('ESPN Data'!$B$3:$B$226='Point Data'!$B207),0))</f>
        <v>Team 6</v>
      </c>
      <c r="F207" s="250" t="str">
        <f>IF(C207&lt;&gt;VLOOKUP($E207,'ESPN Data'!$L$4:$M$19,2,FALSE),"Non Conf", "Conf")</f>
        <v>Non Conf</v>
      </c>
      <c r="G207" s="246">
        <f t="array" aca="1" ref="G207" ca="1">IF('Point Data'!$D207&gt;Standings!$Q$27,"",(COUNTIFS($D$2:$D$225,$D207,$AM$2:$AM$225,"&gt;"&amp;$AM207)+1))</f>
        <v>6</v>
      </c>
      <c r="H207" s="172">
        <f ca="1">IF('Point Data'!$D207&gt;Standings!$Q$27,"",$G206)</f>
        <v>12</v>
      </c>
      <c r="I207" s="249">
        <f ca="1">IF('Point Data'!D207&gt;Standings!$Q$27,"",H207-G207)</f>
        <v>6</v>
      </c>
      <c r="J207" s="172">
        <f ca="1">IF('Point Data'!D207&gt;Standings!$Q$27,"",OFFSET('ESPN Data'!D$3,$A207,0,1,1))</f>
        <v>103.51</v>
      </c>
      <c r="K207" s="248">
        <f ca="1">IF('Point Data'!D207&gt;Standings!$Q$27,"",OFFSET('ESPN Data'!E$3,$A207,0,1,1))</f>
        <v>128.55000000000001</v>
      </c>
      <c r="L207" s="249">
        <f ca="1">IF('Point Data'!D207&gt;Standings!$Q$27,"",OFFSET('ESPN Data'!I$3,$A207,0,1,1))</f>
        <v>9</v>
      </c>
      <c r="M207" s="249">
        <f ca="1">IF('Point Data'!D207&gt;Standings!$Q$27,"",OFFSET('ESPN Data'!I$3,$A207,-2,1,1))</f>
        <v>12</v>
      </c>
      <c r="N207" s="249">
        <f ca="1">IF('Point Data'!D207&gt;Standings!$Q$27,"",SUMIFS($M$2:$M$225,$D$2:$D$225,D207,$C$2:$C$225,C207))</f>
        <v>13</v>
      </c>
      <c r="O207" s="249">
        <f ca="1">IF('Point Data'!D207&gt;Standings!$Q$27,"",SUMIFS($L$2:$L$225,$D$2:$D$225,$D207,$C$2:$C$225,$C207))</f>
        <v>227</v>
      </c>
      <c r="P207" s="249">
        <f ca="1">IF('Point Data'!D207&gt;Standings!$Q$27,"",SUMIFS($M$2:$M$225,$D$2:$D$225,D207))</f>
        <v>32</v>
      </c>
      <c r="Q207" s="249">
        <f ca="1">IF('Point Data'!D207&gt;Standings!$Q$27,"",SUMIFS($L$2:$L$225,$D$2:$D$225,D207))</f>
        <v>513</v>
      </c>
      <c r="R207" s="249">
        <f ca="1">IF($D207&gt;Standings!$Q$27,"",IF(U207="T",(Z207+0.5)/(D207)*100,(Z207/D207)*100))</f>
        <v>30</v>
      </c>
      <c r="S207" s="248">
        <f ca="1">IF($D207&gt;Standings!$Q$27,"",$J207-$K207)</f>
        <v>-25.040000000000006</v>
      </c>
      <c r="T207" s="248">
        <f ca="1">IF($D207&gt;Standings!$Q$27,"",AVERAGE(OFFSET(S207,(-$D207+1),0,1,1):S207))</f>
        <v>-5.9860000000000015</v>
      </c>
      <c r="U207" s="172">
        <f ca="1">IF($D207&gt;Standings!$Q$27,"",IF(J207&gt;K207,1,IF(J207=K207,"T",0)))</f>
        <v>0</v>
      </c>
      <c r="V207" s="172">
        <f ca="1">IF($D207&gt;Standings!$Q$27,"",IF(F207="Conf",V206,SUMIFS($U$2:$U$225,$D$2:$D$225,"&lt;="&amp;$D207,$B$2:$B$225,$B207,$F$2:$F$225,"Non Conf")))</f>
        <v>2</v>
      </c>
      <c r="W207" s="172" t="str">
        <f ca="1">IF($D207&gt;Standings!$Q$27,"",$V207&amp;"-"&amp;COUNTIF(OFFSET($F207,(-$D207+1),0,1,1):$F207,"Non Conf")-$V207)</f>
        <v>2-3</v>
      </c>
      <c r="X207" s="172">
        <f ca="1">IF($D207&gt;Standings!$Q$27,"",SUMIFS($U$2:$U$225,$D$2:$D$225,"&lt;="&amp;$D207,$B$2:$B$225,$B207,$F$2:$F$225,"Conf"))</f>
        <v>1</v>
      </c>
      <c r="Y207" s="172" t="str">
        <f ca="1">IF($D207&gt;Standings!$Q$27,"",$X207&amp;"-"&amp;COUNTIF(OFFSET($F207,(-$D207+1),0,1,1):$F207,"Conf")-$X207)</f>
        <v>1-4</v>
      </c>
      <c r="Z207" s="172">
        <f ca="1">IF($D207&gt;Standings!$Q$27,"",SUM(OFFSET(U207,(-$D207+1),0,1,1):U207))</f>
        <v>3</v>
      </c>
      <c r="AA207" s="172">
        <f ca="1">IF($D207&gt;Standings!$Q$27,"",IF(U207=1,1+AA206,0))</f>
        <v>0</v>
      </c>
      <c r="AB207" s="250">
        <f ca="1">IF($D207&gt;Standings!$Q$27,"",IF(AA207=0,1+AB206,0))</f>
        <v>2</v>
      </c>
      <c r="AC207" s="253">
        <f ca="1">IF($D207&gt;Standings!$Q$27,"",SUM(OFFSET(J207,(-$D207+1),0,1,1):J207))</f>
        <v>1057.3500000000001</v>
      </c>
      <c r="AD207" s="248">
        <f ca="1">IF($D207&gt;Standings!$Q$27,"",SUM(OFFSET(K207,(-$D207+1),0,1,1):K207))</f>
        <v>1117.21</v>
      </c>
      <c r="AE207" s="248">
        <f ca="1">IF($D207&gt;Standings!$Q$27,"",$J207-$K207)</f>
        <v>-25.040000000000006</v>
      </c>
      <c r="AF207" s="248">
        <f ca="1">IF($D207&gt;Standings!$Q$27,"",AC207-AD207)</f>
        <v>-59.8599999999999</v>
      </c>
      <c r="AG207" s="234">
        <f ca="1">IF($D207&gt;Standings!$Q$27,"",(COUNTIFS($D$2:$D$225,$D207,$C$2:$C$225,$C207,$AC$2:$AC$225,"&lt;"&amp;$AC207)+1)*0.01)</f>
        <v>0.06</v>
      </c>
      <c r="AH207" s="234">
        <f ca="1">IF($D207&gt;Standings!$Q$27,"",Z207+AG207)</f>
        <v>3.06</v>
      </c>
      <c r="AI207" s="234"/>
      <c r="AJ207" s="172">
        <f t="array" aca="1" ref="AJ207" ca="1">IF($D207&gt;Standings!$Q$27,"",(COUNTIFS($D$2:$D$225,$D207,$C$2:$C$225,$C207,$AM$2:$AM$225,"&gt;"&amp;$AM207)+1))</f>
        <v>3</v>
      </c>
      <c r="AK207" s="172">
        <f t="array" aca="1" ref="AK207" ca="1">IF($D207&gt;Standings!$Q$27,"",IF((COUNTIFS($D$2:$D$225,$D207,$C$2:$C$225,$C207,$AH$2:$AH$225,"&gt;"&amp;$AH207)+1)=2,1,0))</f>
        <v>0</v>
      </c>
      <c r="AL207" s="172">
        <f t="array" aca="1" ref="AL207" ca="1">IF($D207&gt;Standings!$Q$27,"",IF((COUNTIFS($D$2:$D$225,$D207,$C$2:$C$225,$C207,$AH$2:$AH$225,"&gt;"&amp;$AH207)+1)&lt;2,1,0))</f>
        <v>0</v>
      </c>
      <c r="AM207" s="172">
        <f ca="1">IF($D207&gt;Standings!$Q$27,"",IF(AL207=1,200+Z207+(16-AQ207)*0.01+AI207,IF(AK207=1,100+Z207+(16-AQ207)*0.01+AI207,IF(AN207=1,50+Z207+(16-AQ207)*0.01,IF(AO207=1,15+Z207+(16-AQ207)*0.01,Z207+(16-AQ207)*0.01+AI207)))))</f>
        <v>53.1</v>
      </c>
      <c r="AN207" s="172">
        <f ca="1">IF($D207&gt;Standings!$Q$27,"",IF(OR($AK207=1,$AL207=1),"Conf Playoff Spot",COUNTIFS($AL$2:$AL$225,0,$AK$2:$AK$225,0,$C$2:$C$225,$C207,$D$2:$D$225,$D207,$AC$2:$AC$225,"&gt;"&amp;$AC207)+1))</f>
        <v>1</v>
      </c>
      <c r="AO207" s="172">
        <f t="array" aca="1" ref="AO207" ca="1">IF($D207&gt;Standings!$Q$27,"",IF(OR($AK207=1,$AL207=1),"Conf Playoff Spot",COUNTIFS($AK$2:$AK$225,0,$AL$2:$AL$225,0,$D$2:$D$225,$D207,$AH$2:$AH$225,"&gt;"&amp;$AH207)+1))</f>
        <v>9</v>
      </c>
      <c r="AP207" s="172">
        <f t="array" aca="1" ref="AP207" ca="1">IF($D207&gt;Standings!$Q$27,"",(COUNTIFS($D$2:$D$225,$D207,$J$2:$J$225,"&gt;"&amp;$J207)+1))</f>
        <v>6</v>
      </c>
      <c r="AQ207" s="172">
        <f ca="1">IF($D207&gt;Standings!$Q$27,"",(COUNTIFS($D$2:$D$225,$D207,$AC$2:$AC$225,"&gt;"&amp;$AC207)+1))</f>
        <v>6</v>
      </c>
      <c r="AR207" s="172">
        <f ca="1">IF($D207&gt;Standings!$Q$27,"",(COUNTIFS($D$2:$D$225,$D207,$K$2:$K$225,"&gt;"&amp;$K207)+1))</f>
        <v>1</v>
      </c>
      <c r="AS207" s="172">
        <f ca="1">IF($D207&gt;Standings!$Q$27,"",(COUNTIFS($D$2:$D$225,$D207,$AD$2:$AD$225,"&gt;"&amp;$AD207)+1))</f>
        <v>1</v>
      </c>
      <c r="AT207" s="354">
        <f ca="1">IF($D207&gt;Standings!$Q$27,"",SUMIFS($J$2:$J$225,$D$2:$D$225,$D207,$C$2:$C$225,$C207))</f>
        <v>737.32999999999993</v>
      </c>
      <c r="AU207" s="253">
        <f ca="1">IF($D207&gt;Standings!$Q$27,"",SUMIFS($AC$2:$AC$225,$D$2:$D$225,$D207,$C$2:$C$225,$C207))</f>
        <v>8114.7500000000009</v>
      </c>
    </row>
    <row r="208" spans="1:47">
      <c r="A208" s="190">
        <f t="shared" ref="A208:A225" si="3">A194+1</f>
        <v>174</v>
      </c>
      <c r="B208" s="5" t="str">
        <f>'ESPN Data'!$L$18</f>
        <v>Team 15</v>
      </c>
      <c r="C208" s="350" t="str">
        <f>VLOOKUP(B208,'ESPN Data'!$L$4:$M$19,2,FALSE)</f>
        <v>Wardo</v>
      </c>
      <c r="D208" s="400">
        <v>11</v>
      </c>
      <c r="E208" s="267" t="str">
        <f t="array" ref="E208">INDEX('ESPN Data'!$C$3:$C$226,MATCH(1,('ESPN Data'!$A$3:$A$226='Point Data'!$D208)*('ESPN Data'!$B$3:$B$226='Point Data'!$B208),0))</f>
        <v>Team 8</v>
      </c>
      <c r="F208" s="250" t="str">
        <f>IF(C208&lt;&gt;VLOOKUP($E208,'ESPN Data'!$L$4:$M$19,2,FALSE),"Non Conf", "Conf")</f>
        <v>Non Conf</v>
      </c>
      <c r="G208" s="246">
        <f t="array" aca="1" ref="G208" ca="1">IF('Point Data'!$D208&gt;Standings!$Q$27,"",(COUNTIFS($D$2:$D$225,$D208,$AM$2:$AM$225,"&gt;"&amp;$AM208)+1))</f>
        <v>6</v>
      </c>
      <c r="H208" s="172">
        <f ca="1">IF('Point Data'!$D208&gt;Standings!$Q$27,"",$G207)</f>
        <v>6</v>
      </c>
      <c r="I208" s="249">
        <f ca="1">IF('Point Data'!D208&gt;Standings!$Q$27,"",H208-G208)</f>
        <v>0</v>
      </c>
      <c r="J208" s="172">
        <f ca="1">IF('Point Data'!D208&gt;Standings!$Q$27,"",OFFSET('ESPN Data'!D$3,$A208,0,1,1))</f>
        <v>114.22</v>
      </c>
      <c r="K208" s="248">
        <f ca="1">IF('Point Data'!D208&gt;Standings!$Q$27,"",OFFSET('ESPN Data'!E$3,$A208,0,1,1))</f>
        <v>104.72</v>
      </c>
      <c r="L208" s="249">
        <f ca="1">IF('Point Data'!D208&gt;Standings!$Q$27,"",OFFSET('ESPN Data'!I$3,$A208,0,1,1))</f>
        <v>9</v>
      </c>
      <c r="M208" s="249">
        <f ca="1">IF('Point Data'!D208&gt;Standings!$Q$27,"",OFFSET('ESPN Data'!I$3,$A208,-2,1,1))</f>
        <v>0</v>
      </c>
      <c r="N208" s="249">
        <f ca="1">IF('Point Data'!D208&gt;Standings!$Q$27,"",SUMIFS($M$2:$M$225,$D$2:$D$225,D208,$C$2:$C$225,C208))</f>
        <v>10</v>
      </c>
      <c r="O208" s="249">
        <f ca="1">IF('Point Data'!D208&gt;Standings!$Q$27,"",SUMIFS($L$2:$L$225,$D$2:$D$225,$D208,$C$2:$C$225,$C208))</f>
        <v>217</v>
      </c>
      <c r="P208" s="249">
        <f ca="1">IF('Point Data'!D208&gt;Standings!$Q$27,"",SUMIFS($M$2:$M$225,$D$2:$D$225,D208))</f>
        <v>61</v>
      </c>
      <c r="Q208" s="249">
        <f ca="1">IF('Point Data'!D208&gt;Standings!$Q$27,"",SUMIFS($L$2:$L$225,$D$2:$D$225,D208))</f>
        <v>452</v>
      </c>
      <c r="R208" s="249">
        <f ca="1">IF($D208&gt;Standings!$Q$27,"",IF(U208="T",(Z208+0.5)/(D208)*100,(Z208/D208)*100))</f>
        <v>36.363636363636367</v>
      </c>
      <c r="S208" s="248">
        <f ca="1">IF($D208&gt;Standings!$Q$27,"",$J208-$K208)</f>
        <v>9.5</v>
      </c>
      <c r="T208" s="248">
        <f ca="1">IF($D208&gt;Standings!$Q$27,"",AVERAGE(OFFSET(S208,(-$D208+1),0,1,1):S208))</f>
        <v>-4.578181818181819</v>
      </c>
      <c r="U208" s="172">
        <f ca="1">IF($D208&gt;Standings!$Q$27,"",IF(J208&gt;K208,1,IF(J208=K208,"T",0)))</f>
        <v>1</v>
      </c>
      <c r="V208" s="172">
        <f ca="1">IF($D208&gt;Standings!$Q$27,"",IF(F208="Conf",V207,SUMIFS($U$2:$U$225,$D$2:$D$225,"&lt;="&amp;$D208,$B$2:$B$225,$B208,$F$2:$F$225,"Non Conf")))</f>
        <v>3</v>
      </c>
      <c r="W208" s="172" t="str">
        <f ca="1">IF($D208&gt;Standings!$Q$27,"",$V208&amp;"-"&amp;COUNTIF(OFFSET($F208,(-$D208+1),0,1,1):$F208,"Non Conf")-$V208)</f>
        <v>3-3</v>
      </c>
      <c r="X208" s="172">
        <f ca="1">IF($D208&gt;Standings!$Q$27,"",SUMIFS($U$2:$U$225,$D$2:$D$225,"&lt;="&amp;$D208,$B$2:$B$225,$B208,$F$2:$F$225,"Conf"))</f>
        <v>1</v>
      </c>
      <c r="Y208" s="172" t="str">
        <f ca="1">IF($D208&gt;Standings!$Q$27,"",$X208&amp;"-"&amp;COUNTIF(OFFSET($F208,(-$D208+1),0,1,1):$F208,"Conf")-$X208)</f>
        <v>1-4</v>
      </c>
      <c r="Z208" s="172">
        <f ca="1">IF($D208&gt;Standings!$Q$27,"",SUM(OFFSET(U208,(-$D208+1),0,1,1):U208))</f>
        <v>4</v>
      </c>
      <c r="AA208" s="172">
        <f ca="1">IF($D208&gt;Standings!$Q$27,"",IF(U208=1,1+AA207,0))</f>
        <v>1</v>
      </c>
      <c r="AB208" s="250">
        <f ca="1">IF($D208&gt;Standings!$Q$27,"",IF(AA208=0,1+AB207,0))</f>
        <v>0</v>
      </c>
      <c r="AC208" s="253">
        <f ca="1">IF($D208&gt;Standings!$Q$27,"",SUM(OFFSET(J208,(-$D208+1),0,1,1):J208))</f>
        <v>1171.5700000000002</v>
      </c>
      <c r="AD208" s="248">
        <f ca="1">IF($D208&gt;Standings!$Q$27,"",SUM(OFFSET(K208,(-$D208+1),0,1,1):K208))</f>
        <v>1221.93</v>
      </c>
      <c r="AE208" s="248">
        <f ca="1">IF($D208&gt;Standings!$Q$27,"",$J208-$K208)</f>
        <v>9.5</v>
      </c>
      <c r="AF208" s="248">
        <f ca="1">IF($D208&gt;Standings!$Q$27,"",AC208-AD208)</f>
        <v>-50.3599999999999</v>
      </c>
      <c r="AG208" s="234">
        <f ca="1">IF($D208&gt;Standings!$Q$27,"",(COUNTIFS($D$2:$D$225,$D208,$C$2:$C$225,$C208,$AC$2:$AC$225,"&lt;"&amp;$AC208)+1)*0.01)</f>
        <v>0.06</v>
      </c>
      <c r="AH208" s="234">
        <f ca="1">IF($D208&gt;Standings!$Q$27,"",Z208+AG208)</f>
        <v>4.0599999999999996</v>
      </c>
      <c r="AI208" s="234"/>
      <c r="AJ208" s="172">
        <f t="array" aca="1" ref="AJ208" ca="1">IF($D208&gt;Standings!$Q$27,"",(COUNTIFS($D$2:$D$225,$D208,$C$2:$C$225,$C208,$AM$2:$AM$225,"&gt;"&amp;$AM208)+1))</f>
        <v>3</v>
      </c>
      <c r="AK208" s="172">
        <f t="array" aca="1" ref="AK208" ca="1">IF($D208&gt;Standings!$Q$27,"",IF((COUNTIFS($D$2:$D$225,$D208,$C$2:$C$225,$C208,$AH$2:$AH$225,"&gt;"&amp;$AH208)+1)=2,1,0))</f>
        <v>0</v>
      </c>
      <c r="AL208" s="172">
        <f t="array" aca="1" ref="AL208" ca="1">IF($D208&gt;Standings!$Q$27,"",IF((COUNTIFS($D$2:$D$225,$D208,$C$2:$C$225,$C208,$AH$2:$AH$225,"&gt;"&amp;$AH208)+1)&lt;2,1,0))</f>
        <v>0</v>
      </c>
      <c r="AM208" s="172">
        <f ca="1">IF($D208&gt;Standings!$Q$27,"",IF(AL208=1,200+Z208+(16-AQ208)*0.01+AI208,IF(AK208=1,100+Z208+(16-AQ208)*0.01+AI208,IF(AN208=1,50+Z208+(16-AQ208)*0.01,IF(AO208=1,15+Z208+(16-AQ208)*0.01,Z208+(16-AQ208)*0.01+AI208)))))</f>
        <v>54.1</v>
      </c>
      <c r="AN208" s="172">
        <f ca="1">IF($D208&gt;Standings!$Q$27,"",IF(OR($AK208=1,$AL208=1),"Conf Playoff Spot",COUNTIFS($AL$2:$AL$225,0,$AK$2:$AK$225,0,$C$2:$C$225,$C208,$D$2:$D$225,$D208,$AC$2:$AC$225,"&gt;"&amp;$AC208)+1))</f>
        <v>1</v>
      </c>
      <c r="AO208" s="172">
        <f t="array" aca="1" ref="AO208" ca="1">IF($D208&gt;Standings!$Q$27,"",IF(OR($AK208=1,$AL208=1),"Conf Playoff Spot",COUNTIFS($AK$2:$AK$225,0,$AL$2:$AL$225,0,$D$2:$D$225,$D208,$AH$2:$AH$225,"&gt;"&amp;$AH208)+1))</f>
        <v>8</v>
      </c>
      <c r="AP208" s="172">
        <f t="array" aca="1" ref="AP208" ca="1">IF($D208&gt;Standings!$Q$27,"",(COUNTIFS($D$2:$D$225,$D208,$J$2:$J$225,"&gt;"&amp;$J208)+1))</f>
        <v>5</v>
      </c>
      <c r="AQ208" s="172">
        <f ca="1">IF($D208&gt;Standings!$Q$27,"",(COUNTIFS($D$2:$D$225,$D208,$AC$2:$AC$225,"&gt;"&amp;$AC208)+1))</f>
        <v>6</v>
      </c>
      <c r="AR208" s="172">
        <f ca="1">IF($D208&gt;Standings!$Q$27,"",(COUNTIFS($D$2:$D$225,$D208,$K$2:$K$225,"&gt;"&amp;$K208)+1))</f>
        <v>7</v>
      </c>
      <c r="AS208" s="172">
        <f ca="1">IF($D208&gt;Standings!$Q$27,"",(COUNTIFS($D$2:$D$225,$D208,$AD$2:$AD$225,"&gt;"&amp;$AD208)+1))</f>
        <v>2</v>
      </c>
      <c r="AT208" s="354">
        <f ca="1">IF($D208&gt;Standings!$Q$27,"",SUMIFS($J$2:$J$225,$D$2:$D$225,$D208,$C$2:$C$225,$C208))</f>
        <v>790.16000000000008</v>
      </c>
      <c r="AU208" s="253">
        <f ca="1">IF($D208&gt;Standings!$Q$27,"",SUMIFS($AC$2:$AC$225,$D$2:$D$225,$D208,$C$2:$C$225,$C208))</f>
        <v>8904.91</v>
      </c>
    </row>
    <row r="209" spans="1:47">
      <c r="A209" s="190">
        <f t="shared" si="3"/>
        <v>190</v>
      </c>
      <c r="B209" s="5" t="str">
        <f>'ESPN Data'!$L$18</f>
        <v>Team 15</v>
      </c>
      <c r="C209" s="350" t="str">
        <f>VLOOKUP(B209,'ESPN Data'!$L$4:$M$19,2,FALSE)</f>
        <v>Wardo</v>
      </c>
      <c r="D209" s="400">
        <v>12</v>
      </c>
      <c r="E209" s="267" t="str">
        <f t="array" ref="E209">INDEX('ESPN Data'!$C$3:$C$226,MATCH(1,('ESPN Data'!$A$3:$A$226='Point Data'!$D209)*('ESPN Data'!$B$3:$B$226='Point Data'!$B209),0))</f>
        <v>Team 4</v>
      </c>
      <c r="F209" s="250" t="str">
        <f>IF(C209&lt;&gt;VLOOKUP($E209,'ESPN Data'!$L$4:$M$19,2,FALSE),"Non Conf", "Conf")</f>
        <v>Non Conf</v>
      </c>
      <c r="G209" s="246">
        <f t="array" aca="1" ref="G209" ca="1">IF('Point Data'!$D209&gt;Standings!$Q$27,"",(COUNTIFS($D$2:$D$225,$D209,$AM$2:$AM$225,"&gt;"&amp;$AM209)+1))</f>
        <v>12</v>
      </c>
      <c r="H209" s="172">
        <f ca="1">IF('Point Data'!$D209&gt;Standings!$Q$27,"",$G208)</f>
        <v>6</v>
      </c>
      <c r="I209" s="249">
        <f ca="1">IF('Point Data'!D209&gt;Standings!$Q$27,"",H209-G209)</f>
        <v>-6</v>
      </c>
      <c r="J209" s="172">
        <f ca="1">IF('Point Data'!D209&gt;Standings!$Q$27,"",OFFSET('ESPN Data'!D$3,$A209,0,1,1))</f>
        <v>64.040000000000006</v>
      </c>
      <c r="K209" s="248">
        <f ca="1">IF('Point Data'!D209&gt;Standings!$Q$27,"",OFFSET('ESPN Data'!E$3,$A209,0,1,1))</f>
        <v>117.48</v>
      </c>
      <c r="L209" s="249">
        <f ca="1">IF('Point Data'!D209&gt;Standings!$Q$27,"",OFFSET('ESPN Data'!I$3,$A209,0,1,1))</f>
        <v>9</v>
      </c>
      <c r="M209" s="249">
        <f ca="1">IF('Point Data'!D209&gt;Standings!$Q$27,"",OFFSET('ESPN Data'!I$3,$A209,-2,1,1))</f>
        <v>0</v>
      </c>
      <c r="N209" s="249">
        <f ca="1">IF('Point Data'!D209&gt;Standings!$Q$27,"",SUMIFS($M$2:$M$225,$D$2:$D$225,D209,$C$2:$C$225,C209))</f>
        <v>35</v>
      </c>
      <c r="O209" s="249">
        <f ca="1">IF('Point Data'!D209&gt;Standings!$Q$27,"",SUMIFS($L$2:$L$225,$D$2:$D$225,$D209,$C$2:$C$225,$C209))</f>
        <v>182</v>
      </c>
      <c r="P209" s="249">
        <f ca="1">IF('Point Data'!D209&gt;Standings!$Q$27,"",SUMIFS($M$2:$M$225,$D$2:$D$225,D209))</f>
        <v>41</v>
      </c>
      <c r="Q209" s="249">
        <f ca="1">IF('Point Data'!D209&gt;Standings!$Q$27,"",SUMIFS($L$2:$L$225,$D$2:$D$225,D209))</f>
        <v>411</v>
      </c>
      <c r="R209" s="249">
        <f ca="1">IF($D209&gt;Standings!$Q$27,"",IF(U209="T",(Z209+0.5)/(D209)*100,(Z209/D209)*100))</f>
        <v>33.333333333333329</v>
      </c>
      <c r="S209" s="248">
        <f ca="1">IF($D209&gt;Standings!$Q$27,"",$J209-$K209)</f>
        <v>-53.44</v>
      </c>
      <c r="T209" s="248">
        <f ca="1">IF($D209&gt;Standings!$Q$27,"",AVERAGE(OFFSET(S209,(-$D209+1),0,1,1):S209))</f>
        <v>-8.65</v>
      </c>
      <c r="U209" s="172">
        <f ca="1">IF($D209&gt;Standings!$Q$27,"",IF(J209&gt;K209,1,IF(J209=K209,"T",0)))</f>
        <v>0</v>
      </c>
      <c r="V209" s="172">
        <f ca="1">IF($D209&gt;Standings!$Q$27,"",IF(F209="Conf",V208,SUMIFS($U$2:$U$225,$D$2:$D$225,"&lt;="&amp;$D209,$B$2:$B$225,$B209,$F$2:$F$225,"Non Conf")))</f>
        <v>3</v>
      </c>
      <c r="W209" s="172" t="str">
        <f ca="1">IF($D209&gt;Standings!$Q$27,"",$V209&amp;"-"&amp;COUNTIF(OFFSET($F209,(-$D209+1),0,1,1):$F209,"Non Conf")-$V209)</f>
        <v>3-4</v>
      </c>
      <c r="X209" s="172">
        <f ca="1">IF($D209&gt;Standings!$Q$27,"",SUMIFS($U$2:$U$225,$D$2:$D$225,"&lt;="&amp;$D209,$B$2:$B$225,$B209,$F$2:$F$225,"Conf"))</f>
        <v>1</v>
      </c>
      <c r="Y209" s="172" t="str">
        <f ca="1">IF($D209&gt;Standings!$Q$27,"",$X209&amp;"-"&amp;COUNTIF(OFFSET($F209,(-$D209+1),0,1,1):$F209,"Conf")-$X209)</f>
        <v>1-4</v>
      </c>
      <c r="Z209" s="172">
        <f ca="1">IF($D209&gt;Standings!$Q$27,"",SUM(OFFSET(U209,(-$D209+1),0,1,1):U209))</f>
        <v>4</v>
      </c>
      <c r="AA209" s="172">
        <f ca="1">IF($D209&gt;Standings!$Q$27,"",IF(U209=1,1+AA208,0))</f>
        <v>0</v>
      </c>
      <c r="AB209" s="250">
        <f ca="1">IF($D209&gt;Standings!$Q$27,"",IF(AA209=0,1+AB208,0))</f>
        <v>1</v>
      </c>
      <c r="AC209" s="253">
        <f ca="1">IF($D209&gt;Standings!$Q$27,"",SUM(OFFSET(J209,(-$D209+1),0,1,1):J209))</f>
        <v>1235.6100000000001</v>
      </c>
      <c r="AD209" s="248">
        <f ca="1">IF($D209&gt;Standings!$Q$27,"",SUM(OFFSET(K209,(-$D209+1),0,1,1):K209))</f>
        <v>1339.41</v>
      </c>
      <c r="AE209" s="248">
        <f ca="1">IF($D209&gt;Standings!$Q$27,"",$J209-$K209)</f>
        <v>-53.44</v>
      </c>
      <c r="AF209" s="248">
        <f ca="1">IF($D209&gt;Standings!$Q$27,"",AC209-AD209)</f>
        <v>-103.79999999999995</v>
      </c>
      <c r="AG209" s="234">
        <f ca="1">IF($D209&gt;Standings!$Q$27,"",(COUNTIFS($D$2:$D$225,$D209,$C$2:$C$225,$C209,$AC$2:$AC$225,"&lt;"&amp;$AC209)+1)*0.01)</f>
        <v>0.06</v>
      </c>
      <c r="AH209" s="234">
        <f ca="1">IF($D209&gt;Standings!$Q$27,"",Z209+AG209)</f>
        <v>4.0599999999999996</v>
      </c>
      <c r="AI209" s="234"/>
      <c r="AJ209" s="172">
        <f t="array" aca="1" ref="AJ209" ca="1">IF($D209&gt;Standings!$Q$27,"",(COUNTIFS($D$2:$D$225,$D209,$C$2:$C$225,$C209,$AM$2:$AM$225,"&gt;"&amp;$AM209)+1))</f>
        <v>6</v>
      </c>
      <c r="AK209" s="172">
        <f t="array" aca="1" ref="AK209" ca="1">IF($D209&gt;Standings!$Q$27,"",IF((COUNTIFS($D$2:$D$225,$D209,$C$2:$C$225,$C209,$AH$2:$AH$225,"&gt;"&amp;$AH209)+1)=2,1,0))</f>
        <v>0</v>
      </c>
      <c r="AL209" s="172">
        <f t="array" aca="1" ref="AL209" ca="1">IF($D209&gt;Standings!$Q$27,"",IF((COUNTIFS($D$2:$D$225,$D209,$C$2:$C$225,$C209,$AH$2:$AH$225,"&gt;"&amp;$AH209)+1)&lt;2,1,0))</f>
        <v>0</v>
      </c>
      <c r="AM209" s="172">
        <f ca="1">IF($D209&gt;Standings!$Q$27,"",IF(AL209=1,200+Z209+(16-AQ209)*0.01+AI209,IF(AK209=1,100+Z209+(16-AQ209)*0.01+AI209,IF(AN209=1,50+Z209+(16-AQ209)*0.01,IF(AO209=1,15+Z209+(16-AQ209)*0.01,Z209+(16-AQ209)*0.01+AI209)))))</f>
        <v>4.0999999999999996</v>
      </c>
      <c r="AN209" s="172">
        <f ca="1">IF($D209&gt;Standings!$Q$27,"",IF(OR($AK209=1,$AL209=1),"Conf Playoff Spot",COUNTIFS($AL$2:$AL$225,0,$AK$2:$AK$225,0,$C$2:$C$225,$C209,$D$2:$D$225,$D209,$AC$2:$AC$225,"&gt;"&amp;$AC209)+1))</f>
        <v>2</v>
      </c>
      <c r="AO209" s="172">
        <f t="array" aca="1" ref="AO209" ca="1">IF($D209&gt;Standings!$Q$27,"",IF(OR($AK209=1,$AL209=1),"Conf Playoff Spot",COUNTIFS($AK$2:$AK$225,0,$AL$2:$AL$225,0,$D$2:$D$225,$D209,$AH$2:$AH$225,"&gt;"&amp;$AH209)+1))</f>
        <v>8</v>
      </c>
      <c r="AP209" s="172">
        <f t="array" aca="1" ref="AP209" ca="1">IF($D209&gt;Standings!$Q$27,"",(COUNTIFS($D$2:$D$225,$D209,$J$2:$J$225,"&gt;"&amp;$J209)+1))</f>
        <v>15</v>
      </c>
      <c r="AQ209" s="172">
        <f ca="1">IF($D209&gt;Standings!$Q$27,"",(COUNTIFS($D$2:$D$225,$D209,$AC$2:$AC$225,"&gt;"&amp;$AC209)+1))</f>
        <v>6</v>
      </c>
      <c r="AR209" s="172">
        <f ca="1">IF($D209&gt;Standings!$Q$27,"",(COUNTIFS($D$2:$D$225,$D209,$K$2:$K$225,"&gt;"&amp;$K209)+1))</f>
        <v>3</v>
      </c>
      <c r="AS209" s="172">
        <f ca="1">IF($D209&gt;Standings!$Q$27,"",(COUNTIFS($D$2:$D$225,$D209,$AD$2:$AD$225,"&gt;"&amp;$AD209)+1))</f>
        <v>1</v>
      </c>
      <c r="AT209" s="354">
        <f ca="1">IF($D209&gt;Standings!$Q$27,"",SUMIFS($J$2:$J$225,$D$2:$D$225,$D209,$C$2:$C$225,$C209))</f>
        <v>746.43999999999994</v>
      </c>
      <c r="AU209" s="253">
        <f ca="1">IF($D209&gt;Standings!$Q$27,"",SUMIFS($AC$2:$AC$225,$D$2:$D$225,$D209,$C$2:$C$225,$C209))</f>
        <v>9651.35</v>
      </c>
    </row>
    <row r="210" spans="1:47" s="190" customFormat="1">
      <c r="A210" s="190">
        <f t="shared" si="3"/>
        <v>206</v>
      </c>
      <c r="B210" s="56" t="str">
        <f>'ESPN Data'!$L$18</f>
        <v>Team 15</v>
      </c>
      <c r="C210" s="352" t="str">
        <f>VLOOKUP(B210,'ESPN Data'!$L$4:$M$19,2,FALSE)</f>
        <v>Wardo</v>
      </c>
      <c r="D210" s="553">
        <v>13</v>
      </c>
      <c r="E210" s="275" t="str">
        <f t="array" ref="E210">INDEX('ESPN Data'!$C$3:$C$226,MATCH(1,('ESPN Data'!$A$3:$A$226='Point Data'!$D210)*('ESPN Data'!$B$3:$B$226='Point Data'!$B210),0))</f>
        <v>Team 10</v>
      </c>
      <c r="F210" s="274" t="str">
        <f>IF(C210&lt;&gt;VLOOKUP($E210,'ESPN Data'!$L$4:$M$19,2,FALSE),"Non Conf", "Conf")</f>
        <v>Conf</v>
      </c>
      <c r="G210" s="271">
        <f t="array" aca="1" ref="G210" ca="1">IF('Point Data'!$D210&gt;Standings!$Q$27,"",(COUNTIFS($D$2:$D$225,$D210,$AM$2:$AM$225,"&gt;"&amp;$AM210)+1))</f>
        <v>10</v>
      </c>
      <c r="H210" s="264">
        <f ca="1">IF('Point Data'!$D210&gt;Standings!$Q$27,"",$G209)</f>
        <v>12</v>
      </c>
      <c r="I210" s="265">
        <f ca="1">IF('Point Data'!D210&gt;Standings!$Q$27,"",H210-G210)</f>
        <v>2</v>
      </c>
      <c r="J210" s="264">
        <f ca="1">IF('Point Data'!D210&gt;Standings!$Q$27,"",OFFSET('ESPN Data'!D$3,$A210,0,1,1))</f>
        <v>184.43</v>
      </c>
      <c r="K210" s="272">
        <f ca="1">IF('Point Data'!D210&gt;Standings!$Q$27,"",OFFSET('ESPN Data'!E$3,$A210,0,1,1))</f>
        <v>84.35</v>
      </c>
      <c r="L210" s="265">
        <f ca="1">IF('Point Data'!D210&gt;Standings!$Q$27,"",OFFSET('ESPN Data'!I$3,$A210,0,1,1))</f>
        <v>0</v>
      </c>
      <c r="M210" s="265">
        <f ca="1">IF('Point Data'!D210&gt;Standings!$Q$27,"",OFFSET('ESPN Data'!I$3,$A210,-2,1,1))</f>
        <v>9</v>
      </c>
      <c r="N210" s="265">
        <f ca="1">IF('Point Data'!D210&gt;Standings!$Q$27,"",SUMIFS($M$2:$M$225,$D$2:$D$225,D210,$C$2:$C$225,C210))</f>
        <v>36</v>
      </c>
      <c r="O210" s="265">
        <f ca="1">IF('Point Data'!D210&gt;Standings!$Q$27,"",SUMIFS($L$2:$L$225,$D$2:$D$225,$D210,$C$2:$C$225,$C210))</f>
        <v>146</v>
      </c>
      <c r="P210" s="265">
        <f ca="1">IF('Point Data'!D210&gt;Standings!$Q$27,"",SUMIFS($M$2:$M$225,$D$2:$D$225,D210))</f>
        <v>41</v>
      </c>
      <c r="Q210" s="265">
        <f ca="1">IF('Point Data'!D210&gt;Standings!$Q$27,"",SUMIFS($L$2:$L$225,$D$2:$D$225,D210))</f>
        <v>370</v>
      </c>
      <c r="R210" s="265">
        <f ca="1">IF($D210&gt;Standings!$Q$27,"",IF(U210="T",(Z210+0.5)/(D210)*100,(Z210/D210)*100))</f>
        <v>38.461538461538467</v>
      </c>
      <c r="S210" s="272">
        <f ca="1">IF($D210&gt;Standings!$Q$27,"",$J210-$K210)</f>
        <v>100.08000000000001</v>
      </c>
      <c r="T210" s="272">
        <f ca="1">IF($D210&gt;Standings!$Q$27,"",AVERAGE(OFFSET(S210,(-$D210+1),0,1,1):S210))</f>
        <v>-0.28615384615384609</v>
      </c>
      <c r="U210" s="264">
        <f ca="1">IF($D210&gt;Standings!$Q$27,"",IF(J210&gt;K210,1,IF(J210=K210,"T",0)))</f>
        <v>1</v>
      </c>
      <c r="V210" s="264">
        <f ca="1">IF($D210&gt;Standings!$Q$27,"",IF(F210="Conf",V209,SUMIFS($U$2:$U$225,$D$2:$D$225,"&lt;="&amp;$D210,$B$2:$B$225,$B210,$F$2:$F$225,"Non Conf")))</f>
        <v>3</v>
      </c>
      <c r="W210" s="264" t="str">
        <f ca="1">IF($D210&gt;Standings!$Q$27,"",$V210&amp;"-"&amp;COUNTIF(OFFSET($F210,(-$D210+1),0,1,1):$F210,"Non Conf")-$V210)</f>
        <v>3-4</v>
      </c>
      <c r="X210" s="264">
        <f ca="1">IF($D210&gt;Standings!$Q$27,"",SUMIFS($U$2:$U$225,$D$2:$D$225,"&lt;="&amp;$D210,$B$2:$B$225,$B210,$F$2:$F$225,"Conf"))</f>
        <v>2</v>
      </c>
      <c r="Y210" s="264" t="str">
        <f ca="1">IF($D210&gt;Standings!$Q$27,"",$X210&amp;"-"&amp;COUNTIF(OFFSET($F210,(-$D210+1),0,1,1):$F210,"Conf")-$X210)</f>
        <v>2-4</v>
      </c>
      <c r="Z210" s="264">
        <f ca="1">IF($D210&gt;Standings!$Q$27,"",SUM(OFFSET(U210,(-$D210+1),0,1,1):U210))</f>
        <v>5</v>
      </c>
      <c r="AA210" s="264">
        <f ca="1">IF($D210&gt;Standings!$Q$27,"",IF(U210=1,1+AA209,0))</f>
        <v>1</v>
      </c>
      <c r="AB210" s="274">
        <f ca="1">IF($D210&gt;Standings!$Q$27,"",IF(AA210=0,1+AB209,0))</f>
        <v>0</v>
      </c>
      <c r="AC210" s="340">
        <f ca="1">IF($D210&gt;Standings!$Q$27,"",SUM(OFFSET(J210,(-$D210+1),0,1,1):J210))</f>
        <v>1420.0400000000002</v>
      </c>
      <c r="AD210" s="272">
        <f ca="1">IF($D210&gt;Standings!$Q$27,"",SUM(OFFSET(K210,(-$D210+1),0,1,1):K210))</f>
        <v>1423.76</v>
      </c>
      <c r="AE210" s="272">
        <f ca="1">IF($D210&gt;Standings!$Q$27,"",$J210-$K210)</f>
        <v>100.08000000000001</v>
      </c>
      <c r="AF210" s="272">
        <f ca="1">IF($D210&gt;Standings!$Q$27,"",AC210-AD210)</f>
        <v>-3.7199999999997999</v>
      </c>
      <c r="AG210" s="554">
        <f ca="1">IF($D210&gt;Standings!$Q$27,"",(COUNTIFS($D$2:$D$225,$D210,$C$2:$C$225,$C210,$AC$2:$AC$225,"&lt;"&amp;$AC210)+1)*0.01)</f>
        <v>0.06</v>
      </c>
      <c r="AH210" s="554">
        <f ca="1">IF($D210&gt;Standings!$Q$27,"",Z210+AG210)</f>
        <v>5.0599999999999996</v>
      </c>
      <c r="AI210" s="554"/>
      <c r="AJ210" s="264">
        <f t="array" aca="1" ref="AJ210" ca="1">IF($D210&gt;Standings!$Q$27,"",(COUNTIFS($D$2:$D$225,$D210,$C$2:$C$225,$C210,$AM$2:$AM$225,"&gt;"&amp;$AM210)+1))</f>
        <v>4</v>
      </c>
      <c r="AK210" s="264">
        <f t="array" aca="1" ref="AK210" ca="1">IF($D210&gt;Standings!$Q$27,"",IF((COUNTIFS($D$2:$D$225,$D210,$C$2:$C$225,$C210,$AH$2:$AH$225,"&gt;"&amp;$AH210)+1)=2,1,0))</f>
        <v>0</v>
      </c>
      <c r="AL210" s="264">
        <f t="array" aca="1" ref="AL210" ca="1">IF($D210&gt;Standings!$Q$27,"",IF((COUNTIFS($D$2:$D$225,$D210,$C$2:$C$225,$C210,$AH$2:$AH$225,"&gt;"&amp;$AH210)+1)&lt;2,1,0))</f>
        <v>0</v>
      </c>
      <c r="AM210" s="264">
        <f ca="1">IF($D210&gt;Standings!$Q$27,"",IF(AL210=1,200+Z210+(16-AQ210)*0.01+AI210,IF(AK210=1,100+Z210+(16-AQ210)*0.01+AI210,IF(AN210=1,50+Z210+(16-AQ210)*0.01,IF(AO210=1,15+Z210+(16-AQ210)*0.01,Z210+(16-AQ210)*0.01+AI210)))))</f>
        <v>5.12</v>
      </c>
      <c r="AN210" s="264">
        <f ca="1">IF($D210&gt;Standings!$Q$27,"",IF(OR($AK210=1,$AL210=1),"Conf Playoff Spot",COUNTIFS($AL$2:$AL$225,0,$AK$2:$AK$225,0,$C$2:$C$225,$C210,$D$2:$D$225,$D210,$AC$2:$AC$225,"&gt;"&amp;$AC210)+1))</f>
        <v>2</v>
      </c>
      <c r="AO210" s="264">
        <f t="array" aca="1" ref="AO210" ca="1">IF($D210&gt;Standings!$Q$27,"",IF(OR($AK210=1,$AL210=1),"Conf Playoff Spot",COUNTIFS($AK$2:$AK$225,0,$AL$2:$AL$225,0,$D$2:$D$225,$D210,$AH$2:$AH$225,"&gt;"&amp;$AH210)+1))</f>
        <v>6</v>
      </c>
      <c r="AP210" s="264">
        <f t="array" aca="1" ref="AP210" ca="1">IF($D210&gt;Standings!$Q$27,"",(COUNTIFS($D$2:$D$225,$D210,$J$2:$J$225,"&gt;"&amp;$J210)+1))</f>
        <v>1</v>
      </c>
      <c r="AQ210" s="264">
        <f ca="1">IF($D210&gt;Standings!$Q$27,"",(COUNTIFS($D$2:$D$225,$D210,$AC$2:$AC$225,"&gt;"&amp;$AC210)+1))</f>
        <v>4</v>
      </c>
      <c r="AR210" s="264">
        <f ca="1">IF($D210&gt;Standings!$Q$27,"",(COUNTIFS($D$2:$D$225,$D210,$K$2:$K$225,"&gt;"&amp;$K210)+1))</f>
        <v>13</v>
      </c>
      <c r="AS210" s="264">
        <f ca="1">IF($D210&gt;Standings!$Q$27,"",(COUNTIFS($D$2:$D$225,$D210,$AD$2:$AD$225,"&gt;"&amp;$AD210)+1))</f>
        <v>4</v>
      </c>
      <c r="AT210" s="356">
        <f ca="1">IF($D210&gt;Standings!$Q$27,"",SUMIFS($J$2:$J$225,$D$2:$D$225,$D210,$C$2:$C$225,$C210))</f>
        <v>885.58</v>
      </c>
      <c r="AU210" s="340">
        <f ca="1">IF($D210&gt;Standings!$Q$27,"",SUMIFS($AC$2:$AC$225,$D$2:$D$225,$D210,$C$2:$C$225,$C210))</f>
        <v>10536.93</v>
      </c>
    </row>
    <row r="211" spans="1:47" ht="16" thickBot="1">
      <c r="A211" s="190">
        <f t="shared" si="3"/>
        <v>222</v>
      </c>
      <c r="B211" s="10" t="str">
        <f>'ESPN Data'!$L$18</f>
        <v>Team 15</v>
      </c>
      <c r="C211" s="351" t="str">
        <f>VLOOKUP(B211,'ESPN Data'!$L$4:$M$19,2,FALSE)</f>
        <v>Wardo</v>
      </c>
      <c r="D211" s="401">
        <v>14</v>
      </c>
      <c r="E211" s="268" t="str">
        <f t="array" ref="E211">INDEX('ESPN Data'!$C$3:$C$226,MATCH(1,('ESPN Data'!$A$3:$A$226='Point Data'!$D211)*('ESPN Data'!$B$3:$B$226='Point Data'!$B211),0))</f>
        <v>Team 10</v>
      </c>
      <c r="F211" s="258" t="str">
        <f>IF(C211&lt;&gt;VLOOKUP($E211,'ESPN Data'!$L$4:$M$19,2,FALSE),"Non Conf", "Conf")</f>
        <v>Conf</v>
      </c>
      <c r="G211" s="262" t="str">
        <f t="array" ref="G211">IF('Point Data'!$D211&gt;Standings!$Q$27,"",(COUNTIFS($D$2:$D$225,$D211,$AM$2:$AM$225,"&gt;"&amp;$AM211)+1))</f>
        <v/>
      </c>
      <c r="H211" s="257" t="str">
        <f>IF('Point Data'!$D211&gt;Standings!$Q$27,"",$G209)</f>
        <v/>
      </c>
      <c r="I211" s="256" t="str">
        <f>IF('Point Data'!D211&gt;Standings!$Q$27,"",H211-G211)</f>
        <v/>
      </c>
      <c r="J211" s="257" t="str">
        <f ca="1">IF('Point Data'!D211&gt;Standings!$Q$27,"",OFFSET('ESPN Data'!D$3,$A211,0,1,1))</f>
        <v/>
      </c>
      <c r="K211" s="255" t="str">
        <f ca="1">IF('Point Data'!D211&gt;Standings!$Q$27,"",OFFSET('ESPN Data'!E$3,$A211,0,1,1))</f>
        <v/>
      </c>
      <c r="L211" s="256" t="str">
        <f ca="1">IF('Point Data'!D211&gt;Standings!$Q$27,"",OFFSET('ESPN Data'!I$3,$A211,0,1,1))</f>
        <v/>
      </c>
      <c r="M211" s="256" t="str">
        <f ca="1">IF('Point Data'!D211&gt;Standings!$Q$27,"",OFFSET('ESPN Data'!I$3,$A211,-2,1,1))</f>
        <v/>
      </c>
      <c r="N211" s="256" t="str">
        <f>IF('Point Data'!D211&gt;Standings!$Q$27,"",SUMIFS($M$2:$M$225,$D$2:$D$225,D211,$C$2:$C$225,C211))</f>
        <v/>
      </c>
      <c r="O211" s="256" t="str">
        <f>IF('Point Data'!D211&gt;Standings!$Q$27,"",SUMIFS($L$2:$L$225,$D$2:$D$225,$D211,$C$2:$C$225,$C211))</f>
        <v/>
      </c>
      <c r="P211" s="256" t="str">
        <f>IF('Point Data'!D211&gt;Standings!$Q$27,"",SUMIFS($M$2:$M$225,$D$2:$D$225,D211))</f>
        <v/>
      </c>
      <c r="Q211" s="256" t="str">
        <f>IF('Point Data'!D211&gt;Standings!$Q$27,"",SUMIFS($L$2:$L$225,$D$2:$D$225,D211))</f>
        <v/>
      </c>
      <c r="R211" s="256" t="str">
        <f>IF($D211&gt;Standings!$Q$27,"",IF(U211="T",(Z211+0.5)/(D211)*100,(Z211/D211)*100))</f>
        <v/>
      </c>
      <c r="S211" s="255" t="str">
        <f>IF($D211&gt;Standings!$Q$27,"",$J211-$K211)</f>
        <v/>
      </c>
      <c r="T211" s="255" t="str">
        <f ca="1">IF($D211&gt;Standings!$Q$27,"",AVERAGE(OFFSET(S211,(-$D211+1),0,1,1):S211))</f>
        <v/>
      </c>
      <c r="U211" s="257" t="str">
        <f>IF($D211&gt;Standings!$Q$27,"",IF(J211&gt;K211,1,IF(J211=K211,"T",0)))</f>
        <v/>
      </c>
      <c r="V211" s="257" t="str">
        <f>IF($D211&gt;Standings!$Q$27,"",IF(F211="Conf",V210,SUMIFS($U$2:$U$225,$D$2:$D$225,"&lt;="&amp;$D211,$B$2:$B$225,$B211,$F$2:$F$225,"Non Conf")))</f>
        <v/>
      </c>
      <c r="W211" s="257" t="str">
        <f ca="1">IF($D211&gt;Standings!$Q$27,"",$V211&amp;"-"&amp;COUNTIF(OFFSET($F211,(-$D211+1),0,1,1):$F211,"Non Conf")-$V211)</f>
        <v/>
      </c>
      <c r="X211" s="257" t="str">
        <f>IF($D211&gt;Standings!$Q$27,"",SUMIFS($U$2:$U$225,$D$2:$D$225,"&lt;="&amp;$D211,$B$2:$B$225,$B211,$F$2:$F$225,"Conf"))</f>
        <v/>
      </c>
      <c r="Y211" s="257" t="str">
        <f ca="1">IF($D211&gt;Standings!$Q$27,"",$X211&amp;"-"&amp;COUNTIF(OFFSET($F211,(-$D211+1),0,1,1):$F211,"Conf")-$X211)</f>
        <v/>
      </c>
      <c r="Z211" s="257" t="str">
        <f ca="1">IF($D211&gt;Standings!$Q$27,"",SUM(OFFSET(U211,(-$D211+1),0,1,1):U211))</f>
        <v/>
      </c>
      <c r="AA211" s="257" t="str">
        <f>IF($D211&gt;Standings!$Q$27,"",IF(U211=1,1+AA209,0))</f>
        <v/>
      </c>
      <c r="AB211" s="258" t="str">
        <f>IF($D211&gt;Standings!$Q$27,"",IF(AA211=0,1+AB209,0))</f>
        <v/>
      </c>
      <c r="AC211" s="261" t="str">
        <f ca="1">IF($D211&gt;Standings!$Q$27,"",SUM(OFFSET(J211,(-$D211+1),0,1,1):J211))</f>
        <v/>
      </c>
      <c r="AD211" s="255" t="str">
        <f ca="1">IF($D211&gt;Standings!$Q$27,"",SUM(OFFSET(K211,(-$D211+1),0,1,1):K211))</f>
        <v/>
      </c>
      <c r="AE211" s="255" t="str">
        <f>IF($D211&gt;Standings!$Q$27,"",$J211-$K211)</f>
        <v/>
      </c>
      <c r="AF211" s="255" t="str">
        <f>IF($D211&gt;Standings!$Q$27,"",AC211-AD211)</f>
        <v/>
      </c>
      <c r="AG211" s="235" t="str">
        <f>IF($D211&gt;Standings!$Q$27,"",(COUNTIFS($D$2:$D$225,$D211,$C$2:$C$225,$C211,$AC$2:$AC$225,"&lt;"&amp;$AC211)+1)*0.01)</f>
        <v/>
      </c>
      <c r="AH211" s="235" t="str">
        <f>IF($D211&gt;Standings!$Q$27,"",Z211+AG211)</f>
        <v/>
      </c>
      <c r="AI211" s="235"/>
      <c r="AJ211" s="257" t="str">
        <f t="array" ref="AJ211">IF($D211&gt;Standings!$Q$27,"",(COUNTIFS($D$2:$D$225,$D211,$C$2:$C$225,$C211,$AM$2:$AM$225,"&gt;"&amp;$AM211)+1))</f>
        <v/>
      </c>
      <c r="AK211" s="257" t="str">
        <f t="array" ref="AK211">IF($D211&gt;Standings!$Q$27,"",IF((COUNTIFS($D$2:$D$225,$D211,$C$2:$C$225,$C211,$AH$2:$AH$225,"&gt;"&amp;$AH211)+1)=2,1,0))</f>
        <v/>
      </c>
      <c r="AL211" s="257" t="str">
        <f t="array" ref="AL211">IF($D211&gt;Standings!$Q$27,"",IF((COUNTIFS($D$2:$D$225,$D211,$C$2:$C$225,$C211,$AH$2:$AH$225,"&gt;"&amp;$AH211)+1)&lt;2,1,0))</f>
        <v/>
      </c>
      <c r="AM211" s="257" t="str">
        <f>IF($D211&gt;Standings!$Q$27,"",IF(AL211=1,200+Z211+(16-AQ211)*0.01+AI211,IF(AK211=1,100+Z211+(16-AQ211)*0.01+AI211,IF(AN211=1,50+Z211+(16-AQ211)*0.01,IF(AO211=1,15+Z211+(16-AQ211)*0.01,Z211+(16-AQ211)*0.01+AI211)))))</f>
        <v/>
      </c>
      <c r="AN211" s="257" t="str">
        <f>IF($D211&gt;Standings!$Q$27,"",IF(OR($AK211=1,$AL211=1),"Conf Playoff Spot",COUNTIFS($AL$2:$AL$225,0,$AK$2:$AK$225,0,$C$2:$C$225,$C211,$D$2:$D$225,$D211,$AC$2:$AC$225,"&gt;"&amp;$AC211)+1))</f>
        <v/>
      </c>
      <c r="AO211" s="257" t="str">
        <f t="array" ref="AO211">IF($D211&gt;Standings!$Q$27,"",IF(OR($AK211=1,$AL211=1),"Conf Playoff Spot",COUNTIFS($AK$2:$AK$225,0,$AL$2:$AL$225,0,$D$2:$D$225,$D211,$AH$2:$AH$225,"&gt;"&amp;$AH211)+1))</f>
        <v/>
      </c>
      <c r="AP211" s="257" t="str">
        <f t="array" ref="AP211">IF($D211&gt;Standings!$Q$27,"",(COUNTIFS($D$2:$D$225,$D211,$J$2:$J$225,"&gt;"&amp;$J211)+1))</f>
        <v/>
      </c>
      <c r="AQ211" s="257" t="str">
        <f>IF($D211&gt;Standings!$Q$27,"",(COUNTIFS($D$2:$D$225,$D211,$AC$2:$AC$225,"&gt;"&amp;$AC211)+1))</f>
        <v/>
      </c>
      <c r="AR211" s="257" t="str">
        <f>IF($D211&gt;Standings!$Q$27,"",(COUNTIFS($D$2:$D$225,$D211,$K$2:$K$225,"&gt;"&amp;$K211)+1))</f>
        <v/>
      </c>
      <c r="AS211" s="257" t="str">
        <f>IF($D211&gt;Standings!$Q$27,"",(COUNTIFS($D$2:$D$225,$D211,$AD$2:$AD$225,"&gt;"&amp;$AD211)+1))</f>
        <v/>
      </c>
      <c r="AT211" s="355" t="str">
        <f>IF($D211&gt;Standings!$Q$27,"",SUMIFS($J$2:$J$225,$D$2:$D$225,$D211,$C$2:$C$225,$C211))</f>
        <v/>
      </c>
      <c r="AU211" s="261" t="str">
        <f>IF($D211&gt;Standings!$Q$27,"",SUMIFS($AC$2:$AC$225,$D$2:$D$225,$D211,$C$2:$C$225,$C211))</f>
        <v/>
      </c>
    </row>
    <row r="212" spans="1:47">
      <c r="A212" s="190">
        <f t="shared" si="3"/>
        <v>15</v>
      </c>
      <c r="B212" s="40" t="str">
        <f>'ESPN Data'!$L$19</f>
        <v>Team 16</v>
      </c>
      <c r="C212" s="349" t="str">
        <f>VLOOKUP(B212,'ESPN Data'!$L$4:$M$19,2,FALSE)</f>
        <v>Wardo</v>
      </c>
      <c r="D212" s="399">
        <v>1</v>
      </c>
      <c r="E212" s="266" t="str">
        <f t="array" ref="E212">INDEX('ESPN Data'!$C$3:$C$226,MATCH(1,('ESPN Data'!$A$3:$A$226='Point Data'!$D212)*('ESPN Data'!$B$3:$B$226='Point Data'!$B212),0))</f>
        <v>Team 4</v>
      </c>
      <c r="F212" s="242" t="str">
        <f>IF(C212&lt;&gt;VLOOKUP($E212,'ESPN Data'!$L$4:$M$19,2,FALSE),"Non Conf", "Conf")</f>
        <v>Non Conf</v>
      </c>
      <c r="G212" s="237">
        <f t="array" aca="1" ref="G212" ca="1">IF('Point Data'!$D212&gt;Standings!$Q$27,"",(COUNTIFS($D$2:$D$225,$D212,$AM$2:$AM$225,"&gt;"&amp;$AM212)+1))</f>
        <v>16</v>
      </c>
      <c r="H212" s="241">
        <f>IF('Point Data'!$D212&gt;Standings!$Q$27,"",VLOOKUP($B212,'ESPN Data'!$L$4:$N$19,3,FALSE))</f>
        <v>6</v>
      </c>
      <c r="I212" s="240">
        <f ca="1">IF('Point Data'!$D212&gt;Standings!$Q$27,"",H212-G212)</f>
        <v>-10</v>
      </c>
      <c r="J212" s="241">
        <f ca="1">IF('Point Data'!D212&gt;Standings!$Q$27,"",OFFSET('ESPN Data'!D$3,$A212,0,1,1))</f>
        <v>84.93</v>
      </c>
      <c r="K212" s="239">
        <f ca="1">IF('Point Data'!D212&gt;Standings!$Q$27,"",OFFSET('ESPN Data'!E$3,$A212,0,1,1))</f>
        <v>88.33</v>
      </c>
      <c r="L212" s="240">
        <f ca="1">IF('Point Data'!D212&gt;Standings!$Q$27,"",OFFSET('ESPN Data'!I$3,$A212,0,1,1))</f>
        <v>100</v>
      </c>
      <c r="M212" s="240">
        <f ca="1">IF('Point Data'!D212&gt;Standings!$Q$27,"",OFFSET('ESPN Data'!I$3,$A212,-2,1,1))</f>
        <v>0</v>
      </c>
      <c r="N212" s="240">
        <f ca="1">IF('Point Data'!D212&gt;Standings!$Q$27,"",SUMIFS($M$2:$M$225,$D$2:$D$225,D212,$C$2:$C$225,C212))</f>
        <v>0</v>
      </c>
      <c r="O212" s="240">
        <f ca="1">IF('Point Data'!D212&gt;Standings!$Q$27,"",SUMIFS($L$2:$L$225,$D$2:$D$225,$D212,$C$2:$C$225,$C212))</f>
        <v>800</v>
      </c>
      <c r="P212" s="240">
        <f ca="1">IF('Point Data'!D212&gt;Standings!$Q$27,"",SUMIFS($M$2:$M$225,$D$2:$D$225,D212))</f>
        <v>3</v>
      </c>
      <c r="Q212" s="240">
        <f ca="1">IF('Point Data'!D212&gt;Standings!$Q$27,"",SUMIFS($L$2:$L$225,$D$2:$D$225,$D212))</f>
        <v>1597</v>
      </c>
      <c r="R212" s="240">
        <f ca="1">IF($D212&gt;Standings!$Q$27,"",IF(U212="T",(Z212+0.5)/(D212)*100,(Z212/D212)*100))</f>
        <v>0</v>
      </c>
      <c r="S212" s="239">
        <f ca="1">IF($D212&gt;Standings!$Q$27,"",$J212-$K212)</f>
        <v>-3.3999999999999915</v>
      </c>
      <c r="T212" s="239">
        <f ca="1">IF($D212&gt;Standings!$Q$27,"",AVERAGE(OFFSET(S212,(-$D212+1),0,1,1):S212))</f>
        <v>-3.3999999999999915</v>
      </c>
      <c r="U212" s="241">
        <f ca="1">IF($D212&gt;Standings!$Q$27,"",IF(J212&gt;K212,1,IF(J212=K212,"T",0)))</f>
        <v>0</v>
      </c>
      <c r="V212" s="241">
        <f ca="1">IF($D212&gt;Standings!$Q$27,"",IF(F212="Conf",0,SUMIFS($U$2:$U$225,$D$2:$D$225,"&lt;="&amp;$D212,$B$2:$B$225,$B212,$F$2:$F$225,"Non Conf")))</f>
        <v>0</v>
      </c>
      <c r="W212" s="241" t="str">
        <f ca="1">IF($D212&gt;Standings!$Q$27,"",$V212&amp;"-"&amp;COUNTIF(OFFSET($F212,(-$D212+1),0,1,1):$F212,"Non Conf")-$V212)</f>
        <v>0-1</v>
      </c>
      <c r="X212" s="241">
        <f>IF($D212&gt;Standings!$Q$27,"",SUMIFS($U$2:$U$225,$D$2:$D$225,"&lt;="&amp;$D212,$B$2:$B$225,$B212,$F$2:$F$225,"Conf"))</f>
        <v>0</v>
      </c>
      <c r="Y212" s="241" t="str">
        <f ca="1">IF($D212&gt;Standings!$Q$27,"",$X212&amp;"-"&amp;COUNTIF(OFFSET($F212,(-$D212+1),0,1,1):$F212,"Conf")-$X212)</f>
        <v>0-0</v>
      </c>
      <c r="Z212" s="241">
        <f ca="1">IF($D212&gt;Standings!$Q$27,"",SUM(OFFSET(U212,(-$D212+1),0,1,1):U212))</f>
        <v>0</v>
      </c>
      <c r="AA212" s="241">
        <f ca="1">IF($D212&gt;Standings!$Q$27,"",IF(U212=1,1,0))</f>
        <v>0</v>
      </c>
      <c r="AB212" s="242">
        <f ca="1">IF($D212&gt;Standings!$Q$27,"",IF(AA212=0,1,0))</f>
        <v>1</v>
      </c>
      <c r="AC212" s="245">
        <f ca="1">IF($D212&gt;Standings!$Q$27,"",SUM(OFFSET(J212,(-$D212+1),0,1,1):J212))</f>
        <v>84.93</v>
      </c>
      <c r="AD212" s="239">
        <f ca="1">IF($D212&gt;Standings!$Q$27,"",SUM(OFFSET(K212,(-$D212+1),0,1,1):K212))</f>
        <v>88.33</v>
      </c>
      <c r="AE212" s="239">
        <f ca="1">IF($D212&gt;Standings!$Q$27,"",$J212-$K212)</f>
        <v>-3.3999999999999915</v>
      </c>
      <c r="AF212" s="239">
        <f ca="1">IF($D212&gt;Standings!$Q$27,"",AC212-AD212)</f>
        <v>-3.3999999999999915</v>
      </c>
      <c r="AG212" s="233">
        <f ca="1">IF($D212&gt;Standings!$Q$27,"",(COUNTIFS($D$2:$D$225,$D212,$C$2:$C$225,$C212,$AC$2:$AC$225,"&lt;"&amp;$AC212)+1)*0.01)</f>
        <v>0.01</v>
      </c>
      <c r="AH212" s="233">
        <f ca="1">IF($D212&gt;Standings!$Q$27,"",Z212+AG212)</f>
        <v>0.01</v>
      </c>
      <c r="AI212" s="233"/>
      <c r="AJ212" s="241">
        <f t="array" aca="1" ref="AJ212" ca="1">IF($D212&gt;Standings!$Q$27,"",(COUNTIFS($D$2:$D$225,$D212,$C$2:$C$225,$C212,$AM$2:$AM$225,"&gt;"&amp;$AM212)+1))</f>
        <v>8</v>
      </c>
      <c r="AK212" s="241">
        <f t="array" aca="1" ref="AK212" ca="1">IF($D212&gt;Standings!$Q$27,"",IF((COUNTIFS($D$2:$D$225,$D212,$C$2:$C$225,$C212,$AH$2:$AH$225,"&gt;"&amp;$AH212)+1)=2,1,0))</f>
        <v>0</v>
      </c>
      <c r="AL212" s="241">
        <f t="array" aca="1" ref="AL212" ca="1">IF($D212&gt;Standings!$Q$27,"",IF((COUNTIFS($D$2:$D$225,$D212,$C$2:$C$225,$C212,$AH$2:$AH$225,"&gt;"&amp;$AH212)+1)&lt;2,1,0))</f>
        <v>0</v>
      </c>
      <c r="AM212" s="241">
        <f ca="1">IF($D212&gt;Standings!$Q$27,"",IF(AL212=1,200+Z212+(16-AQ212)*0.01+AI212,IF(AK212=1,100+Z212+(16-AQ212)*0.01+AI212,IF(AN212=1,50+Z212+(16-AQ212)*0.01,IF(AO212=1,15+Z212+(16-AQ212)*0.01,Z212+(16-AQ212)*0.01+AI212)))))</f>
        <v>0</v>
      </c>
      <c r="AN212" s="241">
        <f ca="1">IF($D212&gt;Standings!$Q$27,"",IF(OR($AK212=1,$AL212=1),"Conf Playoff Spot",COUNTIFS($AL$2:$AL$225,0,$AK$2:$AK$225,0,$C$2:$C$225,$C212,$D$2:$D$225,$D212,$AC$2:$AC$225,"&gt;"&amp;$AC212)+1))</f>
        <v>6</v>
      </c>
      <c r="AO212" s="241">
        <f t="array" aca="1" ref="AO212" ca="1">IF($D212&gt;Standings!$Q$27,"",IF(OR($AK212=1,$AL212=1),"Conf Playoff Spot",COUNTIFS($AK$2:$AK$225,0,$AL$2:$AL$225,0,$D$2:$D$225,$D212,$AH$2:$AH$225,"&gt;"&amp;$AH212)+1))</f>
        <v>12</v>
      </c>
      <c r="AP212" s="241">
        <f t="array" aca="1" ref="AP212" ca="1">IF($D212&gt;Standings!$Q$27,"",(COUNTIFS($D$2:$D$225,$D212,$J$2:$J$225,"&gt;"&amp;$J212)+1))</f>
        <v>16</v>
      </c>
      <c r="AQ212" s="241">
        <f ca="1">IF($D212&gt;Standings!$Q$27,"",(COUNTIFS($D$2:$D$225,$D212,$AC$2:$AC$225,"&gt;"&amp;$AC212)+1))</f>
        <v>16</v>
      </c>
      <c r="AR212" s="241">
        <f ca="1">IF($D212&gt;Standings!$Q$27,"",(COUNTIFS($D$2:$D$225,$D212,$K$2:$K$225,"&gt;"&amp;$K212)+1))</f>
        <v>15</v>
      </c>
      <c r="AS212" s="241">
        <f ca="1">IF($D212&gt;Standings!$Q$27,"",(COUNTIFS($D$2:$D$225,$D212,$AD$2:$AD$225,"&gt;"&amp;$AD212)+1))</f>
        <v>15</v>
      </c>
      <c r="AT212" s="357">
        <f ca="1">IF($D212&gt;Standings!$Q$27,"",SUMIFS($J$2:$J$225,$D$2:$D$225,$D212,$C$2:$C$225,$C212))</f>
        <v>872.36000000000013</v>
      </c>
      <c r="AU212" s="245">
        <f ca="1">IF($D212&gt;Standings!$Q$27,"",SUMIFS($AC$2:$AC$225,$D$2:$D$225,$D212,$C$2:$C$225,$C212))</f>
        <v>872.36000000000013</v>
      </c>
    </row>
    <row r="213" spans="1:47">
      <c r="A213" s="190">
        <f t="shared" si="3"/>
        <v>31</v>
      </c>
      <c r="B213" s="5" t="str">
        <f>'ESPN Data'!$L$19</f>
        <v>Team 16</v>
      </c>
      <c r="C213" s="350" t="str">
        <f>VLOOKUP(B213,'ESPN Data'!$L$4:$M$19,2,FALSE)</f>
        <v>Wardo</v>
      </c>
      <c r="D213" s="400">
        <v>2</v>
      </c>
      <c r="E213" s="267" t="str">
        <f t="array" ref="E213">INDEX('ESPN Data'!$C$3:$C$226,MATCH(1,('ESPN Data'!$A$3:$A$226='Point Data'!$D213)*('ESPN Data'!$B$3:$B$226='Point Data'!$B213),0))</f>
        <v>Team 14</v>
      </c>
      <c r="F213" s="250" t="str">
        <f>IF(C213&lt;&gt;VLOOKUP($E213,'ESPN Data'!$L$4:$M$19,2,FALSE),"Non Conf", "Conf")</f>
        <v>Conf</v>
      </c>
      <c r="G213" s="246">
        <f t="array" aca="1" ref="G213" ca="1">IF('Point Data'!$D213&gt;Standings!$Q$27,"",(COUNTIFS($D$2:$D$225,$D213,$AM$2:$AM$225,"&gt;"&amp;$AM213)+1))</f>
        <v>15</v>
      </c>
      <c r="H213" s="172">
        <f ca="1">IF('Point Data'!$D213&gt;Standings!$Q$27,"",$G212)</f>
        <v>16</v>
      </c>
      <c r="I213" s="249">
        <f ca="1">IF('Point Data'!D213&gt;Standings!$Q$27,"",H213-G213)</f>
        <v>1</v>
      </c>
      <c r="J213" s="172">
        <f ca="1">IF('Point Data'!D213&gt;Standings!$Q$27,"",OFFSET('ESPN Data'!D$3,$A213,0,1,1))</f>
        <v>108.89</v>
      </c>
      <c r="K213" s="248">
        <f ca="1">IF('Point Data'!D213&gt;Standings!$Q$27,"",OFFSET('ESPN Data'!E$3,$A213,0,1,1))</f>
        <v>131.12</v>
      </c>
      <c r="L213" s="249">
        <f ca="1">IF('Point Data'!D213&gt;Standings!$Q$27,"",OFFSET('ESPN Data'!I$3,$A213,0,1,1))</f>
        <v>100</v>
      </c>
      <c r="M213" s="249">
        <f ca="1">IF('Point Data'!D213&gt;Standings!$Q$27,"",OFFSET('ESPN Data'!I$3,$A213,-2,1,1))</f>
        <v>0</v>
      </c>
      <c r="N213" s="249">
        <f ca="1">IF('Point Data'!D213&gt;Standings!$Q$27,"",SUMIFS($M$2:$M$225,$D$2:$D$225,D213,$C$2:$C$225,C213))</f>
        <v>29</v>
      </c>
      <c r="O213" s="249">
        <f ca="1">IF('Point Data'!D213&gt;Standings!$Q$27,"",SUMIFS($L$2:$L$225,$D$2:$D$225,$D213,$C$2:$C$225,$C213))</f>
        <v>771</v>
      </c>
      <c r="P213" s="249">
        <f ca="1">IF('Point Data'!D213&gt;Standings!$Q$27,"",SUMIFS($M$2:$M$225,$D$2:$D$225,D213))</f>
        <v>73</v>
      </c>
      <c r="Q213" s="249">
        <f ca="1">IF('Point Data'!D213&gt;Standings!$Q$27,"",SUMIFS($L$2:$L$225,$D$2:$D$225,D213))</f>
        <v>1524</v>
      </c>
      <c r="R213" s="249">
        <f ca="1">IF($D213&gt;Standings!$Q$27,"",IF(U213="T",(Z213+0.5)/(D213)*100,(Z213/D213)*100))</f>
        <v>0</v>
      </c>
      <c r="S213" s="248">
        <f ca="1">IF($D213&gt;Standings!$Q$27,"",$J213-$K213)</f>
        <v>-22.230000000000004</v>
      </c>
      <c r="T213" s="248">
        <f ca="1">IF($D213&gt;Standings!$Q$27,"",AVERAGE(OFFSET(S213,(-$D213+1),0,1,1):S213))</f>
        <v>-12.814999999999998</v>
      </c>
      <c r="U213" s="172">
        <f ca="1">IF($D213&gt;Standings!$Q$27,"",IF(J213&gt;K213,1,IF(J213=K213,"T",0)))</f>
        <v>0</v>
      </c>
      <c r="V213" s="172">
        <f ca="1">IF($D213&gt;Standings!$Q$27,"",IF(F213="Conf",V212,SUMIFS($U$2:$U$225,$D$2:$D$225,"&lt;="&amp;$D213,$B$2:$B$225,$B213,$F$2:$F$225,"Non Conf")))</f>
        <v>0</v>
      </c>
      <c r="W213" s="172" t="str">
        <f ca="1">IF($D213&gt;Standings!$Q$27,"",$V213&amp;"-"&amp;COUNTIF(OFFSET($F213,(-$D213+1),0,1,1):$F213,"Non Conf")-$V213)</f>
        <v>0-1</v>
      </c>
      <c r="X213" s="172">
        <f ca="1">IF($D213&gt;Standings!$Q$27,"",SUMIFS($U$2:$U$225,$D$2:$D$225,"&lt;="&amp;$D213,$B$2:$B$225,$B213,$F$2:$F$225,"Conf"))</f>
        <v>0</v>
      </c>
      <c r="Y213" s="172" t="str">
        <f ca="1">IF($D213&gt;Standings!$Q$27,"",$X213&amp;"-"&amp;COUNTIF(OFFSET($F213,(-$D213+1),0,1,1):$F213,"Conf")-$X213)</f>
        <v>0-1</v>
      </c>
      <c r="Z213" s="172">
        <f ca="1">IF($D213&gt;Standings!$Q$27,"",SUM(OFFSET(U213,(-$D213+1),0,1,1):U213))</f>
        <v>0</v>
      </c>
      <c r="AA213" s="172">
        <f ca="1">IF($D213&gt;Standings!$Q$27,"",IF(U213=1,1+AA212,0))</f>
        <v>0</v>
      </c>
      <c r="AB213" s="250">
        <f ca="1">IF($D213&gt;Standings!$Q$27,"",IF(AA213=0,1+AB212,0))</f>
        <v>2</v>
      </c>
      <c r="AC213" s="253">
        <f ca="1">IF($D213&gt;Standings!$Q$27,"",SUM(OFFSET(J213,(-$D213+1),0,1,1):J213))</f>
        <v>193.82</v>
      </c>
      <c r="AD213" s="248">
        <f ca="1">IF($D213&gt;Standings!$Q$27,"",SUM(OFFSET(K213,(-$D213+1),0,1,1):K213))</f>
        <v>219.45</v>
      </c>
      <c r="AE213" s="248">
        <f ca="1">IF($D213&gt;Standings!$Q$27,"",$J213-$K213)</f>
        <v>-22.230000000000004</v>
      </c>
      <c r="AF213" s="248">
        <f ca="1">IF($D213&gt;Standings!$Q$27,"",AC213-AD213)</f>
        <v>-25.629999999999995</v>
      </c>
      <c r="AG213" s="234">
        <f ca="1">IF($D213&gt;Standings!$Q$27,"",(COUNTIFS($D$2:$D$225,$D213,$C$2:$C$225,$C213,$AC$2:$AC$225,"&lt;"&amp;$AC213)+1)*0.01)</f>
        <v>0.02</v>
      </c>
      <c r="AH213" s="234">
        <f ca="1">IF($D213&gt;Standings!$Q$27,"",Z213+AG213)</f>
        <v>0.02</v>
      </c>
      <c r="AI213" s="234"/>
      <c r="AJ213" s="172">
        <f t="array" aca="1" ref="AJ213" ca="1">IF($D213&gt;Standings!$Q$27,"",(COUNTIFS($D$2:$D$225,$D213,$C$2:$C$225,$C213,$AM$2:$AM$225,"&gt;"&amp;$AM213)+1))</f>
        <v>7</v>
      </c>
      <c r="AK213" s="172">
        <f t="array" aca="1" ref="AK213" ca="1">IF($D213&gt;Standings!$Q$27,"",IF((COUNTIFS($D$2:$D$225,$D213,$C$2:$C$225,$C213,$AH$2:$AH$225,"&gt;"&amp;$AH213)+1)=2,1,0))</f>
        <v>0</v>
      </c>
      <c r="AL213" s="172">
        <f t="array" aca="1" ref="AL213" ca="1">IF($D213&gt;Standings!$Q$27,"",IF((COUNTIFS($D$2:$D$225,$D213,$C$2:$C$225,$C213,$AH$2:$AH$225,"&gt;"&amp;$AH213)+1)&lt;2,1,0))</f>
        <v>0</v>
      </c>
      <c r="AM213" s="172">
        <f ca="1">IF($D213&gt;Standings!$Q$27,"",IF(AL213=1,200+Z213+(16-AQ213)*0.01+AI213,IF(AK213=1,100+Z213+(16-AQ213)*0.01+AI213,IF(AN213=1,50+Z213+(16-AQ213)*0.01,IF(AO213=1,15+Z213+(16-AQ213)*0.01,Z213+(16-AQ213)*0.01+AI213)))))</f>
        <v>0.02</v>
      </c>
      <c r="AN213" s="172">
        <f ca="1">IF($D213&gt;Standings!$Q$27,"",IF(OR($AK213=1,$AL213=1),"Conf Playoff Spot",COUNTIFS($AL$2:$AL$225,0,$AK$2:$AK$225,0,$C$2:$C$225,$C213,$D$2:$D$225,$D213,$AC$2:$AC$225,"&gt;"&amp;$AC213)+1))</f>
        <v>5</v>
      </c>
      <c r="AO213" s="172">
        <f t="array" aca="1" ref="AO213" ca="1">IF($D213&gt;Standings!$Q$27,"",IF(OR($AK213=1,$AL213=1),"Conf Playoff Spot",COUNTIFS($AK$2:$AK$225,0,$AL$2:$AL$225,0,$D$2:$D$225,$D213,$AH$2:$AH$225,"&gt;"&amp;$AH213)+1))</f>
        <v>11</v>
      </c>
      <c r="AP213" s="172">
        <f t="array" aca="1" ref="AP213" ca="1">IF($D213&gt;Standings!$Q$27,"",(COUNTIFS($D$2:$D$225,$D213,$J$2:$J$225,"&gt;"&amp;$J213)+1))</f>
        <v>10</v>
      </c>
      <c r="AQ213" s="172">
        <f ca="1">IF($D213&gt;Standings!$Q$27,"",(COUNTIFS($D$2:$D$225,$D213,$AC$2:$AC$225,"&gt;"&amp;$AC213)+1))</f>
        <v>14</v>
      </c>
      <c r="AR213" s="172">
        <f ca="1">IF($D213&gt;Standings!$Q$27,"",(COUNTIFS($D$2:$D$225,$D213,$K$2:$K$225,"&gt;"&amp;$K213)+1))</f>
        <v>3</v>
      </c>
      <c r="AS213" s="172">
        <f ca="1">IF($D213&gt;Standings!$Q$27,"",(COUNTIFS($D$2:$D$225,$D213,$AD$2:$AD$225,"&gt;"&amp;$AD213)+1))</f>
        <v>8</v>
      </c>
      <c r="AT213" s="354">
        <f ca="1">IF($D213&gt;Standings!$Q$27,"",SUMIFS($J$2:$J$225,$D$2:$D$225,$D213,$C$2:$C$225,$C213))</f>
        <v>937.28000000000009</v>
      </c>
      <c r="AU213" s="253">
        <f ca="1">IF($D213&gt;Standings!$Q$27,"",SUMIFS($AC$2:$AC$225,$D$2:$D$225,$D213,$C$2:$C$225,$C213))</f>
        <v>1809.64</v>
      </c>
    </row>
    <row r="214" spans="1:47">
      <c r="A214" s="190">
        <f t="shared" si="3"/>
        <v>47</v>
      </c>
      <c r="B214" s="5" t="str">
        <f>'ESPN Data'!$L$19</f>
        <v>Team 16</v>
      </c>
      <c r="C214" s="350" t="str">
        <f>VLOOKUP(B214,'ESPN Data'!$L$4:$M$19,2,FALSE)</f>
        <v>Wardo</v>
      </c>
      <c r="D214" s="400">
        <v>3</v>
      </c>
      <c r="E214" s="267" t="str">
        <f t="array" ref="E214">INDEX('ESPN Data'!$C$3:$C$226,MATCH(1,('ESPN Data'!$A$3:$A$226='Point Data'!$D214)*('ESPN Data'!$B$3:$B$226='Point Data'!$B214),0))</f>
        <v>Team 7</v>
      </c>
      <c r="F214" s="250" t="str">
        <f>IF(C214&lt;&gt;VLOOKUP($E214,'ESPN Data'!$L$4:$M$19,2,FALSE),"Non Conf", "Conf")</f>
        <v>Non Conf</v>
      </c>
      <c r="G214" s="246">
        <f t="array" aca="1" ref="G214" ca="1">IF('Point Data'!$D214&gt;Standings!$Q$27,"",(COUNTIFS($D$2:$D$225,$D214,$AM$2:$AM$225,"&gt;"&amp;$AM214)+1))</f>
        <v>14</v>
      </c>
      <c r="H214" s="172">
        <f ca="1">IF('Point Data'!$D214&gt;Standings!$Q$27,"",$G213)</f>
        <v>15</v>
      </c>
      <c r="I214" s="249">
        <f ca="1">IF('Point Data'!D214&gt;Standings!$Q$27,"",H214-G214)</f>
        <v>1</v>
      </c>
      <c r="J214" s="172">
        <f ca="1">IF('Point Data'!D214&gt;Standings!$Q$27,"",OFFSET('ESPN Data'!D$3,$A214,0,1,1))</f>
        <v>102.88</v>
      </c>
      <c r="K214" s="248">
        <f ca="1">IF('Point Data'!D214&gt;Standings!$Q$27,"",OFFSET('ESPN Data'!E$3,$A214,0,1,1))</f>
        <v>139.19</v>
      </c>
      <c r="L214" s="249">
        <f ca="1">IF('Point Data'!D214&gt;Standings!$Q$27,"",OFFSET('ESPN Data'!I$3,$A214,0,1,1))</f>
        <v>0</v>
      </c>
      <c r="M214" s="249">
        <f ca="1">IF('Point Data'!D214&gt;Standings!$Q$27,"",OFFSET('ESPN Data'!I$3,$A214,-2,1,1))</f>
        <v>100</v>
      </c>
      <c r="N214" s="249">
        <f ca="1">IF('Point Data'!D214&gt;Standings!$Q$27,"",SUMIFS($M$2:$M$225,$D$2:$D$225,D214,$C$2:$C$225,C214))</f>
        <v>185</v>
      </c>
      <c r="O214" s="249">
        <f ca="1">IF('Point Data'!D214&gt;Standings!$Q$27,"",SUMIFS($L$2:$L$225,$D$2:$D$225,$D214,$C$2:$C$225,$C214))</f>
        <v>586</v>
      </c>
      <c r="P214" s="249">
        <f ca="1">IF('Point Data'!D214&gt;Standings!$Q$27,"",SUMIFS($M$2:$M$225,$D$2:$D$225,D214))</f>
        <v>210</v>
      </c>
      <c r="Q214" s="249">
        <f ca="1">IF('Point Data'!D214&gt;Standings!$Q$27,"",SUMIFS($L$2:$L$225,$D$2:$D$225,D214))</f>
        <v>1314</v>
      </c>
      <c r="R214" s="249">
        <f ca="1">IF($D214&gt;Standings!$Q$27,"",IF(U214="T",(Z214+0.5)/(D214)*100,(Z214/D214)*100))</f>
        <v>0</v>
      </c>
      <c r="S214" s="248">
        <f ca="1">IF($D214&gt;Standings!$Q$27,"",$J214-$K214)</f>
        <v>-36.31</v>
      </c>
      <c r="T214" s="248">
        <f ca="1">IF($D214&gt;Standings!$Q$27,"",AVERAGE(OFFSET(S214,(-$D214+1),0,1,1):S214))</f>
        <v>-20.646666666666665</v>
      </c>
      <c r="U214" s="172">
        <f ca="1">IF($D214&gt;Standings!$Q$27,"",IF(J214&gt;K214,1,IF(J214=K214,"T",0)))</f>
        <v>0</v>
      </c>
      <c r="V214" s="172">
        <f ca="1">IF($D214&gt;Standings!$Q$27,"",IF(F214="Conf",V213,SUMIFS($U$2:$U$225,$D$2:$D$225,"&lt;="&amp;$D214,$B$2:$B$225,$B214,$F$2:$F$225,"Non Conf")))</f>
        <v>0</v>
      </c>
      <c r="W214" s="172" t="str">
        <f ca="1">IF($D214&gt;Standings!$Q$27,"",$V214&amp;"-"&amp;COUNTIF(OFFSET($F214,(-$D214+1),0,1,1):$F214,"Non Conf")-$V214)</f>
        <v>0-2</v>
      </c>
      <c r="X214" s="172">
        <f ca="1">IF($D214&gt;Standings!$Q$27,"",SUMIFS($U$2:$U$225,$D$2:$D$225,"&lt;="&amp;$D214,$B$2:$B$225,$B214,$F$2:$F$225,"Conf"))</f>
        <v>0</v>
      </c>
      <c r="Y214" s="172" t="str">
        <f ca="1">IF($D214&gt;Standings!$Q$27,"",$X214&amp;"-"&amp;COUNTIF(OFFSET($F214,(-$D214+1),0,1,1):$F214,"Conf")-$X214)</f>
        <v>0-1</v>
      </c>
      <c r="Z214" s="172">
        <f ca="1">IF($D214&gt;Standings!$Q$27,"",SUM(OFFSET(U214,(-$D214+1),0,1,1):U214))</f>
        <v>0</v>
      </c>
      <c r="AA214" s="172">
        <f ca="1">IF($D214&gt;Standings!$Q$27,"",IF(U214=1,1+AA213,0))</f>
        <v>0</v>
      </c>
      <c r="AB214" s="250">
        <f ca="1">IF($D214&gt;Standings!$Q$27,"",IF(AA214=0,1+AB213,0))</f>
        <v>3</v>
      </c>
      <c r="AC214" s="253">
        <f ca="1">IF($D214&gt;Standings!$Q$27,"",SUM(OFFSET(J214,(-$D214+1),0,1,1):J214))</f>
        <v>296.7</v>
      </c>
      <c r="AD214" s="248">
        <f ca="1">IF($D214&gt;Standings!$Q$27,"",SUM(OFFSET(K214,(-$D214+1),0,1,1):K214))</f>
        <v>358.64</v>
      </c>
      <c r="AE214" s="248">
        <f ca="1">IF($D214&gt;Standings!$Q$27,"",$J214-$K214)</f>
        <v>-36.31</v>
      </c>
      <c r="AF214" s="248">
        <f ca="1">IF($D214&gt;Standings!$Q$27,"",AC214-AD214)</f>
        <v>-61.94</v>
      </c>
      <c r="AG214" s="234">
        <f ca="1">IF($D214&gt;Standings!$Q$27,"",(COUNTIFS($D$2:$D$225,$D214,$C$2:$C$225,$C214,$AC$2:$AC$225,"&lt;"&amp;$AC214)+1)*0.01)</f>
        <v>0.02</v>
      </c>
      <c r="AH214" s="234">
        <f ca="1">IF($D214&gt;Standings!$Q$27,"",Z214+AG214)</f>
        <v>0.02</v>
      </c>
      <c r="AI214" s="234"/>
      <c r="AJ214" s="172">
        <f t="array" aca="1" ref="AJ214" ca="1">IF($D214&gt;Standings!$Q$27,"",(COUNTIFS($D$2:$D$225,$D214,$C$2:$C$225,$C214,$AM$2:$AM$225,"&gt;"&amp;$AM214)+1))</f>
        <v>7</v>
      </c>
      <c r="AK214" s="172">
        <f t="array" aca="1" ref="AK214" ca="1">IF($D214&gt;Standings!$Q$27,"",IF((COUNTIFS($D$2:$D$225,$D214,$C$2:$C$225,$C214,$AH$2:$AH$225,"&gt;"&amp;$AH214)+1)=2,1,0))</f>
        <v>0</v>
      </c>
      <c r="AL214" s="172">
        <f t="array" aca="1" ref="AL214" ca="1">IF($D214&gt;Standings!$Q$27,"",IF((COUNTIFS($D$2:$D$225,$D214,$C$2:$C$225,$C214,$AH$2:$AH$225,"&gt;"&amp;$AH214)+1)&lt;2,1,0))</f>
        <v>0</v>
      </c>
      <c r="AM214" s="172">
        <f ca="1">IF($D214&gt;Standings!$Q$27,"",IF(AL214=1,200+Z214+(16-AQ214)*0.01+AI214,IF(AK214=1,100+Z214+(16-AQ214)*0.01+AI214,IF(AN214=1,50+Z214+(16-AQ214)*0.01,IF(AO214=1,15+Z214+(16-AQ214)*0.01,Z214+(16-AQ214)*0.01+AI214)))))</f>
        <v>0.02</v>
      </c>
      <c r="AN214" s="172">
        <f ca="1">IF($D214&gt;Standings!$Q$27,"",IF(OR($AK214=1,$AL214=1),"Conf Playoff Spot",COUNTIFS($AL$2:$AL$225,0,$AK$2:$AK$225,0,$C$2:$C$225,$C214,$D$2:$D$225,$D214,$AC$2:$AC$225,"&gt;"&amp;$AC214)+1))</f>
        <v>5</v>
      </c>
      <c r="AO214" s="172">
        <f t="array" aca="1" ref="AO214" ca="1">IF($D214&gt;Standings!$Q$27,"",IF(OR($AK214=1,$AL214=1),"Conf Playoff Spot",COUNTIFS($AK$2:$AK$225,0,$AL$2:$AL$225,0,$D$2:$D$225,$D214,$AH$2:$AH$225,"&gt;"&amp;$AH214)+1))</f>
        <v>10</v>
      </c>
      <c r="AP214" s="172">
        <f t="array" aca="1" ref="AP214" ca="1">IF($D214&gt;Standings!$Q$27,"",(COUNTIFS($D$2:$D$225,$D214,$J$2:$J$225,"&gt;"&amp;$J214)+1))</f>
        <v>10</v>
      </c>
      <c r="AQ214" s="172">
        <f ca="1">IF($D214&gt;Standings!$Q$27,"",(COUNTIFS($D$2:$D$225,$D214,$AC$2:$AC$225,"&gt;"&amp;$AC214)+1))</f>
        <v>14</v>
      </c>
      <c r="AR214" s="172">
        <f ca="1">IF($D214&gt;Standings!$Q$27,"",(COUNTIFS($D$2:$D$225,$D214,$K$2:$K$225,"&gt;"&amp;$K214)+1))</f>
        <v>2</v>
      </c>
      <c r="AS214" s="172">
        <f ca="1">IF($D214&gt;Standings!$Q$27,"",(COUNTIFS($D$2:$D$225,$D214,$AD$2:$AD$225,"&gt;"&amp;$AD214)+1))</f>
        <v>3</v>
      </c>
      <c r="AT214" s="354">
        <f ca="1">IF($D214&gt;Standings!$Q$27,"",SUMIFS($J$2:$J$225,$D$2:$D$225,$D214,$C$2:$C$225,$C214))</f>
        <v>832.04000000000008</v>
      </c>
      <c r="AU214" s="253">
        <f ca="1">IF($D214&gt;Standings!$Q$27,"",SUMIFS($AC$2:$AC$225,$D$2:$D$225,$D214,$C$2:$C$225,$C214))</f>
        <v>2641.68</v>
      </c>
    </row>
    <row r="215" spans="1:47">
      <c r="A215" s="190">
        <f t="shared" si="3"/>
        <v>63</v>
      </c>
      <c r="B215" s="5" t="str">
        <f>'ESPN Data'!$L$19</f>
        <v>Team 16</v>
      </c>
      <c r="C215" s="350" t="str">
        <f>VLOOKUP(B215,'ESPN Data'!$L$4:$M$19,2,FALSE)</f>
        <v>Wardo</v>
      </c>
      <c r="D215" s="400">
        <v>4</v>
      </c>
      <c r="E215" s="267" t="str">
        <f t="array" ref="E215">INDEX('ESPN Data'!$C$3:$C$226,MATCH(1,('ESPN Data'!$A$3:$A$226='Point Data'!$D215)*('ESPN Data'!$B$3:$B$226='Point Data'!$B215),0))</f>
        <v>Team 11</v>
      </c>
      <c r="F215" s="250" t="str">
        <f>IF(C215&lt;&gt;VLOOKUP($E215,'ESPN Data'!$L$4:$M$19,2,FALSE),"Non Conf", "Conf")</f>
        <v>Conf</v>
      </c>
      <c r="G215" s="246">
        <f t="array" aca="1" ref="G215" ca="1">IF('Point Data'!$D215&gt;Standings!$Q$27,"",(COUNTIFS($D$2:$D$225,$D215,$AM$2:$AM$225,"&gt;"&amp;$AM215)+1))</f>
        <v>14</v>
      </c>
      <c r="H215" s="172">
        <f ca="1">IF('Point Data'!$D215&gt;Standings!$Q$27,"",$G214)</f>
        <v>14</v>
      </c>
      <c r="I215" s="249">
        <f ca="1">IF('Point Data'!D215&gt;Standings!$Q$27,"",H215-G215)</f>
        <v>0</v>
      </c>
      <c r="J215" s="172">
        <f ca="1">IF('Point Data'!D215&gt;Standings!$Q$27,"",OFFSET('ESPN Data'!D$3,$A215,0,1,1))</f>
        <v>99.49</v>
      </c>
      <c r="K215" s="248">
        <f ca="1">IF('Point Data'!D215&gt;Standings!$Q$27,"",OFFSET('ESPN Data'!E$3,$A215,0,1,1))</f>
        <v>53.05</v>
      </c>
      <c r="L215" s="249">
        <f ca="1">IF('Point Data'!D215&gt;Standings!$Q$27,"",OFFSET('ESPN Data'!I$3,$A215,0,1,1))</f>
        <v>0</v>
      </c>
      <c r="M215" s="249">
        <f ca="1">IF('Point Data'!D215&gt;Standings!$Q$27,"",OFFSET('ESPN Data'!I$3,$A215,-2,1,1))</f>
        <v>0</v>
      </c>
      <c r="N215" s="249">
        <f ca="1">IF('Point Data'!D215&gt;Standings!$Q$27,"",SUMIFS($M$2:$M$225,$D$2:$D$225,D215,$C$2:$C$225,C215))</f>
        <v>10</v>
      </c>
      <c r="O215" s="249">
        <f ca="1">IF('Point Data'!D215&gt;Standings!$Q$27,"",SUMIFS($L$2:$L$225,$D$2:$D$225,$D215,$C$2:$C$225,$C215))</f>
        <v>576</v>
      </c>
      <c r="P215" s="249">
        <f ca="1">IF('Point Data'!D215&gt;Standings!$Q$27,"",SUMIFS($M$2:$M$225,$D$2:$D$225,D215))</f>
        <v>171</v>
      </c>
      <c r="Q215" s="249">
        <f ca="1">IF('Point Data'!D215&gt;Standings!$Q$27,"",SUMIFS($L$2:$L$225,$D$2:$D$225,D215))</f>
        <v>1143</v>
      </c>
      <c r="R215" s="249">
        <f ca="1">IF($D215&gt;Standings!$Q$27,"",IF(U215="T",(Z215+0.5)/(D215)*100,(Z215/D215)*100))</f>
        <v>25</v>
      </c>
      <c r="S215" s="248">
        <f ca="1">IF($D215&gt;Standings!$Q$27,"",$J215-$K215)</f>
        <v>46.44</v>
      </c>
      <c r="T215" s="248">
        <f ca="1">IF($D215&gt;Standings!$Q$27,"",AVERAGE(OFFSET(S215,(-$D215+1),0,1,1):S215))</f>
        <v>-3.875</v>
      </c>
      <c r="U215" s="172">
        <f ca="1">IF($D215&gt;Standings!$Q$27,"",IF(J215&gt;K215,1,IF(J215=K215,"T",0)))</f>
        <v>1</v>
      </c>
      <c r="V215" s="172">
        <f ca="1">IF($D215&gt;Standings!$Q$27,"",IF(F215="Conf",V214,SUMIFS($U$2:$U$225,$D$2:$D$225,"&lt;="&amp;$D215,$B$2:$B$225,$B215,$F$2:$F$225,"Non Conf")))</f>
        <v>0</v>
      </c>
      <c r="W215" s="172" t="str">
        <f ca="1">IF($D215&gt;Standings!$Q$27,"",$V215&amp;"-"&amp;COUNTIF(OFFSET($F215,(-$D215+1),0,1,1):$F215,"Non Conf")-$V215)</f>
        <v>0-2</v>
      </c>
      <c r="X215" s="172">
        <f ca="1">IF($D215&gt;Standings!$Q$27,"",SUMIFS($U$2:$U$225,$D$2:$D$225,"&lt;="&amp;$D215,$B$2:$B$225,$B215,$F$2:$F$225,"Conf"))</f>
        <v>1</v>
      </c>
      <c r="Y215" s="172" t="str">
        <f ca="1">IF($D215&gt;Standings!$Q$27,"",$X215&amp;"-"&amp;COUNTIF(OFFSET($F215,(-$D215+1),0,1,1):$F215,"Conf")-$X215)</f>
        <v>1-1</v>
      </c>
      <c r="Z215" s="172">
        <f ca="1">IF($D215&gt;Standings!$Q$27,"",SUM(OFFSET(U215,(-$D215+1),0,1,1):U215))</f>
        <v>1</v>
      </c>
      <c r="AA215" s="172">
        <f ca="1">IF($D215&gt;Standings!$Q$27,"",IF(U215=1,1+AA214,0))</f>
        <v>1</v>
      </c>
      <c r="AB215" s="250">
        <f ca="1">IF($D215&gt;Standings!$Q$27,"",IF(AA215=0,1+AB214,0))</f>
        <v>0</v>
      </c>
      <c r="AC215" s="253">
        <f ca="1">IF($D215&gt;Standings!$Q$27,"",SUM(OFFSET(J215,(-$D215+1),0,1,1):J215))</f>
        <v>396.19</v>
      </c>
      <c r="AD215" s="248">
        <f ca="1">IF($D215&gt;Standings!$Q$27,"",SUM(OFFSET(K215,(-$D215+1),0,1,1):K215))</f>
        <v>411.69</v>
      </c>
      <c r="AE215" s="248">
        <f ca="1">IF($D215&gt;Standings!$Q$27,"",$J215-$K215)</f>
        <v>46.44</v>
      </c>
      <c r="AF215" s="248">
        <f ca="1">IF($D215&gt;Standings!$Q$27,"",AC215-AD215)</f>
        <v>-15.5</v>
      </c>
      <c r="AG215" s="234">
        <f ca="1">IF($D215&gt;Standings!$Q$27,"",(COUNTIFS($D$2:$D$225,$D215,$C$2:$C$225,$C215,$AC$2:$AC$225,"&lt;"&amp;$AC215)+1)*0.01)</f>
        <v>0.03</v>
      </c>
      <c r="AH215" s="234">
        <f ca="1">IF($D215&gt;Standings!$Q$27,"",Z215+AG215)</f>
        <v>1.03</v>
      </c>
      <c r="AI215" s="234"/>
      <c r="AJ215" s="172">
        <f t="array" aca="1" ref="AJ215" ca="1">IF($D215&gt;Standings!$Q$27,"",(COUNTIFS($D$2:$D$225,$D215,$C$2:$C$225,$C215,$AM$2:$AM$225,"&gt;"&amp;$AM215)+1))</f>
        <v>7</v>
      </c>
      <c r="AK215" s="172">
        <f t="array" aca="1" ref="AK215" ca="1">IF($D215&gt;Standings!$Q$27,"",IF((COUNTIFS($D$2:$D$225,$D215,$C$2:$C$225,$C215,$AH$2:$AH$225,"&gt;"&amp;$AH215)+1)=2,1,0))</f>
        <v>0</v>
      </c>
      <c r="AL215" s="172">
        <f t="array" aca="1" ref="AL215" ca="1">IF($D215&gt;Standings!$Q$27,"",IF((COUNTIFS($D$2:$D$225,$D215,$C$2:$C$225,$C215,$AH$2:$AH$225,"&gt;"&amp;$AH215)+1)&lt;2,1,0))</f>
        <v>0</v>
      </c>
      <c r="AM215" s="172">
        <f ca="1">IF($D215&gt;Standings!$Q$27,"",IF(AL215=1,200+Z215+(16-AQ215)*0.01+AI215,IF(AK215=1,100+Z215+(16-AQ215)*0.01+AI215,IF(AN215=1,50+Z215+(16-AQ215)*0.01,IF(AO215=1,15+Z215+(16-AQ215)*0.01,Z215+(16-AQ215)*0.01+AI215)))))</f>
        <v>1.04</v>
      </c>
      <c r="AN215" s="172">
        <f ca="1">IF($D215&gt;Standings!$Q$27,"",IF(OR($AK215=1,$AL215=1),"Conf Playoff Spot",COUNTIFS($AL$2:$AL$225,0,$AK$2:$AK$225,0,$C$2:$C$225,$C215,$D$2:$D$225,$D215,$AC$2:$AC$225,"&gt;"&amp;$AC215)+1))</f>
        <v>4</v>
      </c>
      <c r="AO215" s="172">
        <f t="array" aca="1" ref="AO215" ca="1">IF($D215&gt;Standings!$Q$27,"",IF(OR($AK215=1,$AL215=1),"Conf Playoff Spot",COUNTIFS($AK$2:$AK$225,0,$AL$2:$AL$225,0,$D$2:$D$225,$D215,$AH$2:$AH$225,"&gt;"&amp;$AH215)+1))</f>
        <v>9</v>
      </c>
      <c r="AP215" s="172">
        <f t="array" aca="1" ref="AP215" ca="1">IF($D215&gt;Standings!$Q$27,"",(COUNTIFS($D$2:$D$225,$D215,$J$2:$J$225,"&gt;"&amp;$J215)+1))</f>
        <v>10</v>
      </c>
      <c r="AQ215" s="172">
        <f ca="1">IF($D215&gt;Standings!$Q$27,"",(COUNTIFS($D$2:$D$225,$D215,$AC$2:$AC$225,"&gt;"&amp;$AC215)+1))</f>
        <v>12</v>
      </c>
      <c r="AR215" s="172">
        <f ca="1">IF($D215&gt;Standings!$Q$27,"",(COUNTIFS($D$2:$D$225,$D215,$K$2:$K$225,"&gt;"&amp;$K215)+1))</f>
        <v>16</v>
      </c>
      <c r="AS215" s="172">
        <f ca="1">IF($D215&gt;Standings!$Q$27,"",(COUNTIFS($D$2:$D$225,$D215,$AD$2:$AD$225,"&gt;"&amp;$AD215)+1))</f>
        <v>12</v>
      </c>
      <c r="AT215" s="354">
        <f ca="1">IF($D215&gt;Standings!$Q$27,"",SUMIFS($J$2:$J$225,$D$2:$D$225,$D215,$C$2:$C$225,$C215))</f>
        <v>827.84</v>
      </c>
      <c r="AU215" s="253">
        <f ca="1">IF($D215&gt;Standings!$Q$27,"",SUMIFS($AC$2:$AC$225,$D$2:$D$225,$D215,$C$2:$C$225,$C215))</f>
        <v>3469.52</v>
      </c>
    </row>
    <row r="216" spans="1:47">
      <c r="A216" s="190">
        <f t="shared" si="3"/>
        <v>79</v>
      </c>
      <c r="B216" s="5" t="str">
        <f>'ESPN Data'!$L$19</f>
        <v>Team 16</v>
      </c>
      <c r="C216" s="350" t="str">
        <f>VLOOKUP(B216,'ESPN Data'!$L$4:$M$19,2,FALSE)</f>
        <v>Wardo</v>
      </c>
      <c r="D216" s="400">
        <v>5</v>
      </c>
      <c r="E216" s="267" t="str">
        <f t="array" ref="E216">INDEX('ESPN Data'!$C$3:$C$226,MATCH(1,('ESPN Data'!$A$3:$A$226='Point Data'!$D216)*('ESPN Data'!$B$3:$B$226='Point Data'!$B216),0))</f>
        <v>Team 15</v>
      </c>
      <c r="F216" s="250" t="str">
        <f>IF(C216&lt;&gt;VLOOKUP($E216,'ESPN Data'!$L$4:$M$19,2,FALSE),"Non Conf", "Conf")</f>
        <v>Conf</v>
      </c>
      <c r="G216" s="246">
        <f t="array" aca="1" ref="G216" ca="1">IF('Point Data'!$D216&gt;Standings!$Q$27,"",(COUNTIFS($D$2:$D$225,$D216,$AM$2:$AM$225,"&gt;"&amp;$AM216)+1))</f>
        <v>12</v>
      </c>
      <c r="H216" s="172">
        <f ca="1">IF('Point Data'!$D216&gt;Standings!$Q$27,"",$G215)</f>
        <v>14</v>
      </c>
      <c r="I216" s="249">
        <f ca="1">IF('Point Data'!D216&gt;Standings!$Q$27,"",H216-G216)</f>
        <v>2</v>
      </c>
      <c r="J216" s="172">
        <f ca="1">IF('Point Data'!D216&gt;Standings!$Q$27,"",OFFSET('ESPN Data'!D$3,$A216,0,1,1))</f>
        <v>133.30000000000001</v>
      </c>
      <c r="K216" s="248">
        <f ca="1">IF('Point Data'!D216&gt;Standings!$Q$27,"",OFFSET('ESPN Data'!E$3,$A216,0,1,1))</f>
        <v>105.13</v>
      </c>
      <c r="L216" s="249">
        <f ca="1">IF('Point Data'!D216&gt;Standings!$Q$27,"",OFFSET('ESPN Data'!I$3,$A216,0,1,1))</f>
        <v>0</v>
      </c>
      <c r="M216" s="249">
        <f ca="1">IF('Point Data'!D216&gt;Standings!$Q$27,"",OFFSET('ESPN Data'!I$3,$A216,-2,1,1))</f>
        <v>0</v>
      </c>
      <c r="N216" s="249">
        <f ca="1">IF('Point Data'!D216&gt;Standings!$Q$27,"",SUMIFS($M$2:$M$225,$D$2:$D$225,D216,$C$2:$C$225,C216))</f>
        <v>39</v>
      </c>
      <c r="O216" s="249">
        <f ca="1">IF('Point Data'!D216&gt;Standings!$Q$27,"",SUMIFS($L$2:$L$225,$D$2:$D$225,$D216,$C$2:$C$225,$C216))</f>
        <v>537</v>
      </c>
      <c r="P216" s="249">
        <f ca="1">IF('Point Data'!D216&gt;Standings!$Q$27,"",SUMIFS($M$2:$M$225,$D$2:$D$225,D216))</f>
        <v>104</v>
      </c>
      <c r="Q216" s="249">
        <f ca="1">IF('Point Data'!D216&gt;Standings!$Q$27,"",SUMIFS($L$2:$L$225,$D$2:$D$225,D216))</f>
        <v>1039</v>
      </c>
      <c r="R216" s="249">
        <f ca="1">IF($D216&gt;Standings!$Q$27,"",IF(U216="T",(Z216+0.5)/(D216)*100,(Z216/D216)*100))</f>
        <v>40</v>
      </c>
      <c r="S216" s="248">
        <f ca="1">IF($D216&gt;Standings!$Q$27,"",$J216-$K216)</f>
        <v>28.170000000000016</v>
      </c>
      <c r="T216" s="248">
        <f ca="1">IF($D216&gt;Standings!$Q$27,"",AVERAGE(OFFSET(S216,(-$D216+1),0,1,1):S216))</f>
        <v>2.5340000000000034</v>
      </c>
      <c r="U216" s="172">
        <f ca="1">IF($D216&gt;Standings!$Q$27,"",IF(J216&gt;K216,1,IF(J216=K216,"T",0)))</f>
        <v>1</v>
      </c>
      <c r="V216" s="172">
        <f ca="1">IF($D216&gt;Standings!$Q$27,"",IF(F216="Conf",V215,SUMIFS($U$2:$U$225,$D$2:$D$225,"&lt;="&amp;$D216,$B$2:$B$225,$B216,$F$2:$F$225,"Non Conf")))</f>
        <v>0</v>
      </c>
      <c r="W216" s="172" t="str">
        <f ca="1">IF($D216&gt;Standings!$Q$27,"",$V216&amp;"-"&amp;COUNTIF(OFFSET($F216,(-$D216+1),0,1,1):$F216,"Non Conf")-$V216)</f>
        <v>0-2</v>
      </c>
      <c r="X216" s="172">
        <f ca="1">IF($D216&gt;Standings!$Q$27,"",SUMIFS($U$2:$U$225,$D$2:$D$225,"&lt;="&amp;$D216,$B$2:$B$225,$B216,$F$2:$F$225,"Conf"))</f>
        <v>2</v>
      </c>
      <c r="Y216" s="172" t="str">
        <f ca="1">IF($D216&gt;Standings!$Q$27,"",$X216&amp;"-"&amp;COUNTIF(OFFSET($F216,(-$D216+1),0,1,1):$F216,"Conf")-$X216)</f>
        <v>2-1</v>
      </c>
      <c r="Z216" s="172">
        <f ca="1">IF($D216&gt;Standings!$Q$27,"",SUM(OFFSET(U216,(-$D216+1),0,1,1):U216))</f>
        <v>2</v>
      </c>
      <c r="AA216" s="172">
        <f ca="1">IF($D216&gt;Standings!$Q$27,"",IF(U216=1,1+AA215,0))</f>
        <v>2</v>
      </c>
      <c r="AB216" s="250">
        <f ca="1">IF($D216&gt;Standings!$Q$27,"",IF(AA216=0,1+AB215,0))</f>
        <v>0</v>
      </c>
      <c r="AC216" s="253">
        <f ca="1">IF($D216&gt;Standings!$Q$27,"",SUM(OFFSET(J216,(-$D216+1),0,1,1):J216))</f>
        <v>529.49</v>
      </c>
      <c r="AD216" s="248">
        <f ca="1">IF($D216&gt;Standings!$Q$27,"",SUM(OFFSET(K216,(-$D216+1),0,1,1):K216))</f>
        <v>516.81999999999994</v>
      </c>
      <c r="AE216" s="248">
        <f ca="1">IF($D216&gt;Standings!$Q$27,"",$J216-$K216)</f>
        <v>28.170000000000016</v>
      </c>
      <c r="AF216" s="248">
        <f ca="1">IF($D216&gt;Standings!$Q$27,"",AC216-AD216)</f>
        <v>12.670000000000073</v>
      </c>
      <c r="AG216" s="234">
        <f ca="1">IF($D216&gt;Standings!$Q$27,"",(COUNTIFS($D$2:$D$225,$D216,$C$2:$C$225,$C216,$AC$2:$AC$225,"&lt;"&amp;$AC216)+1)*0.01)</f>
        <v>0.04</v>
      </c>
      <c r="AH216" s="234">
        <f ca="1">IF($D216&gt;Standings!$Q$27,"",Z216+AG216)</f>
        <v>2.04</v>
      </c>
      <c r="AI216" s="234"/>
      <c r="AJ216" s="172">
        <f t="array" aca="1" ref="AJ216" ca="1">IF($D216&gt;Standings!$Q$27,"",(COUNTIFS($D$2:$D$225,$D216,$C$2:$C$225,$C216,$AM$2:$AM$225,"&gt;"&amp;$AM216)+1))</f>
        <v>6</v>
      </c>
      <c r="AK216" s="172">
        <f t="array" aca="1" ref="AK216" ca="1">IF($D216&gt;Standings!$Q$27,"",IF((COUNTIFS($D$2:$D$225,$D216,$C$2:$C$225,$C216,$AH$2:$AH$225,"&gt;"&amp;$AH216)+1)=2,1,0))</f>
        <v>0</v>
      </c>
      <c r="AL216" s="172">
        <f t="array" aca="1" ref="AL216" ca="1">IF($D216&gt;Standings!$Q$27,"",IF((COUNTIFS($D$2:$D$225,$D216,$C$2:$C$225,$C216,$AH$2:$AH$225,"&gt;"&amp;$AH216)+1)&lt;2,1,0))</f>
        <v>0</v>
      </c>
      <c r="AM216" s="172">
        <f ca="1">IF($D216&gt;Standings!$Q$27,"",IF(AL216=1,200+Z216+(16-AQ216)*0.01+AI216,IF(AK216=1,100+Z216+(16-AQ216)*0.01+AI216,IF(AN216=1,50+Z216+(16-AQ216)*0.01,IF(AO216=1,15+Z216+(16-AQ216)*0.01,Z216+(16-AQ216)*0.01+AI216)))))</f>
        <v>2.0699999999999998</v>
      </c>
      <c r="AN216" s="172">
        <f ca="1">IF($D216&gt;Standings!$Q$27,"",IF(OR($AK216=1,$AL216=1),"Conf Playoff Spot",COUNTIFS($AL$2:$AL$225,0,$AK$2:$AK$225,0,$C$2:$C$225,$C216,$D$2:$D$225,$D216,$AC$2:$AC$225,"&gt;"&amp;$AC216)+1))</f>
        <v>3</v>
      </c>
      <c r="AO216" s="172">
        <f t="array" aca="1" ref="AO216" ca="1">IF($D216&gt;Standings!$Q$27,"",IF(OR($AK216=1,$AL216=1),"Conf Playoff Spot",COUNTIFS($AK$2:$AK$225,0,$AL$2:$AL$225,0,$D$2:$D$225,$D216,$AH$2:$AH$225,"&gt;"&amp;$AH216)+1))</f>
        <v>8</v>
      </c>
      <c r="AP216" s="172">
        <f t="array" aca="1" ref="AP216" ca="1">IF($D216&gt;Standings!$Q$27,"",(COUNTIFS($D$2:$D$225,$D216,$J$2:$J$225,"&gt;"&amp;$J216)+1))</f>
        <v>4</v>
      </c>
      <c r="AQ216" s="172">
        <f ca="1">IF($D216&gt;Standings!$Q$27,"",(COUNTIFS($D$2:$D$225,$D216,$AC$2:$AC$225,"&gt;"&amp;$AC216)+1))</f>
        <v>9</v>
      </c>
      <c r="AR216" s="172">
        <f ca="1">IF($D216&gt;Standings!$Q$27,"",(COUNTIFS($D$2:$D$225,$D216,$K$2:$K$225,"&gt;"&amp;$K216)+1))</f>
        <v>8</v>
      </c>
      <c r="AS216" s="172">
        <f ca="1">IF($D216&gt;Standings!$Q$27,"",(COUNTIFS($D$2:$D$225,$D216,$AD$2:$AD$225,"&gt;"&amp;$AD216)+1))</f>
        <v>13</v>
      </c>
      <c r="AT216" s="354">
        <f ca="1">IF($D216&gt;Standings!$Q$27,"",SUMIFS($J$2:$J$225,$D$2:$D$225,$D216,$C$2:$C$225,$C216))</f>
        <v>855.19</v>
      </c>
      <c r="AU216" s="253">
        <f ca="1">IF($D216&gt;Standings!$Q$27,"",SUMIFS($AC$2:$AC$225,$D$2:$D$225,$D216,$C$2:$C$225,$C216))</f>
        <v>4324.71</v>
      </c>
    </row>
    <row r="217" spans="1:47">
      <c r="A217" s="190">
        <f t="shared" si="3"/>
        <v>95</v>
      </c>
      <c r="B217" s="5" t="str">
        <f>'ESPN Data'!$L$19</f>
        <v>Team 16</v>
      </c>
      <c r="C217" s="350" t="str">
        <f>VLOOKUP(B217,'ESPN Data'!$L$4:$M$19,2,FALSE)</f>
        <v>Wardo</v>
      </c>
      <c r="D217" s="400">
        <v>6</v>
      </c>
      <c r="E217" s="267" t="str">
        <f t="array" ref="E217">INDEX('ESPN Data'!$C$3:$C$226,MATCH(1,('ESPN Data'!$A$3:$A$226='Point Data'!$D217)*('ESPN Data'!$B$3:$B$226='Point Data'!$B217),0))</f>
        <v>Team 10</v>
      </c>
      <c r="F217" s="250" t="str">
        <f>IF(C217&lt;&gt;VLOOKUP($E217,'ESPN Data'!$L$4:$M$19,2,FALSE),"Non Conf", "Conf")</f>
        <v>Conf</v>
      </c>
      <c r="G217" s="246">
        <f t="array" aca="1" ref="G217" ca="1">IF('Point Data'!$D217&gt;Standings!$Q$27,"",(COUNTIFS($D$2:$D$225,$D217,$AM$2:$AM$225,"&gt;"&amp;$AM217)+1))</f>
        <v>12</v>
      </c>
      <c r="H217" s="172">
        <f ca="1">IF('Point Data'!$D217&gt;Standings!$Q$27,"",$G216)</f>
        <v>12</v>
      </c>
      <c r="I217" s="249">
        <f ca="1">IF('Point Data'!D217&gt;Standings!$Q$27,"",H217-G217)</f>
        <v>0</v>
      </c>
      <c r="J217" s="172">
        <f ca="1">IF('Point Data'!D217&gt;Standings!$Q$27,"",OFFSET('ESPN Data'!D$3,$A217,0,1,1))</f>
        <v>98.77</v>
      </c>
      <c r="K217" s="248">
        <f ca="1">IF('Point Data'!D217&gt;Standings!$Q$27,"",OFFSET('ESPN Data'!E$3,$A217,0,1,1))</f>
        <v>113.1</v>
      </c>
      <c r="L217" s="249">
        <f ca="1">IF('Point Data'!D217&gt;Standings!$Q$27,"",OFFSET('ESPN Data'!I$3,$A217,0,1,1))</f>
        <v>0</v>
      </c>
      <c r="M217" s="249">
        <f ca="1">IF('Point Data'!D217&gt;Standings!$Q$27,"",OFFSET('ESPN Data'!I$3,$A217,-2,1,1))</f>
        <v>0</v>
      </c>
      <c r="N217" s="249">
        <f ca="1">IF('Point Data'!D217&gt;Standings!$Q$27,"",SUMIFS($M$2:$M$225,$D$2:$D$225,D217,$C$2:$C$225,C217))</f>
        <v>67</v>
      </c>
      <c r="O217" s="249">
        <f ca="1">IF('Point Data'!D217&gt;Standings!$Q$27,"",SUMIFS($L$2:$L$225,$D$2:$D$225,$D217,$C$2:$C$225,$C217))</f>
        <v>470</v>
      </c>
      <c r="P217" s="249">
        <f ca="1">IF('Point Data'!D217&gt;Standings!$Q$27,"",SUMIFS($M$2:$M$225,$D$2:$D$225,D217))</f>
        <v>183</v>
      </c>
      <c r="Q217" s="249">
        <f ca="1">IF('Point Data'!D217&gt;Standings!$Q$27,"",SUMIFS($L$2:$L$225,$D$2:$D$225,D217))</f>
        <v>856</v>
      </c>
      <c r="R217" s="249">
        <f ca="1">IF($D217&gt;Standings!$Q$27,"",IF(U217="T",(Z217+0.5)/(D217)*100,(Z217/D217)*100))</f>
        <v>33.333333333333329</v>
      </c>
      <c r="S217" s="248">
        <f ca="1">IF($D217&gt;Standings!$Q$27,"",$J217-$K217)</f>
        <v>-14.329999999999998</v>
      </c>
      <c r="T217" s="248">
        <f ca="1">IF($D217&gt;Standings!$Q$27,"",AVERAGE(OFFSET(S217,(-$D217+1),0,1,1):S217))</f>
        <v>-0.27666666666666373</v>
      </c>
      <c r="U217" s="172">
        <f ca="1">IF($D217&gt;Standings!$Q$27,"",IF(J217&gt;K217,1,IF(J217=K217,"T",0)))</f>
        <v>0</v>
      </c>
      <c r="V217" s="172">
        <f ca="1">IF($D217&gt;Standings!$Q$27,"",IF(F217="Conf",V216,SUMIFS($U$2:$U$225,$D$2:$D$225,"&lt;="&amp;$D217,$B$2:$B$225,$B217,$F$2:$F$225,"Non Conf")))</f>
        <v>0</v>
      </c>
      <c r="W217" s="172" t="str">
        <f ca="1">IF($D217&gt;Standings!$Q$27,"",$V217&amp;"-"&amp;COUNTIF(OFFSET($F217,(-$D217+1),0,1,1):$F217,"Non Conf")-$V217)</f>
        <v>0-2</v>
      </c>
      <c r="X217" s="172">
        <f ca="1">IF($D217&gt;Standings!$Q$27,"",SUMIFS($U$2:$U$225,$D$2:$D$225,"&lt;="&amp;$D217,$B$2:$B$225,$B217,$F$2:$F$225,"Conf"))</f>
        <v>2</v>
      </c>
      <c r="Y217" s="172" t="str">
        <f ca="1">IF($D217&gt;Standings!$Q$27,"",$X217&amp;"-"&amp;COUNTIF(OFFSET($F217,(-$D217+1),0,1,1):$F217,"Conf")-$X217)</f>
        <v>2-2</v>
      </c>
      <c r="Z217" s="172">
        <f ca="1">IF($D217&gt;Standings!$Q$27,"",SUM(OFFSET(U217,(-$D217+1),0,1,1):U217))</f>
        <v>2</v>
      </c>
      <c r="AA217" s="172">
        <f ca="1">IF($D217&gt;Standings!$Q$27,"",IF(U217=1,1+AA216,0))</f>
        <v>0</v>
      </c>
      <c r="AB217" s="250">
        <f ca="1">IF($D217&gt;Standings!$Q$27,"",IF(AA217=0,1+AB216,0))</f>
        <v>1</v>
      </c>
      <c r="AC217" s="253">
        <f ca="1">IF($D217&gt;Standings!$Q$27,"",SUM(OFFSET(J217,(-$D217+1),0,1,1):J217))</f>
        <v>628.26</v>
      </c>
      <c r="AD217" s="248">
        <f ca="1">IF($D217&gt;Standings!$Q$27,"",SUM(OFFSET(K217,(-$D217+1),0,1,1):K217))</f>
        <v>629.91999999999996</v>
      </c>
      <c r="AE217" s="248">
        <f ca="1">IF($D217&gt;Standings!$Q$27,"",$J217-$K217)</f>
        <v>-14.329999999999998</v>
      </c>
      <c r="AF217" s="248">
        <f ca="1">IF($D217&gt;Standings!$Q$27,"",AC217-AD217)</f>
        <v>-1.6599999999999682</v>
      </c>
      <c r="AG217" s="234">
        <f ca="1">IF($D217&gt;Standings!$Q$27,"",(COUNTIFS($D$2:$D$225,$D217,$C$2:$C$225,$C217,$AC$2:$AC$225,"&lt;"&amp;$AC217)+1)*0.01)</f>
        <v>0.03</v>
      </c>
      <c r="AH217" s="234">
        <f ca="1">IF($D217&gt;Standings!$Q$27,"",Z217+AG217)</f>
        <v>2.0299999999999998</v>
      </c>
      <c r="AI217" s="234"/>
      <c r="AJ217" s="172">
        <f t="array" aca="1" ref="AJ217" ca="1">IF($D217&gt;Standings!$Q$27,"",(COUNTIFS($D$2:$D$225,$D217,$C$2:$C$225,$C217,$AM$2:$AM$225,"&gt;"&amp;$AM217)+1))</f>
        <v>6</v>
      </c>
      <c r="AK217" s="172">
        <f t="array" aca="1" ref="AK217" ca="1">IF($D217&gt;Standings!$Q$27,"",IF((COUNTIFS($D$2:$D$225,$D217,$C$2:$C$225,$C217,$AH$2:$AH$225,"&gt;"&amp;$AH217)+1)=2,1,0))</f>
        <v>0</v>
      </c>
      <c r="AL217" s="172">
        <f t="array" aca="1" ref="AL217" ca="1">IF($D217&gt;Standings!$Q$27,"",IF((COUNTIFS($D$2:$D$225,$D217,$C$2:$C$225,$C217,$AH$2:$AH$225,"&gt;"&amp;$AH217)+1)&lt;2,1,0))</f>
        <v>0</v>
      </c>
      <c r="AM217" s="172">
        <f ca="1">IF($D217&gt;Standings!$Q$27,"",IF(AL217=1,200+Z217+(16-AQ217)*0.01+AI217,IF(AK217=1,100+Z217+(16-AQ217)*0.01+AI217,IF(AN217=1,50+Z217+(16-AQ217)*0.01,IF(AO217=1,15+Z217+(16-AQ217)*0.01,Z217+(16-AQ217)*0.01+AI217)))))</f>
        <v>2.06</v>
      </c>
      <c r="AN217" s="172">
        <f ca="1">IF($D217&gt;Standings!$Q$27,"",IF(OR($AK217=1,$AL217=1),"Conf Playoff Spot",COUNTIFS($AL$2:$AL$225,0,$AK$2:$AK$225,0,$C$2:$C$225,$C217,$D$2:$D$225,$D217,$AC$2:$AC$225,"&gt;"&amp;$AC217)+1))</f>
        <v>4</v>
      </c>
      <c r="AO217" s="172">
        <f t="array" aca="1" ref="AO217" ca="1">IF($D217&gt;Standings!$Q$27,"",IF(OR($AK217=1,$AL217=1),"Conf Playoff Spot",COUNTIFS($AK$2:$AK$225,0,$AL$2:$AL$225,0,$D$2:$D$225,$D217,$AH$2:$AH$225,"&gt;"&amp;$AH217)+1))</f>
        <v>8</v>
      </c>
      <c r="AP217" s="172">
        <f t="array" aca="1" ref="AP217" ca="1">IF($D217&gt;Standings!$Q$27,"",(COUNTIFS($D$2:$D$225,$D217,$J$2:$J$225,"&gt;"&amp;$J217)+1))</f>
        <v>7</v>
      </c>
      <c r="AQ217" s="172">
        <f ca="1">IF($D217&gt;Standings!$Q$27,"",(COUNTIFS($D$2:$D$225,$D217,$AC$2:$AC$225,"&gt;"&amp;$AC217)+1))</f>
        <v>10</v>
      </c>
      <c r="AR217" s="172">
        <f ca="1">IF($D217&gt;Standings!$Q$27,"",(COUNTIFS($D$2:$D$225,$D217,$K$2:$K$225,"&gt;"&amp;$K217)+1))</f>
        <v>5</v>
      </c>
      <c r="AS217" s="172">
        <f ca="1">IF($D217&gt;Standings!$Q$27,"",(COUNTIFS($D$2:$D$225,$D217,$AD$2:$AD$225,"&gt;"&amp;$AD217)+1))</f>
        <v>10</v>
      </c>
      <c r="AT217" s="354">
        <f ca="1">IF($D217&gt;Standings!$Q$27,"",SUMIFS($J$2:$J$225,$D$2:$D$225,$D217,$C$2:$C$225,$C217))</f>
        <v>768.68000000000006</v>
      </c>
      <c r="AU217" s="253">
        <f ca="1">IF($D217&gt;Standings!$Q$27,"",SUMIFS($AC$2:$AC$225,$D$2:$D$225,$D217,$C$2:$C$225,$C217))</f>
        <v>5093.3900000000003</v>
      </c>
    </row>
    <row r="218" spans="1:47">
      <c r="A218" s="190">
        <f t="shared" si="3"/>
        <v>111</v>
      </c>
      <c r="B218" s="5" t="str">
        <f>'ESPN Data'!$L$19</f>
        <v>Team 16</v>
      </c>
      <c r="C218" s="350" t="str">
        <f>VLOOKUP(B218,'ESPN Data'!$L$4:$M$19,2,FALSE)</f>
        <v>Wardo</v>
      </c>
      <c r="D218" s="400">
        <v>7</v>
      </c>
      <c r="E218" s="267" t="str">
        <f t="array" ref="E218">INDEX('ESPN Data'!$C$3:$C$226,MATCH(1,('ESPN Data'!$A$3:$A$226='Point Data'!$D218)*('ESPN Data'!$B$3:$B$226='Point Data'!$B218),0))</f>
        <v>Team 13</v>
      </c>
      <c r="F218" s="250" t="str">
        <f>IF(C218&lt;&gt;VLOOKUP($E218,'ESPN Data'!$L$4:$M$19,2,FALSE),"Non Conf", "Conf")</f>
        <v>Conf</v>
      </c>
      <c r="G218" s="246">
        <f t="array" aca="1" ref="G218" ca="1">IF('Point Data'!$D218&gt;Standings!$Q$27,"",(COUNTIFS($D$2:$D$225,$D218,$AM$2:$AM$225,"&gt;"&amp;$AM218)+1))</f>
        <v>13</v>
      </c>
      <c r="H218" s="172">
        <f ca="1">IF('Point Data'!$D218&gt;Standings!$Q$27,"",$G217)</f>
        <v>12</v>
      </c>
      <c r="I218" s="249">
        <f ca="1">IF('Point Data'!D218&gt;Standings!$Q$27,"",H218-G218)</f>
        <v>-1</v>
      </c>
      <c r="J218" s="172">
        <f ca="1">IF('Point Data'!D218&gt;Standings!$Q$27,"",OFFSET('ESPN Data'!D$3,$A218,0,1,1))</f>
        <v>66.319999999999993</v>
      </c>
      <c r="K218" s="248">
        <f ca="1">IF('Point Data'!D218&gt;Standings!$Q$27,"",OFFSET('ESPN Data'!E$3,$A218,0,1,1))</f>
        <v>104.38</v>
      </c>
      <c r="L218" s="249">
        <f ca="1">IF('Point Data'!D218&gt;Standings!$Q$27,"",OFFSET('ESPN Data'!I$3,$A218,0,1,1))</f>
        <v>0</v>
      </c>
      <c r="M218" s="249">
        <f ca="1">IF('Point Data'!D218&gt;Standings!$Q$27,"",OFFSET('ESPN Data'!I$3,$A218,-2,1,1))</f>
        <v>0</v>
      </c>
      <c r="N218" s="249">
        <f ca="1">IF('Point Data'!D218&gt;Standings!$Q$27,"",SUMIFS($M$2:$M$225,$D$2:$D$225,D218,$C$2:$C$225,C218))</f>
        <v>140</v>
      </c>
      <c r="O218" s="249">
        <f ca="1">IF('Point Data'!D218&gt;Standings!$Q$27,"",SUMIFS($L$2:$L$225,$D$2:$D$225,$D218,$C$2:$C$225,$C218))</f>
        <v>330</v>
      </c>
      <c r="P218" s="249">
        <f ca="1">IF('Point Data'!D218&gt;Standings!$Q$27,"",SUMIFS($M$2:$M$225,$D$2:$D$225,D218))</f>
        <v>168</v>
      </c>
      <c r="Q218" s="249">
        <f ca="1">IF('Point Data'!D218&gt;Standings!$Q$27,"",SUMIFS($L$2:$L$225,$D$2:$D$225,D218))</f>
        <v>688</v>
      </c>
      <c r="R218" s="249">
        <f ca="1">IF($D218&gt;Standings!$Q$27,"",IF(U218="T",(Z218+0.5)/(D218)*100,(Z218/D218)*100))</f>
        <v>28.571428571428569</v>
      </c>
      <c r="S218" s="248">
        <f ca="1">IF($D218&gt;Standings!$Q$27,"",$J218-$K218)</f>
        <v>-38.06</v>
      </c>
      <c r="T218" s="248">
        <f ca="1">IF($D218&gt;Standings!$Q$27,"",AVERAGE(OFFSET(S218,(-$D218+1),0,1,1):S218))</f>
        <v>-5.6742857142857117</v>
      </c>
      <c r="U218" s="172">
        <f ca="1">IF($D218&gt;Standings!$Q$27,"",IF(J218&gt;K218,1,IF(J218=K218,"T",0)))</f>
        <v>0</v>
      </c>
      <c r="V218" s="172">
        <f ca="1">IF($D218&gt;Standings!$Q$27,"",IF(F218="Conf",V217,SUMIFS($U$2:$U$225,$D$2:$D$225,"&lt;="&amp;$D218,$B$2:$B$225,$B218,$F$2:$F$225,"Non Conf")))</f>
        <v>0</v>
      </c>
      <c r="W218" s="172" t="str">
        <f ca="1">IF($D218&gt;Standings!$Q$27,"",$V218&amp;"-"&amp;COUNTIF(OFFSET($F218,(-$D218+1),0,1,1):$F218,"Non Conf")-$V218)</f>
        <v>0-2</v>
      </c>
      <c r="X218" s="172">
        <f ca="1">IF($D218&gt;Standings!$Q$27,"",SUMIFS($U$2:$U$225,$D$2:$D$225,"&lt;="&amp;$D218,$B$2:$B$225,$B218,$F$2:$F$225,"Conf"))</f>
        <v>2</v>
      </c>
      <c r="Y218" s="172" t="str">
        <f ca="1">IF($D218&gt;Standings!$Q$27,"",$X218&amp;"-"&amp;COUNTIF(OFFSET($F218,(-$D218+1),0,1,1):$F218,"Conf")-$X218)</f>
        <v>2-3</v>
      </c>
      <c r="Z218" s="172">
        <f ca="1">IF($D218&gt;Standings!$Q$27,"",SUM(OFFSET(U218,(-$D218+1),0,1,1):U218))</f>
        <v>2</v>
      </c>
      <c r="AA218" s="172">
        <f ca="1">IF($D218&gt;Standings!$Q$27,"",IF(U218=1,1+AA217,0))</f>
        <v>0</v>
      </c>
      <c r="AB218" s="250">
        <f ca="1">IF($D218&gt;Standings!$Q$27,"",IF(AA218=0,1+AB217,0))</f>
        <v>2</v>
      </c>
      <c r="AC218" s="253">
        <f ca="1">IF($D218&gt;Standings!$Q$27,"",SUM(OFFSET(J218,(-$D218+1),0,1,1):J218))</f>
        <v>694.57999999999993</v>
      </c>
      <c r="AD218" s="248">
        <f ca="1">IF($D218&gt;Standings!$Q$27,"",SUM(OFFSET(K218,(-$D218+1),0,1,1):K218))</f>
        <v>734.3</v>
      </c>
      <c r="AE218" s="248">
        <f ca="1">IF($D218&gt;Standings!$Q$27,"",$J218-$K218)</f>
        <v>-38.06</v>
      </c>
      <c r="AF218" s="248">
        <f ca="1">IF($D218&gt;Standings!$Q$27,"",AC218-AD218)</f>
        <v>-39.720000000000027</v>
      </c>
      <c r="AG218" s="234">
        <f ca="1">IF($D218&gt;Standings!$Q$27,"",(COUNTIFS($D$2:$D$225,$D218,$C$2:$C$225,$C218,$AC$2:$AC$225,"&lt;"&amp;$AC218)+1)*0.01)</f>
        <v>0.03</v>
      </c>
      <c r="AH218" s="234">
        <f ca="1">IF($D218&gt;Standings!$Q$27,"",Z218+AG218)</f>
        <v>2.0299999999999998</v>
      </c>
      <c r="AI218" s="234"/>
      <c r="AJ218" s="172">
        <f t="array" aca="1" ref="AJ218" ca="1">IF($D218&gt;Standings!$Q$27,"",(COUNTIFS($D$2:$D$225,$D218,$C$2:$C$225,$C218,$AM$2:$AM$225,"&gt;"&amp;$AM218)+1))</f>
        <v>7</v>
      </c>
      <c r="AK218" s="172">
        <f t="array" aca="1" ref="AK218" ca="1">IF($D218&gt;Standings!$Q$27,"",IF((COUNTIFS($D$2:$D$225,$D218,$C$2:$C$225,$C218,$AH$2:$AH$225,"&gt;"&amp;$AH218)+1)=2,1,0))</f>
        <v>0</v>
      </c>
      <c r="AL218" s="172">
        <f t="array" aca="1" ref="AL218" ca="1">IF($D218&gt;Standings!$Q$27,"",IF((COUNTIFS($D$2:$D$225,$D218,$C$2:$C$225,$C218,$AH$2:$AH$225,"&gt;"&amp;$AH218)+1)&lt;2,1,0))</f>
        <v>0</v>
      </c>
      <c r="AM218" s="172">
        <f ca="1">IF($D218&gt;Standings!$Q$27,"",IF(AL218=1,200+Z218+(16-AQ218)*0.01+AI218,IF(AK218=1,100+Z218+(16-AQ218)*0.01+AI218,IF(AN218=1,50+Z218+(16-AQ218)*0.01,IF(AO218=1,15+Z218+(16-AQ218)*0.01,Z218+(16-AQ218)*0.01+AI218)))))</f>
        <v>2.04</v>
      </c>
      <c r="AN218" s="172">
        <f ca="1">IF($D218&gt;Standings!$Q$27,"",IF(OR($AK218=1,$AL218=1),"Conf Playoff Spot",COUNTIFS($AL$2:$AL$225,0,$AK$2:$AK$225,0,$C$2:$C$225,$C218,$D$2:$D$225,$D218,$AC$2:$AC$225,"&gt;"&amp;$AC218)+1))</f>
        <v>4</v>
      </c>
      <c r="AO218" s="172">
        <f t="array" aca="1" ref="AO218" ca="1">IF($D218&gt;Standings!$Q$27,"",IF(OR($AK218=1,$AL218=1),"Conf Playoff Spot",COUNTIFS($AK$2:$AK$225,0,$AL$2:$AL$225,0,$D$2:$D$225,$D218,$AH$2:$AH$225,"&gt;"&amp;$AH218)+1))</f>
        <v>9</v>
      </c>
      <c r="AP218" s="172">
        <f t="array" aca="1" ref="AP218" ca="1">IF($D218&gt;Standings!$Q$27,"",(COUNTIFS($D$2:$D$225,$D218,$J$2:$J$225,"&gt;"&amp;$J218)+1))</f>
        <v>16</v>
      </c>
      <c r="AQ218" s="172">
        <f ca="1">IF($D218&gt;Standings!$Q$27,"",(COUNTIFS($D$2:$D$225,$D218,$AC$2:$AC$225,"&gt;"&amp;$AC218)+1))</f>
        <v>12</v>
      </c>
      <c r="AR218" s="172">
        <f ca="1">IF($D218&gt;Standings!$Q$27,"",(COUNTIFS($D$2:$D$225,$D218,$K$2:$K$225,"&gt;"&amp;$K218)+1))</f>
        <v>7</v>
      </c>
      <c r="AS218" s="172">
        <f ca="1">IF($D218&gt;Standings!$Q$27,"",(COUNTIFS($D$2:$D$225,$D218,$AD$2:$AD$225,"&gt;"&amp;$AD218)+1))</f>
        <v>8</v>
      </c>
      <c r="AT218" s="354">
        <f ca="1">IF($D218&gt;Standings!$Q$27,"",SUMIFS($J$2:$J$225,$D$2:$D$225,$D218,$C$2:$C$225,$C218))</f>
        <v>714.95</v>
      </c>
      <c r="AU218" s="253">
        <f ca="1">IF($D218&gt;Standings!$Q$27,"",SUMIFS($AC$2:$AC$225,$D$2:$D$225,$D218,$C$2:$C$225,$C218))</f>
        <v>5808.34</v>
      </c>
    </row>
    <row r="219" spans="1:47">
      <c r="A219" s="190">
        <f t="shared" si="3"/>
        <v>127</v>
      </c>
      <c r="B219" s="5" t="str">
        <f>'ESPN Data'!$L$19</f>
        <v>Team 16</v>
      </c>
      <c r="C219" s="350" t="str">
        <f>VLOOKUP(B219,'ESPN Data'!$L$4:$M$19,2,FALSE)</f>
        <v>Wardo</v>
      </c>
      <c r="D219" s="400">
        <v>8</v>
      </c>
      <c r="E219" s="267" t="str">
        <f t="array" ref="E219">INDEX('ESPN Data'!$C$3:$C$226,MATCH(1,('ESPN Data'!$A$3:$A$226='Point Data'!$D219)*('ESPN Data'!$B$3:$B$226='Point Data'!$B219),0))</f>
        <v>Team 1</v>
      </c>
      <c r="F219" s="250" t="str">
        <f>IF(C219&lt;&gt;VLOOKUP($E219,'ESPN Data'!$L$4:$M$19,2,FALSE),"Non Conf", "Conf")</f>
        <v>Non Conf</v>
      </c>
      <c r="G219" s="246">
        <f t="array" aca="1" ref="G219" ca="1">IF('Point Data'!$D219&gt;Standings!$Q$27,"",(COUNTIFS($D$2:$D$225,$D219,$AM$2:$AM$225,"&gt;"&amp;$AM219)+1))</f>
        <v>15</v>
      </c>
      <c r="H219" s="172">
        <f ca="1">IF('Point Data'!$D219&gt;Standings!$Q$27,"",$G218)</f>
        <v>13</v>
      </c>
      <c r="I219" s="249">
        <f ca="1">IF('Point Data'!D219&gt;Standings!$Q$27,"",H219-G219)</f>
        <v>-2</v>
      </c>
      <c r="J219" s="172">
        <f ca="1">IF('Point Data'!D219&gt;Standings!$Q$27,"",OFFSET('ESPN Data'!D$3,$A219,0,1,1))</f>
        <v>67.62</v>
      </c>
      <c r="K219" s="248">
        <f ca="1">IF('Point Data'!D219&gt;Standings!$Q$27,"",OFFSET('ESPN Data'!E$3,$A219,0,1,1))</f>
        <v>67.86</v>
      </c>
      <c r="L219" s="249">
        <f ca="1">IF('Point Data'!D219&gt;Standings!$Q$27,"",OFFSET('ESPN Data'!I$3,$A219,0,1,1))</f>
        <v>0</v>
      </c>
      <c r="M219" s="249">
        <f ca="1">IF('Point Data'!D219&gt;Standings!$Q$27,"",OFFSET('ESPN Data'!I$3,$A219,-2,1,1))</f>
        <v>0</v>
      </c>
      <c r="N219" s="249">
        <f ca="1">IF('Point Data'!D219&gt;Standings!$Q$27,"",SUMIFS($M$2:$M$225,$D$2:$D$225,D219,$C$2:$C$225,C219))</f>
        <v>62</v>
      </c>
      <c r="O219" s="249">
        <f ca="1">IF('Point Data'!D219&gt;Standings!$Q$27,"",SUMIFS($L$2:$L$225,$D$2:$D$225,$D219,$C$2:$C$225,$C219))</f>
        <v>268</v>
      </c>
      <c r="P219" s="249">
        <f ca="1">IF('Point Data'!D219&gt;Standings!$Q$27,"",SUMIFS($M$2:$M$225,$D$2:$D$225,D219))</f>
        <v>80</v>
      </c>
      <c r="Q219" s="249">
        <f ca="1">IF('Point Data'!D219&gt;Standings!$Q$27,"",SUMIFS($L$2:$L$225,$D$2:$D$225,D219))</f>
        <v>608</v>
      </c>
      <c r="R219" s="249">
        <f ca="1">IF($D219&gt;Standings!$Q$27,"",IF(U219="T",(Z219+0.5)/(D219)*100,(Z219/D219)*100))</f>
        <v>25</v>
      </c>
      <c r="S219" s="248">
        <f ca="1">IF($D219&gt;Standings!$Q$27,"",$J219-$K219)</f>
        <v>-0.23999999999999488</v>
      </c>
      <c r="T219" s="248">
        <f ca="1">IF($D219&gt;Standings!$Q$27,"",AVERAGE(OFFSET(S219,(-$D219+1),0,1,1):S219))</f>
        <v>-4.9949999999999974</v>
      </c>
      <c r="U219" s="172">
        <f ca="1">IF($D219&gt;Standings!$Q$27,"",IF(J219&gt;K219,1,IF(J219=K219,"T",0)))</f>
        <v>0</v>
      </c>
      <c r="V219" s="172">
        <f ca="1">IF($D219&gt;Standings!$Q$27,"",IF(F219="Conf",V218,SUMIFS($U$2:$U$225,$D$2:$D$225,"&lt;="&amp;$D219,$B$2:$B$225,$B219,$F$2:$F$225,"Non Conf")))</f>
        <v>0</v>
      </c>
      <c r="W219" s="172" t="str">
        <f ca="1">IF($D219&gt;Standings!$Q$27,"",$V219&amp;"-"&amp;COUNTIF(OFFSET($F219,(-$D219+1),0,1,1):$F219,"Non Conf")-$V219)</f>
        <v>0-3</v>
      </c>
      <c r="X219" s="172">
        <f ca="1">IF($D219&gt;Standings!$Q$27,"",SUMIFS($U$2:$U$225,$D$2:$D$225,"&lt;="&amp;$D219,$B$2:$B$225,$B219,$F$2:$F$225,"Conf"))</f>
        <v>2</v>
      </c>
      <c r="Y219" s="172" t="str">
        <f ca="1">IF($D219&gt;Standings!$Q$27,"",$X219&amp;"-"&amp;COUNTIF(OFFSET($F219,(-$D219+1),0,1,1):$F219,"Conf")-$X219)</f>
        <v>2-3</v>
      </c>
      <c r="Z219" s="172">
        <f ca="1">IF($D219&gt;Standings!$Q$27,"",SUM(OFFSET(U219,(-$D219+1),0,1,1):U219))</f>
        <v>2</v>
      </c>
      <c r="AA219" s="172">
        <f ca="1">IF($D219&gt;Standings!$Q$27,"",IF(U219=1,1+AA218,0))</f>
        <v>0</v>
      </c>
      <c r="AB219" s="250">
        <f ca="1">IF($D219&gt;Standings!$Q$27,"",IF(AA219=0,1+AB218,0))</f>
        <v>3</v>
      </c>
      <c r="AC219" s="253">
        <f ca="1">IF($D219&gt;Standings!$Q$27,"",SUM(OFFSET(J219,(-$D219+1),0,1,1):J219))</f>
        <v>762.19999999999993</v>
      </c>
      <c r="AD219" s="248">
        <f ca="1">IF($D219&gt;Standings!$Q$27,"",SUM(OFFSET(K219,(-$D219+1),0,1,1):K219))</f>
        <v>802.16</v>
      </c>
      <c r="AE219" s="248">
        <f ca="1">IF($D219&gt;Standings!$Q$27,"",$J219-$K219)</f>
        <v>-0.23999999999999488</v>
      </c>
      <c r="AF219" s="248">
        <f ca="1">IF($D219&gt;Standings!$Q$27,"",AC219-AD219)</f>
        <v>-39.960000000000036</v>
      </c>
      <c r="AG219" s="234">
        <f ca="1">IF($D219&gt;Standings!$Q$27,"",(COUNTIFS($D$2:$D$225,$D219,$C$2:$C$225,$C219,$AC$2:$AC$225,"&lt;"&amp;$AC219)+1)*0.01)</f>
        <v>0.02</v>
      </c>
      <c r="AH219" s="234">
        <f ca="1">IF($D219&gt;Standings!$Q$27,"",Z219+AG219)</f>
        <v>2.02</v>
      </c>
      <c r="AI219" s="234"/>
      <c r="AJ219" s="172">
        <f t="array" aca="1" ref="AJ219" ca="1">IF($D219&gt;Standings!$Q$27,"",(COUNTIFS($D$2:$D$225,$D219,$C$2:$C$225,$C219,$AM$2:$AM$225,"&gt;"&amp;$AM219)+1))</f>
        <v>8</v>
      </c>
      <c r="AK219" s="172">
        <f t="array" aca="1" ref="AK219" ca="1">IF($D219&gt;Standings!$Q$27,"",IF((COUNTIFS($D$2:$D$225,$D219,$C$2:$C$225,$C219,$AH$2:$AH$225,"&gt;"&amp;$AH219)+1)=2,1,0))</f>
        <v>0</v>
      </c>
      <c r="AL219" s="172">
        <f t="array" aca="1" ref="AL219" ca="1">IF($D219&gt;Standings!$Q$27,"",IF((COUNTIFS($D$2:$D$225,$D219,$C$2:$C$225,$C219,$AH$2:$AH$225,"&gt;"&amp;$AH219)+1)&lt;2,1,0))</f>
        <v>0</v>
      </c>
      <c r="AM219" s="172">
        <f ca="1">IF($D219&gt;Standings!$Q$27,"",IF(AL219=1,200+Z219+(16-AQ219)*0.01+AI219,IF(AK219=1,100+Z219+(16-AQ219)*0.01+AI219,IF(AN219=1,50+Z219+(16-AQ219)*0.01,IF(AO219=1,15+Z219+(16-AQ219)*0.01,Z219+(16-AQ219)*0.01+AI219)))))</f>
        <v>2.02</v>
      </c>
      <c r="AN219" s="172">
        <f ca="1">IF($D219&gt;Standings!$Q$27,"",IF(OR($AK219=1,$AL219=1),"Conf Playoff Spot",COUNTIFS($AL$2:$AL$225,0,$AK$2:$AK$225,0,$C$2:$C$225,$C219,$D$2:$D$225,$D219,$AC$2:$AC$225,"&gt;"&amp;$AC219)+1))</f>
        <v>5</v>
      </c>
      <c r="AO219" s="172">
        <f t="array" aca="1" ref="AO219" ca="1">IF($D219&gt;Standings!$Q$27,"",IF(OR($AK219=1,$AL219=1),"Conf Playoff Spot",COUNTIFS($AK$2:$AK$225,0,$AL$2:$AL$225,0,$D$2:$D$225,$D219,$AH$2:$AH$225,"&gt;"&amp;$AH219)+1))</f>
        <v>11</v>
      </c>
      <c r="AP219" s="172">
        <f t="array" aca="1" ref="AP219" ca="1">IF($D219&gt;Standings!$Q$27,"",(COUNTIFS($D$2:$D$225,$D219,$J$2:$J$225,"&gt;"&amp;$J219)+1))</f>
        <v>16</v>
      </c>
      <c r="AQ219" s="172">
        <f ca="1">IF($D219&gt;Standings!$Q$27,"",(COUNTIFS($D$2:$D$225,$D219,$AC$2:$AC$225,"&gt;"&amp;$AC219)+1))</f>
        <v>14</v>
      </c>
      <c r="AR219" s="172">
        <f ca="1">IF($D219&gt;Standings!$Q$27,"",(COUNTIFS($D$2:$D$225,$D219,$K$2:$K$225,"&gt;"&amp;$K219)+1))</f>
        <v>15</v>
      </c>
      <c r="AS219" s="172">
        <f ca="1">IF($D219&gt;Standings!$Q$27,"",(COUNTIFS($D$2:$D$225,$D219,$AD$2:$AD$225,"&gt;"&amp;$AD219)+1))</f>
        <v>11</v>
      </c>
      <c r="AT219" s="354">
        <f ca="1">IF($D219&gt;Standings!$Q$27,"",SUMIFS($J$2:$J$225,$D$2:$D$225,$D219,$C$2:$C$225,$C219))</f>
        <v>755.84</v>
      </c>
      <c r="AU219" s="253">
        <f ca="1">IF($D219&gt;Standings!$Q$27,"",SUMIFS($AC$2:$AC$225,$D$2:$D$225,$D219,$C$2:$C$225,$C219))</f>
        <v>6564.1799999999994</v>
      </c>
    </row>
    <row r="220" spans="1:47">
      <c r="A220" s="190">
        <f t="shared" si="3"/>
        <v>143</v>
      </c>
      <c r="B220" s="5" t="str">
        <f>'ESPN Data'!$L$19</f>
        <v>Team 16</v>
      </c>
      <c r="C220" s="350" t="str">
        <f>VLOOKUP(B220,'ESPN Data'!$L$4:$M$19,2,FALSE)</f>
        <v>Wardo</v>
      </c>
      <c r="D220" s="400">
        <v>9</v>
      </c>
      <c r="E220" s="267" t="str">
        <f t="array" ref="E220">INDEX('ESPN Data'!$C$3:$C$226,MATCH(1,('ESPN Data'!$A$3:$A$226='Point Data'!$D220)*('ESPN Data'!$B$3:$B$226='Point Data'!$B220),0))</f>
        <v>Team 5</v>
      </c>
      <c r="F220" s="250" t="str">
        <f>IF(C220&lt;&gt;VLOOKUP($E220,'ESPN Data'!$L$4:$M$19,2,FALSE),"Non Conf", "Conf")</f>
        <v>Non Conf</v>
      </c>
      <c r="G220" s="246">
        <f t="array" aca="1" ref="G220" ca="1">IF('Point Data'!$D220&gt;Standings!$Q$27,"",(COUNTIFS($D$2:$D$225,$D220,$AM$2:$AM$225,"&gt;"&amp;$AM220)+1))</f>
        <v>15</v>
      </c>
      <c r="H220" s="172">
        <f ca="1">IF('Point Data'!$D220&gt;Standings!$Q$27,"",$G219)</f>
        <v>15</v>
      </c>
      <c r="I220" s="249">
        <f ca="1">IF('Point Data'!D220&gt;Standings!$Q$27,"",H220-G220)</f>
        <v>0</v>
      </c>
      <c r="J220" s="172">
        <f ca="1">IF('Point Data'!D220&gt;Standings!$Q$27,"",OFFSET('ESPN Data'!D$3,$A220,0,1,1))</f>
        <v>87.91</v>
      </c>
      <c r="K220" s="248">
        <f ca="1">IF('Point Data'!D220&gt;Standings!$Q$27,"",OFFSET('ESPN Data'!E$3,$A220,0,1,1))</f>
        <v>157.65</v>
      </c>
      <c r="L220" s="249">
        <f ca="1">IF('Point Data'!D220&gt;Standings!$Q$27,"",OFFSET('ESPN Data'!I$3,$A220,0,1,1))</f>
        <v>0</v>
      </c>
      <c r="M220" s="249">
        <f ca="1">IF('Point Data'!D220&gt;Standings!$Q$27,"",OFFSET('ESPN Data'!I$3,$A220,-2,1,1))</f>
        <v>0</v>
      </c>
      <c r="N220" s="249">
        <f ca="1">IF('Point Data'!D220&gt;Standings!$Q$27,"",SUMIFS($M$2:$M$225,$D$2:$D$225,D220,$C$2:$C$225,C220))</f>
        <v>28</v>
      </c>
      <c r="O220" s="249">
        <f ca="1">IF('Point Data'!D220&gt;Standings!$Q$27,"",SUMIFS($L$2:$L$225,$D$2:$D$225,$D220,$C$2:$C$225,$C220))</f>
        <v>240</v>
      </c>
      <c r="P220" s="249">
        <f ca="1">IF('Point Data'!D220&gt;Standings!$Q$27,"",SUMIFS($M$2:$M$225,$D$2:$D$225,D220))</f>
        <v>63</v>
      </c>
      <c r="Q220" s="249">
        <f ca="1">IF('Point Data'!D220&gt;Standings!$Q$27,"",SUMIFS($L$2:$L$225,$D$2:$D$225,D220))</f>
        <v>545</v>
      </c>
      <c r="R220" s="249">
        <f ca="1">IF($D220&gt;Standings!$Q$27,"",IF(U220="T",(Z220+0.5)/(D220)*100,(Z220/D220)*100))</f>
        <v>22.222222222222221</v>
      </c>
      <c r="S220" s="248">
        <f ca="1">IF($D220&gt;Standings!$Q$27,"",$J220-$K220)</f>
        <v>-69.740000000000009</v>
      </c>
      <c r="T220" s="248">
        <f ca="1">IF($D220&gt;Standings!$Q$27,"",AVERAGE(OFFSET(S220,(-$D220+1),0,1,1):S220))</f>
        <v>-12.188888888888888</v>
      </c>
      <c r="U220" s="172">
        <f ca="1">IF($D220&gt;Standings!$Q$27,"",IF(J220&gt;K220,1,IF(J220=K220,"T",0)))</f>
        <v>0</v>
      </c>
      <c r="V220" s="172">
        <f ca="1">IF($D220&gt;Standings!$Q$27,"",IF(F220="Conf",V219,SUMIFS($U$2:$U$225,$D$2:$D$225,"&lt;="&amp;$D220,$B$2:$B$225,$B220,$F$2:$F$225,"Non Conf")))</f>
        <v>0</v>
      </c>
      <c r="W220" s="172" t="str">
        <f ca="1">IF($D220&gt;Standings!$Q$27,"",$V220&amp;"-"&amp;COUNTIF(OFFSET($F220,(-$D220+1),0,1,1):$F220,"Non Conf")-$V220)</f>
        <v>0-4</v>
      </c>
      <c r="X220" s="172">
        <f ca="1">IF($D220&gt;Standings!$Q$27,"",SUMIFS($U$2:$U$225,$D$2:$D$225,"&lt;="&amp;$D220,$B$2:$B$225,$B220,$F$2:$F$225,"Conf"))</f>
        <v>2</v>
      </c>
      <c r="Y220" s="172" t="str">
        <f ca="1">IF($D220&gt;Standings!$Q$27,"",$X220&amp;"-"&amp;COUNTIF(OFFSET($F220,(-$D220+1),0,1,1):$F220,"Conf")-$X220)</f>
        <v>2-3</v>
      </c>
      <c r="Z220" s="172">
        <f ca="1">IF($D220&gt;Standings!$Q$27,"",SUM(OFFSET(U220,(-$D220+1),0,1,1):U220))</f>
        <v>2</v>
      </c>
      <c r="AA220" s="172">
        <f ca="1">IF($D220&gt;Standings!$Q$27,"",IF(U220=1,1+AA219,0))</f>
        <v>0</v>
      </c>
      <c r="AB220" s="250">
        <f ca="1">IF($D220&gt;Standings!$Q$27,"",IF(AA220=0,1+AB219,0))</f>
        <v>4</v>
      </c>
      <c r="AC220" s="253">
        <f ca="1">IF($D220&gt;Standings!$Q$27,"",SUM(OFFSET(J220,(-$D220+1),0,1,1):J220))</f>
        <v>850.1099999999999</v>
      </c>
      <c r="AD220" s="248">
        <f ca="1">IF($D220&gt;Standings!$Q$27,"",SUM(OFFSET(K220,(-$D220+1),0,1,1):K220))</f>
        <v>959.81</v>
      </c>
      <c r="AE220" s="248">
        <f ca="1">IF($D220&gt;Standings!$Q$27,"",$J220-$K220)</f>
        <v>-69.740000000000009</v>
      </c>
      <c r="AF220" s="248">
        <f ca="1">IF($D220&gt;Standings!$Q$27,"",AC220-AD220)</f>
        <v>-109.70000000000005</v>
      </c>
      <c r="AG220" s="234">
        <f ca="1">IF($D220&gt;Standings!$Q$27,"",(COUNTIFS($D$2:$D$225,$D220,$C$2:$C$225,$C220,$AC$2:$AC$225,"&lt;"&amp;$AC220)+1)*0.01)</f>
        <v>0.02</v>
      </c>
      <c r="AH220" s="234">
        <f ca="1">IF($D220&gt;Standings!$Q$27,"",Z220+AG220)</f>
        <v>2.02</v>
      </c>
      <c r="AI220" s="234"/>
      <c r="AJ220" s="172">
        <f t="array" aca="1" ref="AJ220" ca="1">IF($D220&gt;Standings!$Q$27,"",(COUNTIFS($D$2:$D$225,$D220,$C$2:$C$225,$C220,$AM$2:$AM$225,"&gt;"&amp;$AM220)+1))</f>
        <v>8</v>
      </c>
      <c r="AK220" s="172">
        <f t="array" aca="1" ref="AK220" ca="1">IF($D220&gt;Standings!$Q$27,"",IF((COUNTIFS($D$2:$D$225,$D220,$C$2:$C$225,$C220,$AH$2:$AH$225,"&gt;"&amp;$AH220)+1)=2,1,0))</f>
        <v>0</v>
      </c>
      <c r="AL220" s="172">
        <f t="array" aca="1" ref="AL220" ca="1">IF($D220&gt;Standings!$Q$27,"",IF((COUNTIFS($D$2:$D$225,$D220,$C$2:$C$225,$C220,$AH$2:$AH$225,"&gt;"&amp;$AH220)+1)&lt;2,1,0))</f>
        <v>0</v>
      </c>
      <c r="AM220" s="172">
        <f ca="1">IF($D220&gt;Standings!$Q$27,"",IF(AL220=1,200+Z220+(16-AQ220)*0.01+AI220,IF(AK220=1,100+Z220+(16-AQ220)*0.01+AI220,IF(AN220=1,50+Z220+(16-AQ220)*0.01,IF(AO220=1,15+Z220+(16-AQ220)*0.01,Z220+(16-AQ220)*0.01+AI220)))))</f>
        <v>2.02</v>
      </c>
      <c r="AN220" s="172">
        <f ca="1">IF($D220&gt;Standings!$Q$27,"",IF(OR($AK220=1,$AL220=1),"Conf Playoff Spot",COUNTIFS($AL$2:$AL$225,0,$AK$2:$AK$225,0,$C$2:$C$225,$C220,$D$2:$D$225,$D220,$AC$2:$AC$225,"&gt;"&amp;$AC220)+1))</f>
        <v>5</v>
      </c>
      <c r="AO220" s="172">
        <f t="array" aca="1" ref="AO220" ca="1">IF($D220&gt;Standings!$Q$27,"",IF(OR($AK220=1,$AL220=1),"Conf Playoff Spot",COUNTIFS($AK$2:$AK$225,0,$AL$2:$AL$225,0,$D$2:$D$225,$D220,$AH$2:$AH$225,"&gt;"&amp;$AH220)+1))</f>
        <v>11</v>
      </c>
      <c r="AP220" s="172">
        <f t="array" aca="1" ref="AP220" ca="1">IF($D220&gt;Standings!$Q$27,"",(COUNTIFS($D$2:$D$225,$D220,$J$2:$J$225,"&gt;"&amp;$J220)+1))</f>
        <v>10</v>
      </c>
      <c r="AQ220" s="172">
        <f ca="1">IF($D220&gt;Standings!$Q$27,"",(COUNTIFS($D$2:$D$225,$D220,$AC$2:$AC$225,"&gt;"&amp;$AC220)+1))</f>
        <v>14</v>
      </c>
      <c r="AR220" s="172">
        <f ca="1">IF($D220&gt;Standings!$Q$27,"",(COUNTIFS($D$2:$D$225,$D220,$K$2:$K$225,"&gt;"&amp;$K220)+1))</f>
        <v>1</v>
      </c>
      <c r="AS220" s="172">
        <f ca="1">IF($D220&gt;Standings!$Q$27,"",(COUNTIFS($D$2:$D$225,$D220,$AD$2:$AD$225,"&gt;"&amp;$AD220)+1))</f>
        <v>5</v>
      </c>
      <c r="AT220" s="354">
        <f ca="1">IF($D220&gt;Standings!$Q$27,"",SUMIFS($J$2:$J$225,$D$2:$D$225,$D220,$C$2:$C$225,$C220))</f>
        <v>813.24</v>
      </c>
      <c r="AU220" s="253">
        <f ca="1">IF($D220&gt;Standings!$Q$27,"",SUMIFS($AC$2:$AC$225,$D$2:$D$225,$D220,$C$2:$C$225,$C220))</f>
        <v>7377.42</v>
      </c>
    </row>
    <row r="221" spans="1:47">
      <c r="A221" s="190">
        <f t="shared" si="3"/>
        <v>159</v>
      </c>
      <c r="B221" s="5" t="str">
        <f>'ESPN Data'!$L$19</f>
        <v>Team 16</v>
      </c>
      <c r="C221" s="350" t="str">
        <f>VLOOKUP(B221,'ESPN Data'!$L$4:$M$19,2,FALSE)</f>
        <v>Wardo</v>
      </c>
      <c r="D221" s="400">
        <v>10</v>
      </c>
      <c r="E221" s="267" t="str">
        <f t="array" ref="E221">INDEX('ESPN Data'!$C$3:$C$226,MATCH(1,('ESPN Data'!$A$3:$A$226='Point Data'!$D221)*('ESPN Data'!$B$3:$B$226='Point Data'!$B221),0))</f>
        <v>Team 12</v>
      </c>
      <c r="F221" s="250" t="str">
        <f>IF(C221&lt;&gt;VLOOKUP($E221,'ESPN Data'!$L$4:$M$19,2,FALSE),"Non Conf", "Conf")</f>
        <v>Conf</v>
      </c>
      <c r="G221" s="246">
        <f t="array" aca="1" ref="G221" ca="1">IF('Point Data'!$D221&gt;Standings!$Q$27,"",(COUNTIFS($D$2:$D$225,$D221,$AM$2:$AM$225,"&gt;"&amp;$AM221)+1))</f>
        <v>15</v>
      </c>
      <c r="H221" s="172">
        <f ca="1">IF('Point Data'!$D221&gt;Standings!$Q$27,"",$G220)</f>
        <v>15</v>
      </c>
      <c r="I221" s="249">
        <f ca="1">IF('Point Data'!D221&gt;Standings!$Q$27,"",H221-G221)</f>
        <v>0</v>
      </c>
      <c r="J221" s="172">
        <f ca="1">IF('Point Data'!D221&gt;Standings!$Q$27,"",OFFSET('ESPN Data'!D$3,$A221,0,1,1))</f>
        <v>83.44</v>
      </c>
      <c r="K221" s="248">
        <f ca="1">IF('Point Data'!D221&gt;Standings!$Q$27,"",OFFSET('ESPN Data'!E$3,$A221,0,1,1))</f>
        <v>77.27</v>
      </c>
      <c r="L221" s="249">
        <f ca="1">IF('Point Data'!D221&gt;Standings!$Q$27,"",OFFSET('ESPN Data'!I$3,$A221,0,1,1))</f>
        <v>0</v>
      </c>
      <c r="M221" s="249">
        <f ca="1">IF('Point Data'!D221&gt;Standings!$Q$27,"",OFFSET('ESPN Data'!I$3,$A221,-2,1,1))</f>
        <v>0</v>
      </c>
      <c r="N221" s="249">
        <f ca="1">IF('Point Data'!D221&gt;Standings!$Q$27,"",SUMIFS($M$2:$M$225,$D$2:$D$225,D221,$C$2:$C$225,C221))</f>
        <v>13</v>
      </c>
      <c r="O221" s="249">
        <f ca="1">IF('Point Data'!D221&gt;Standings!$Q$27,"",SUMIFS($L$2:$L$225,$D$2:$D$225,$D221,$C$2:$C$225,$C221))</f>
        <v>227</v>
      </c>
      <c r="P221" s="249">
        <f ca="1">IF('Point Data'!D221&gt;Standings!$Q$27,"",SUMIFS($M$2:$M$225,$D$2:$D$225,D221))</f>
        <v>32</v>
      </c>
      <c r="Q221" s="249">
        <f ca="1">IF('Point Data'!D221&gt;Standings!$Q$27,"",SUMIFS($L$2:$L$225,$D$2:$D$225,D221))</f>
        <v>513</v>
      </c>
      <c r="R221" s="249">
        <f ca="1">IF($D221&gt;Standings!$Q$27,"",IF(U221="T",(Z221+0.5)/(D221)*100,(Z221/D221)*100))</f>
        <v>30</v>
      </c>
      <c r="S221" s="248">
        <f ca="1">IF($D221&gt;Standings!$Q$27,"",$J221-$K221)</f>
        <v>6.1700000000000017</v>
      </c>
      <c r="T221" s="248">
        <f ca="1">IF($D221&gt;Standings!$Q$27,"",AVERAGE(OFFSET(S221,(-$D221+1),0,1,1):S221))</f>
        <v>-10.352999999999998</v>
      </c>
      <c r="U221" s="172">
        <f ca="1">IF($D221&gt;Standings!$Q$27,"",IF(J221&gt;K221,1,IF(J221=K221,"T",0)))</f>
        <v>1</v>
      </c>
      <c r="V221" s="172">
        <f ca="1">IF($D221&gt;Standings!$Q$27,"",IF(F221="Conf",V220,SUMIFS($U$2:$U$225,$D$2:$D$225,"&lt;="&amp;$D221,$B$2:$B$225,$B221,$F$2:$F$225,"Non Conf")))</f>
        <v>0</v>
      </c>
      <c r="W221" s="172" t="str">
        <f ca="1">IF($D221&gt;Standings!$Q$27,"",$V221&amp;"-"&amp;COUNTIF(OFFSET($F221,(-$D221+1),0,1,1):$F221,"Non Conf")-$V221)</f>
        <v>0-4</v>
      </c>
      <c r="X221" s="172">
        <f ca="1">IF($D221&gt;Standings!$Q$27,"",SUMIFS($U$2:$U$225,$D$2:$D$225,"&lt;="&amp;$D221,$B$2:$B$225,$B221,$F$2:$F$225,"Conf"))</f>
        <v>3</v>
      </c>
      <c r="Y221" s="172" t="str">
        <f ca="1">IF($D221&gt;Standings!$Q$27,"",$X221&amp;"-"&amp;COUNTIF(OFFSET($F221,(-$D221+1),0,1,1):$F221,"Conf")-$X221)</f>
        <v>3-3</v>
      </c>
      <c r="Z221" s="172">
        <f ca="1">IF($D221&gt;Standings!$Q$27,"",SUM(OFFSET(U221,(-$D221+1),0,1,1):U221))</f>
        <v>3</v>
      </c>
      <c r="AA221" s="172">
        <f ca="1">IF($D221&gt;Standings!$Q$27,"",IF(U221=1,1+AA220,0))</f>
        <v>1</v>
      </c>
      <c r="AB221" s="250">
        <f ca="1">IF($D221&gt;Standings!$Q$27,"",IF(AA221=0,1+AB220,0))</f>
        <v>0</v>
      </c>
      <c r="AC221" s="253">
        <f ca="1">IF($D221&gt;Standings!$Q$27,"",SUM(OFFSET(J221,(-$D221+1),0,1,1):J221))</f>
        <v>933.55</v>
      </c>
      <c r="AD221" s="248">
        <f ca="1">IF($D221&gt;Standings!$Q$27,"",SUM(OFFSET(K221,(-$D221+1),0,1,1):K221))</f>
        <v>1037.08</v>
      </c>
      <c r="AE221" s="248">
        <f ca="1">IF($D221&gt;Standings!$Q$27,"",$J221-$K221)</f>
        <v>6.1700000000000017</v>
      </c>
      <c r="AF221" s="248">
        <f ca="1">IF($D221&gt;Standings!$Q$27,"",AC221-AD221)</f>
        <v>-103.52999999999997</v>
      </c>
      <c r="AG221" s="234">
        <f ca="1">IF($D221&gt;Standings!$Q$27,"",(COUNTIFS($D$2:$D$225,$D221,$C$2:$C$225,$C221,$AC$2:$AC$225,"&lt;"&amp;$AC221)+1)*0.01)</f>
        <v>0.02</v>
      </c>
      <c r="AH221" s="234">
        <f ca="1">IF($D221&gt;Standings!$Q$27,"",Z221+AG221)</f>
        <v>3.02</v>
      </c>
      <c r="AI221" s="234"/>
      <c r="AJ221" s="172">
        <f t="array" aca="1" ref="AJ221" ca="1">IF($D221&gt;Standings!$Q$27,"",(COUNTIFS($D$2:$D$225,$D221,$C$2:$C$225,$C221,$AM$2:$AM$225,"&gt;"&amp;$AM221)+1))</f>
        <v>8</v>
      </c>
      <c r="AK221" s="172">
        <f t="array" aca="1" ref="AK221" ca="1">IF($D221&gt;Standings!$Q$27,"",IF((COUNTIFS($D$2:$D$225,$D221,$C$2:$C$225,$C221,$AH$2:$AH$225,"&gt;"&amp;$AH221)+1)=2,1,0))</f>
        <v>0</v>
      </c>
      <c r="AL221" s="172">
        <f t="array" aca="1" ref="AL221" ca="1">IF($D221&gt;Standings!$Q$27,"",IF((COUNTIFS($D$2:$D$225,$D221,$C$2:$C$225,$C221,$AH$2:$AH$225,"&gt;"&amp;$AH221)+1)&lt;2,1,0))</f>
        <v>0</v>
      </c>
      <c r="AM221" s="172">
        <f ca="1">IF($D221&gt;Standings!$Q$27,"",IF(AL221=1,200+Z221+(16-AQ221)*0.01+AI221,IF(AK221=1,100+Z221+(16-AQ221)*0.01+AI221,IF(AN221=1,50+Z221+(16-AQ221)*0.01,IF(AO221=1,15+Z221+(16-AQ221)*0.01,Z221+(16-AQ221)*0.01+AI221)))))</f>
        <v>3.03</v>
      </c>
      <c r="AN221" s="172">
        <f ca="1">IF($D221&gt;Standings!$Q$27,"",IF(OR($AK221=1,$AL221=1),"Conf Playoff Spot",COUNTIFS($AL$2:$AL$225,0,$AK$2:$AK$225,0,$C$2:$C$225,$C221,$D$2:$D$225,$D221,$AC$2:$AC$225,"&gt;"&amp;$AC221)+1))</f>
        <v>5</v>
      </c>
      <c r="AO221" s="172">
        <f t="array" aca="1" ref="AO221" ca="1">IF($D221&gt;Standings!$Q$27,"",IF(OR($AK221=1,$AL221=1),"Conf Playoff Spot",COUNTIFS($AK$2:$AK$225,0,$AL$2:$AL$225,0,$D$2:$D$225,$D221,$AH$2:$AH$225,"&gt;"&amp;$AH221)+1))</f>
        <v>11</v>
      </c>
      <c r="AP221" s="172">
        <f t="array" aca="1" ref="AP221" ca="1">IF($D221&gt;Standings!$Q$27,"",(COUNTIFS($D$2:$D$225,$D221,$J$2:$J$225,"&gt;"&amp;$J221)+1))</f>
        <v>10</v>
      </c>
      <c r="AQ221" s="172">
        <f ca="1">IF($D221&gt;Standings!$Q$27,"",(COUNTIFS($D$2:$D$225,$D221,$AC$2:$AC$225,"&gt;"&amp;$AC221)+1))</f>
        <v>13</v>
      </c>
      <c r="AR221" s="172">
        <f ca="1">IF($D221&gt;Standings!$Q$27,"",(COUNTIFS($D$2:$D$225,$D221,$K$2:$K$225,"&gt;"&amp;$K221)+1))</f>
        <v>11</v>
      </c>
      <c r="AS221" s="172">
        <f ca="1">IF($D221&gt;Standings!$Q$27,"",(COUNTIFS($D$2:$D$225,$D221,$AD$2:$AD$225,"&gt;"&amp;$AD221)+1))</f>
        <v>9</v>
      </c>
      <c r="AT221" s="354">
        <f ca="1">IF($D221&gt;Standings!$Q$27,"",SUMIFS($J$2:$J$225,$D$2:$D$225,$D221,$C$2:$C$225,$C221))</f>
        <v>737.32999999999993</v>
      </c>
      <c r="AU221" s="253">
        <f ca="1">IF($D221&gt;Standings!$Q$27,"",SUMIFS($AC$2:$AC$225,$D$2:$D$225,$D221,$C$2:$C$225,$C221))</f>
        <v>8114.7500000000009</v>
      </c>
    </row>
    <row r="222" spans="1:47">
      <c r="A222" s="190">
        <f t="shared" si="3"/>
        <v>175</v>
      </c>
      <c r="B222" s="5" t="str">
        <f>'ESPN Data'!$L$19</f>
        <v>Team 16</v>
      </c>
      <c r="C222" s="350" t="str">
        <f>VLOOKUP(B222,'ESPN Data'!$L$4:$M$19,2,FALSE)</f>
        <v>Wardo</v>
      </c>
      <c r="D222" s="400">
        <v>11</v>
      </c>
      <c r="E222" s="267" t="str">
        <f t="array" ref="E222">INDEX('ESPN Data'!$C$3:$C$226,MATCH(1,('ESPN Data'!$A$3:$A$226='Point Data'!$D222)*('ESPN Data'!$B$3:$B$226='Point Data'!$B222),0))</f>
        <v>Team 2</v>
      </c>
      <c r="F222" s="250" t="str">
        <f>IF(C222&lt;&gt;VLOOKUP($E222,'ESPN Data'!$L$4:$M$19,2,FALSE),"Non Conf", "Conf")</f>
        <v>Non Conf</v>
      </c>
      <c r="G222" s="246">
        <f t="array" aca="1" ref="G222" ca="1">IF('Point Data'!$D222&gt;Standings!$Q$27,"",(COUNTIFS($D$2:$D$225,$D222,$AM$2:$AM$225,"&gt;"&amp;$AM222)+1))</f>
        <v>14</v>
      </c>
      <c r="H222" s="172">
        <f ca="1">IF('Point Data'!$D222&gt;Standings!$Q$27,"",$G221)</f>
        <v>15</v>
      </c>
      <c r="I222" s="249">
        <f ca="1">IF('Point Data'!D222&gt;Standings!$Q$27,"",H222-G222)</f>
        <v>1</v>
      </c>
      <c r="J222" s="172">
        <f ca="1">IF('Point Data'!D222&gt;Standings!$Q$27,"",OFFSET('ESPN Data'!D$3,$A222,0,1,1))</f>
        <v>99.54</v>
      </c>
      <c r="K222" s="248">
        <f ca="1">IF('Point Data'!D222&gt;Standings!$Q$27,"",OFFSET('ESPN Data'!E$3,$A222,0,1,1))</f>
        <v>92.94</v>
      </c>
      <c r="L222" s="249">
        <f ca="1">IF('Point Data'!D222&gt;Standings!$Q$27,"",OFFSET('ESPN Data'!I$3,$A222,0,1,1))</f>
        <v>0</v>
      </c>
      <c r="M222" s="249">
        <f ca="1">IF('Point Data'!D222&gt;Standings!$Q$27,"",OFFSET('ESPN Data'!I$3,$A222,-2,1,1))</f>
        <v>0</v>
      </c>
      <c r="N222" s="249">
        <f ca="1">IF('Point Data'!D222&gt;Standings!$Q$27,"",SUMIFS($M$2:$M$225,$D$2:$D$225,D222,$C$2:$C$225,C222))</f>
        <v>10</v>
      </c>
      <c r="O222" s="249">
        <f ca="1">IF('Point Data'!D222&gt;Standings!$Q$27,"",SUMIFS($L$2:$L$225,$D$2:$D$225,$D222,$C$2:$C$225,$C222))</f>
        <v>217</v>
      </c>
      <c r="P222" s="249">
        <f ca="1">IF('Point Data'!D222&gt;Standings!$Q$27,"",SUMIFS($M$2:$M$225,$D$2:$D$225,D222))</f>
        <v>61</v>
      </c>
      <c r="Q222" s="249">
        <f ca="1">IF('Point Data'!D222&gt;Standings!$Q$27,"",SUMIFS($L$2:$L$225,$D$2:$D$225,D222))</f>
        <v>452</v>
      </c>
      <c r="R222" s="249">
        <f ca="1">IF($D222&gt;Standings!$Q$27,"",IF(U222="T",(Z222+0.5)/(D222)*100,(Z222/D222)*100))</f>
        <v>36.363636363636367</v>
      </c>
      <c r="S222" s="248">
        <f ca="1">IF($D222&gt;Standings!$Q$27,"",$J222-$K222)</f>
        <v>6.6000000000000085</v>
      </c>
      <c r="T222" s="248">
        <f ca="1">IF($D222&gt;Standings!$Q$27,"",AVERAGE(OFFSET(S222,(-$D222+1),0,1,1):S222))</f>
        <v>-8.8118181818181807</v>
      </c>
      <c r="U222" s="172">
        <f ca="1">IF($D222&gt;Standings!$Q$27,"",IF(J222&gt;K222,1,IF(J222=K222,"T",0)))</f>
        <v>1</v>
      </c>
      <c r="V222" s="172">
        <f ca="1">IF($D222&gt;Standings!$Q$27,"",IF(F222="Conf",V221,SUMIFS($U$2:$U$225,$D$2:$D$225,"&lt;="&amp;$D222,$B$2:$B$225,$B222,$F$2:$F$225,"Non Conf")))</f>
        <v>1</v>
      </c>
      <c r="W222" s="172" t="str">
        <f ca="1">IF($D222&gt;Standings!$Q$27,"",$V222&amp;"-"&amp;COUNTIF(OFFSET($F222,(-$D222+1),0,1,1):$F222,"Non Conf")-$V222)</f>
        <v>1-4</v>
      </c>
      <c r="X222" s="172">
        <f ca="1">IF($D222&gt;Standings!$Q$27,"",SUMIFS($U$2:$U$225,$D$2:$D$225,"&lt;="&amp;$D222,$B$2:$B$225,$B222,$F$2:$F$225,"Conf"))</f>
        <v>3</v>
      </c>
      <c r="Y222" s="172" t="str">
        <f ca="1">IF($D222&gt;Standings!$Q$27,"",$X222&amp;"-"&amp;COUNTIF(OFFSET($F222,(-$D222+1),0,1,1):$F222,"Conf")-$X222)</f>
        <v>3-3</v>
      </c>
      <c r="Z222" s="172">
        <f ca="1">IF($D222&gt;Standings!$Q$27,"",SUM(OFFSET(U222,(-$D222+1),0,1,1):U222))</f>
        <v>4</v>
      </c>
      <c r="AA222" s="172">
        <f ca="1">IF($D222&gt;Standings!$Q$27,"",IF(U222=1,1+AA221,0))</f>
        <v>2</v>
      </c>
      <c r="AB222" s="250">
        <f ca="1">IF($D222&gt;Standings!$Q$27,"",IF(AA222=0,1+AB221,0))</f>
        <v>0</v>
      </c>
      <c r="AC222" s="253">
        <f ca="1">IF($D222&gt;Standings!$Q$27,"",SUM(OFFSET(J222,(-$D222+1),0,1,1):J222))</f>
        <v>1033.0899999999999</v>
      </c>
      <c r="AD222" s="248">
        <f ca="1">IF($D222&gt;Standings!$Q$27,"",SUM(OFFSET(K222,(-$D222+1),0,1,1):K222))</f>
        <v>1130.02</v>
      </c>
      <c r="AE222" s="248">
        <f ca="1">IF($D222&gt;Standings!$Q$27,"",$J222-$K222)</f>
        <v>6.6000000000000085</v>
      </c>
      <c r="AF222" s="248">
        <f ca="1">IF($D222&gt;Standings!$Q$27,"",AC222-AD222)</f>
        <v>-96.930000000000064</v>
      </c>
      <c r="AG222" s="234">
        <f ca="1">IF($D222&gt;Standings!$Q$27,"",(COUNTIFS($D$2:$D$225,$D222,$C$2:$C$225,$C222,$AC$2:$AC$225,"&lt;"&amp;$AC222)+1)*0.01)</f>
        <v>0.03</v>
      </c>
      <c r="AH222" s="234">
        <f ca="1">IF($D222&gt;Standings!$Q$27,"",Z222+AG222)</f>
        <v>4.03</v>
      </c>
      <c r="AI222" s="234"/>
      <c r="AJ222" s="172">
        <f t="array" aca="1" ref="AJ222" ca="1">IF($D222&gt;Standings!$Q$27,"",(COUNTIFS($D$2:$D$225,$D222,$C$2:$C$225,$C222,$AM$2:$AM$225,"&gt;"&amp;$AM222)+1))</f>
        <v>7</v>
      </c>
      <c r="AK222" s="172">
        <f t="array" aca="1" ref="AK222" ca="1">IF($D222&gt;Standings!$Q$27,"",IF((COUNTIFS($D$2:$D$225,$D222,$C$2:$C$225,$C222,$AH$2:$AH$225,"&gt;"&amp;$AH222)+1)=2,1,0))</f>
        <v>0</v>
      </c>
      <c r="AL222" s="172">
        <f t="array" aca="1" ref="AL222" ca="1">IF($D222&gt;Standings!$Q$27,"",IF((COUNTIFS($D$2:$D$225,$D222,$C$2:$C$225,$C222,$AH$2:$AH$225,"&gt;"&amp;$AH222)+1)&lt;2,1,0))</f>
        <v>0</v>
      </c>
      <c r="AM222" s="172">
        <f ca="1">IF($D222&gt;Standings!$Q$27,"",IF(AL222=1,200+Z222+(16-AQ222)*0.01+AI222,IF(AK222=1,100+Z222+(16-AQ222)*0.01+AI222,IF(AN222=1,50+Z222+(16-AQ222)*0.01,IF(AO222=1,15+Z222+(16-AQ222)*0.01,Z222+(16-AQ222)*0.01+AI222)))))</f>
        <v>4.03</v>
      </c>
      <c r="AN222" s="172">
        <f ca="1">IF($D222&gt;Standings!$Q$27,"",IF(OR($AK222=1,$AL222=1),"Conf Playoff Spot",COUNTIFS($AL$2:$AL$225,0,$AK$2:$AK$225,0,$C$2:$C$225,$C222,$D$2:$D$225,$D222,$AC$2:$AC$225,"&gt;"&amp;$AC222)+1))</f>
        <v>4</v>
      </c>
      <c r="AO222" s="172">
        <f t="array" aca="1" ref="AO222" ca="1">IF($D222&gt;Standings!$Q$27,"",IF(OR($AK222=1,$AL222=1),"Conf Playoff Spot",COUNTIFS($AK$2:$AK$225,0,$AL$2:$AL$225,0,$D$2:$D$225,$D222,$AH$2:$AH$225,"&gt;"&amp;$AH222)+1))</f>
        <v>9</v>
      </c>
      <c r="AP222" s="172">
        <f t="array" aca="1" ref="AP222" ca="1">IF($D222&gt;Standings!$Q$27,"",(COUNTIFS($D$2:$D$225,$D222,$J$2:$J$225,"&gt;"&amp;$J222)+1))</f>
        <v>9</v>
      </c>
      <c r="AQ222" s="172">
        <f ca="1">IF($D222&gt;Standings!$Q$27,"",(COUNTIFS($D$2:$D$225,$D222,$AC$2:$AC$225,"&gt;"&amp;$AC222)+1))</f>
        <v>13</v>
      </c>
      <c r="AR222" s="172">
        <f ca="1">IF($D222&gt;Standings!$Q$27,"",(COUNTIFS($D$2:$D$225,$D222,$K$2:$K$225,"&gt;"&amp;$K222)+1))</f>
        <v>10</v>
      </c>
      <c r="AS222" s="172">
        <f ca="1">IF($D222&gt;Standings!$Q$27,"",(COUNTIFS($D$2:$D$225,$D222,$AD$2:$AD$225,"&gt;"&amp;$AD222)+1))</f>
        <v>8</v>
      </c>
      <c r="AT222" s="354">
        <f ca="1">IF($D222&gt;Standings!$Q$27,"",SUMIFS($J$2:$J$225,$D$2:$D$225,$D222,$C$2:$C$225,$C222))</f>
        <v>790.16000000000008</v>
      </c>
      <c r="AU222" s="253">
        <f ca="1">IF($D222&gt;Standings!$Q$27,"",SUMIFS($AC$2:$AC$225,$D$2:$D$225,$D222,$C$2:$C$225,$C222))</f>
        <v>8904.91</v>
      </c>
    </row>
    <row r="223" spans="1:47">
      <c r="A223" s="190">
        <f t="shared" si="3"/>
        <v>191</v>
      </c>
      <c r="B223" s="5" t="str">
        <f>'ESPN Data'!$L$19</f>
        <v>Team 16</v>
      </c>
      <c r="C223" s="350" t="str">
        <f>VLOOKUP(B223,'ESPN Data'!$L$4:$M$19,2,FALSE)</f>
        <v>Wardo</v>
      </c>
      <c r="D223" s="400">
        <v>12</v>
      </c>
      <c r="E223" s="267" t="str">
        <f t="array" ref="E223">INDEX('ESPN Data'!$C$3:$C$226,MATCH(1,('ESPN Data'!$A$3:$A$226='Point Data'!$D223)*('ESPN Data'!$B$3:$B$226='Point Data'!$B223),0))</f>
        <v>Team 9</v>
      </c>
      <c r="F223" s="250" t="str">
        <f>IF(C223&lt;&gt;VLOOKUP($E223,'ESPN Data'!$L$4:$M$19,2,FALSE),"Non Conf", "Conf")</f>
        <v>Conf</v>
      </c>
      <c r="G223" s="246">
        <f t="array" aca="1" ref="G223" ca="1">IF('Point Data'!$D223&gt;Standings!$Q$27,"",(COUNTIFS($D$2:$D$225,$D223,$AM$2:$AM$225,"&gt;"&amp;$AM223)+1))</f>
        <v>13</v>
      </c>
      <c r="H223" s="172">
        <f ca="1">IF('Point Data'!$D223&gt;Standings!$Q$27,"",$G222)</f>
        <v>14</v>
      </c>
      <c r="I223" s="249">
        <f ca="1">IF('Point Data'!D223&gt;Standings!$Q$27,"",H223-G223)</f>
        <v>1</v>
      </c>
      <c r="J223" s="172">
        <f ca="1">IF('Point Data'!D223&gt;Standings!$Q$27,"",OFFSET('ESPN Data'!D$3,$A223,0,1,1))</f>
        <v>113.41</v>
      </c>
      <c r="K223" s="248">
        <f ca="1">IF('Point Data'!D223&gt;Standings!$Q$27,"",OFFSET('ESPN Data'!E$3,$A223,0,1,1))</f>
        <v>137.66</v>
      </c>
      <c r="L223" s="249">
        <f ca="1">IF('Point Data'!D223&gt;Standings!$Q$27,"",OFFSET('ESPN Data'!I$3,$A223,0,1,1))</f>
        <v>0</v>
      </c>
      <c r="M223" s="249">
        <f ca="1">IF('Point Data'!D223&gt;Standings!$Q$27,"",OFFSET('ESPN Data'!I$3,$A223,-2,1,1))</f>
        <v>0</v>
      </c>
      <c r="N223" s="249">
        <f ca="1">IF('Point Data'!D223&gt;Standings!$Q$27,"",SUMIFS($M$2:$M$225,$D$2:$D$225,D223,$C$2:$C$225,C223))</f>
        <v>35</v>
      </c>
      <c r="O223" s="249">
        <f ca="1">IF('Point Data'!D223&gt;Standings!$Q$27,"",SUMIFS($L$2:$L$225,$D$2:$D$225,$D223,$C$2:$C$225,$C223))</f>
        <v>182</v>
      </c>
      <c r="P223" s="249">
        <f ca="1">IF('Point Data'!D223&gt;Standings!$Q$27,"",SUMIFS($M$2:$M$225,$D$2:$D$225,D223))</f>
        <v>41</v>
      </c>
      <c r="Q223" s="249">
        <f ca="1">IF('Point Data'!D223&gt;Standings!$Q$27,"",SUMIFS($L$2:$L$225,$D$2:$D$225,D223))</f>
        <v>411</v>
      </c>
      <c r="R223" s="249">
        <f ca="1">IF($D223&gt;Standings!$Q$27,"",IF(U223="T",(Z223+0.5)/(D223)*100,(Z223/D223)*100))</f>
        <v>33.333333333333329</v>
      </c>
      <c r="S223" s="248">
        <f ca="1">IF($D223&gt;Standings!$Q$27,"",$J223-$K223)</f>
        <v>-24.25</v>
      </c>
      <c r="T223" s="248">
        <f ca="1">IF($D223&gt;Standings!$Q$27,"",AVERAGE(OFFSET(S223,(-$D223+1),0,1,1):S223))</f>
        <v>-10.098333333333331</v>
      </c>
      <c r="U223" s="172">
        <f ca="1">IF($D223&gt;Standings!$Q$27,"",IF(J223&gt;K223,1,IF(J223=K223,"T",0)))</f>
        <v>0</v>
      </c>
      <c r="V223" s="172">
        <f ca="1">IF($D223&gt;Standings!$Q$27,"",IF(F223="Conf",V222,SUMIFS($U$2:$U$225,$D$2:$D$225,"&lt;="&amp;$D223,$B$2:$B$225,$B223,$F$2:$F$225,"Non Conf")))</f>
        <v>1</v>
      </c>
      <c r="W223" s="172" t="str">
        <f ca="1">IF($D223&gt;Standings!$Q$27,"",$V223&amp;"-"&amp;COUNTIF(OFFSET($F223,(-$D223+1),0,1,1):$F223,"Non Conf")-$V223)</f>
        <v>1-4</v>
      </c>
      <c r="X223" s="172">
        <f ca="1">IF($D223&gt;Standings!$Q$27,"",SUMIFS($U$2:$U$225,$D$2:$D$225,"&lt;="&amp;$D223,$B$2:$B$225,$B223,$F$2:$F$225,"Conf"))</f>
        <v>3</v>
      </c>
      <c r="Y223" s="172" t="str">
        <f ca="1">IF($D223&gt;Standings!$Q$27,"",$X223&amp;"-"&amp;COUNTIF(OFFSET($F223,(-$D223+1),0,1,1):$F223,"Conf")-$X223)</f>
        <v>3-4</v>
      </c>
      <c r="Z223" s="172">
        <f ca="1">IF($D223&gt;Standings!$Q$27,"",SUM(OFFSET(U223,(-$D223+1),0,1,1):U223))</f>
        <v>4</v>
      </c>
      <c r="AA223" s="172">
        <f ca="1">IF($D223&gt;Standings!$Q$27,"",IF(U223=1,1+AA222,0))</f>
        <v>0</v>
      </c>
      <c r="AB223" s="250">
        <f ca="1">IF($D223&gt;Standings!$Q$27,"",IF(AA223=0,1+AB222,0))</f>
        <v>1</v>
      </c>
      <c r="AC223" s="253">
        <f ca="1">IF($D223&gt;Standings!$Q$27,"",SUM(OFFSET(J223,(-$D223+1),0,1,1):J223))</f>
        <v>1146.5</v>
      </c>
      <c r="AD223" s="248">
        <f ca="1">IF($D223&gt;Standings!$Q$27,"",SUM(OFFSET(K223,(-$D223+1),0,1,1):K223))</f>
        <v>1267.68</v>
      </c>
      <c r="AE223" s="248">
        <f ca="1">IF($D223&gt;Standings!$Q$27,"",$J223-$K223)</f>
        <v>-24.25</v>
      </c>
      <c r="AF223" s="248">
        <f ca="1">IF($D223&gt;Standings!$Q$27,"",AC223-AD223)</f>
        <v>-121.18000000000006</v>
      </c>
      <c r="AG223" s="234">
        <f ca="1">IF($D223&gt;Standings!$Q$27,"",(COUNTIFS($D$2:$D$225,$D223,$C$2:$C$225,$C223,$AC$2:$AC$225,"&lt;"&amp;$AC223)+1)*0.01)</f>
        <v>0.04</v>
      </c>
      <c r="AH223" s="234">
        <f ca="1">IF($D223&gt;Standings!$Q$27,"",Z223+AG223)</f>
        <v>4.04</v>
      </c>
      <c r="AI223" s="234"/>
      <c r="AJ223" s="172">
        <f t="array" aca="1" ref="AJ223" ca="1">IF($D223&gt;Standings!$Q$27,"",(COUNTIFS($D$2:$D$225,$D223,$C$2:$C$225,$C223,$AM$2:$AM$225,"&gt;"&amp;$AM223)+1))</f>
        <v>7</v>
      </c>
      <c r="AK223" s="172">
        <f t="array" aca="1" ref="AK223" ca="1">IF($D223&gt;Standings!$Q$27,"",IF((COUNTIFS($D$2:$D$225,$D223,$C$2:$C$225,$C223,$AH$2:$AH$225,"&gt;"&amp;$AH223)+1)=2,1,0))</f>
        <v>0</v>
      </c>
      <c r="AL223" s="172">
        <f t="array" aca="1" ref="AL223" ca="1">IF($D223&gt;Standings!$Q$27,"",IF((COUNTIFS($D$2:$D$225,$D223,$C$2:$C$225,$C223,$AH$2:$AH$225,"&gt;"&amp;$AH223)+1)&lt;2,1,0))</f>
        <v>0</v>
      </c>
      <c r="AM223" s="172">
        <f ca="1">IF($D223&gt;Standings!$Q$27,"",IF(AL223=1,200+Z223+(16-AQ223)*0.01+AI223,IF(AK223=1,100+Z223+(16-AQ223)*0.01+AI223,IF(AN223=1,50+Z223+(16-AQ223)*0.01,IF(AO223=1,15+Z223+(16-AQ223)*0.01,Z223+(16-AQ223)*0.01+AI223)))))</f>
        <v>4.05</v>
      </c>
      <c r="AN223" s="172">
        <f ca="1">IF($D223&gt;Standings!$Q$27,"",IF(OR($AK223=1,$AL223=1),"Conf Playoff Spot",COUNTIFS($AL$2:$AL$225,0,$AK$2:$AK$225,0,$C$2:$C$225,$C223,$D$2:$D$225,$D223,$AC$2:$AC$225,"&gt;"&amp;$AC223)+1))</f>
        <v>3</v>
      </c>
      <c r="AO223" s="172">
        <f t="array" aca="1" ref="AO223" ca="1">IF($D223&gt;Standings!$Q$27,"",IF(OR($AK223=1,$AL223=1),"Conf Playoff Spot",COUNTIFS($AK$2:$AK$225,0,$AL$2:$AL$225,0,$D$2:$D$225,$D223,$AH$2:$AH$225,"&gt;"&amp;$AH223)+1))</f>
        <v>9</v>
      </c>
      <c r="AP223" s="172">
        <f t="array" aca="1" ref="AP223" ca="1">IF($D223&gt;Standings!$Q$27,"",(COUNTIFS($D$2:$D$225,$D223,$J$2:$J$225,"&gt;"&amp;$J223)+1))</f>
        <v>5</v>
      </c>
      <c r="AQ223" s="172">
        <f ca="1">IF($D223&gt;Standings!$Q$27,"",(COUNTIFS($D$2:$D$225,$D223,$AC$2:$AC$225,"&gt;"&amp;$AC223)+1))</f>
        <v>11</v>
      </c>
      <c r="AR223" s="172">
        <f ca="1">IF($D223&gt;Standings!$Q$27,"",(COUNTIFS($D$2:$D$225,$D223,$K$2:$K$225,"&gt;"&amp;$K223)+1))</f>
        <v>2</v>
      </c>
      <c r="AS223" s="172">
        <f ca="1">IF($D223&gt;Standings!$Q$27,"",(COUNTIFS($D$2:$D$225,$D223,$AD$2:$AD$225,"&gt;"&amp;$AD223)+1))</f>
        <v>7</v>
      </c>
      <c r="AT223" s="354">
        <f ca="1">IF($D223&gt;Standings!$Q$27,"",SUMIFS($J$2:$J$225,$D$2:$D$225,$D223,$C$2:$C$225,$C223))</f>
        <v>746.43999999999994</v>
      </c>
      <c r="AU223" s="253">
        <f ca="1">IF($D223&gt;Standings!$Q$27,"",SUMIFS($AC$2:$AC$225,$D$2:$D$225,$D223,$C$2:$C$225,$C223))</f>
        <v>9651.35</v>
      </c>
    </row>
    <row r="224" spans="1:47" s="190" customFormat="1">
      <c r="A224" s="190">
        <f t="shared" si="3"/>
        <v>207</v>
      </c>
      <c r="B224" s="56" t="str">
        <f>'ESPN Data'!$L$19</f>
        <v>Team 16</v>
      </c>
      <c r="C224" s="352" t="str">
        <f>VLOOKUP(B224,'ESPN Data'!$L$4:$M$19,2,FALSE)</f>
        <v>Wardo</v>
      </c>
      <c r="D224" s="553">
        <v>13</v>
      </c>
      <c r="E224" s="275" t="str">
        <f t="array" ref="E224">INDEX('ESPN Data'!$C$3:$C$226,MATCH(1,('ESPN Data'!$A$3:$A$226='Point Data'!$D224)*('ESPN Data'!$B$3:$B$226='Point Data'!$B224),0))</f>
        <v>Team 3</v>
      </c>
      <c r="F224" s="274" t="str">
        <f>IF(C224&lt;&gt;VLOOKUP($E224,'ESPN Data'!$L$4:$M$19,2,FALSE),"Non Conf", "Conf")</f>
        <v>Non Conf</v>
      </c>
      <c r="G224" s="271">
        <f t="array" aca="1" ref="G224" ca="1">IF('Point Data'!$D224&gt;Standings!$Q$27,"",(COUNTIFS($D$2:$D$225,$D224,$AM$2:$AM$225,"&gt;"&amp;$AM224)+1))</f>
        <v>14</v>
      </c>
      <c r="H224" s="264">
        <f ca="1">IF('Point Data'!$D224&gt;Standings!$Q$27,"",$G223)</f>
        <v>13</v>
      </c>
      <c r="I224" s="265">
        <f ca="1">IF('Point Data'!D224&gt;Standings!$Q$27,"",H224-G224)</f>
        <v>-1</v>
      </c>
      <c r="J224" s="264">
        <f ca="1">IF('Point Data'!D224&gt;Standings!$Q$27,"",OFFSET('ESPN Data'!D$3,$A224,0,1,1))</f>
        <v>83.64</v>
      </c>
      <c r="K224" s="272">
        <f ca="1">IF('Point Data'!D224&gt;Standings!$Q$27,"",OFFSET('ESPN Data'!E$3,$A224,0,1,1))</f>
        <v>105.17</v>
      </c>
      <c r="L224" s="265">
        <f ca="1">IF('Point Data'!D224&gt;Standings!$Q$27,"",OFFSET('ESPN Data'!I$3,$A224,0,1,1))</f>
        <v>0</v>
      </c>
      <c r="M224" s="265">
        <f ca="1">IF('Point Data'!D224&gt;Standings!$Q$27,"",OFFSET('ESPN Data'!I$3,$A224,-2,1,1))</f>
        <v>0</v>
      </c>
      <c r="N224" s="265">
        <f ca="1">IF('Point Data'!D224&gt;Standings!$Q$27,"",SUMIFS($M$2:$M$225,$D$2:$D$225,D224,$C$2:$C$225,C224))</f>
        <v>36</v>
      </c>
      <c r="O224" s="265">
        <f ca="1">IF('Point Data'!D224&gt;Standings!$Q$27,"",SUMIFS($L$2:$L$225,$D$2:$D$225,$D224,$C$2:$C$225,$C224))</f>
        <v>146</v>
      </c>
      <c r="P224" s="265">
        <f ca="1">IF('Point Data'!D224&gt;Standings!$Q$27,"",SUMIFS($M$2:$M$225,$D$2:$D$225,D224))</f>
        <v>41</v>
      </c>
      <c r="Q224" s="265">
        <f ca="1">IF('Point Data'!D224&gt;Standings!$Q$27,"",SUMIFS($L$2:$L$225,$D$2:$D$225,D224))</f>
        <v>370</v>
      </c>
      <c r="R224" s="265">
        <f ca="1">IF($D224&gt;Standings!$Q$27,"",IF(U224="T",(Z224+0.5)/(D224)*100,(Z224/D224)*100))</f>
        <v>30.76923076923077</v>
      </c>
      <c r="S224" s="272">
        <f ca="1">IF($D224&gt;Standings!$Q$27,"",$J224-$K224)</f>
        <v>-21.53</v>
      </c>
      <c r="T224" s="272">
        <f ca="1">IF($D224&gt;Standings!$Q$27,"",AVERAGE(OFFSET(S224,(-$D224+1),0,1,1):S224))</f>
        <v>-10.977692307692307</v>
      </c>
      <c r="U224" s="264">
        <f ca="1">IF($D224&gt;Standings!$Q$27,"",IF(J224&gt;K224,1,IF(J224=K224,"T",0)))</f>
        <v>0</v>
      </c>
      <c r="V224" s="264">
        <f ca="1">IF($D224&gt;Standings!$Q$27,"",IF(F224="Conf",V223,SUMIFS($U$2:$U$225,$D$2:$D$225,"&lt;="&amp;$D224,$B$2:$B$225,$B224,$F$2:$F$225,"Non Conf")))</f>
        <v>1</v>
      </c>
      <c r="W224" s="264" t="str">
        <f ca="1">IF($D224&gt;Standings!$Q$27,"",$V224&amp;"-"&amp;COUNTIF(OFFSET($F224,(-$D224+1),0,1,1):$F224,"Non Conf")-$V224)</f>
        <v>1-5</v>
      </c>
      <c r="X224" s="264">
        <f ca="1">IF($D224&gt;Standings!$Q$27,"",SUMIFS($U$2:$U$225,$D$2:$D$225,"&lt;="&amp;$D224,$B$2:$B$225,$B224,$F$2:$F$225,"Conf"))</f>
        <v>3</v>
      </c>
      <c r="Y224" s="264" t="str">
        <f ca="1">IF($D224&gt;Standings!$Q$27,"",$X224&amp;"-"&amp;COUNTIF(OFFSET($F224,(-$D224+1),0,1,1):$F224,"Conf")-$X224)</f>
        <v>3-4</v>
      </c>
      <c r="Z224" s="264">
        <f ca="1">IF($D224&gt;Standings!$Q$27,"",SUM(OFFSET(U224,(-$D224+1),0,1,1):U224))</f>
        <v>4</v>
      </c>
      <c r="AA224" s="264">
        <f ca="1">IF($D224&gt;Standings!$Q$27,"",IF(U224=1,1+AA223,0))</f>
        <v>0</v>
      </c>
      <c r="AB224" s="274">
        <f ca="1">IF($D224&gt;Standings!$Q$27,"",IF(AA224=0,1+AB223,0))</f>
        <v>2</v>
      </c>
      <c r="AC224" s="340">
        <f ca="1">IF($D224&gt;Standings!$Q$27,"",SUM(OFFSET(J224,(-$D224+1),0,1,1):J224))</f>
        <v>1230.1400000000001</v>
      </c>
      <c r="AD224" s="272">
        <f ca="1">IF($D224&gt;Standings!$Q$27,"",SUM(OFFSET(K224,(-$D224+1),0,1,1):K224))</f>
        <v>1372.8500000000001</v>
      </c>
      <c r="AE224" s="272">
        <f ca="1">IF($D224&gt;Standings!$Q$27,"",$J224-$K224)</f>
        <v>-21.53</v>
      </c>
      <c r="AF224" s="272">
        <f ca="1">IF($D224&gt;Standings!$Q$27,"",AC224-AD224)</f>
        <v>-142.71000000000004</v>
      </c>
      <c r="AG224" s="554">
        <f ca="1">IF($D224&gt;Standings!$Q$27,"",(COUNTIFS($D$2:$D$225,$D224,$C$2:$C$225,$C224,$AC$2:$AC$225,"&lt;"&amp;$AC224)+1)*0.01)</f>
        <v>0.04</v>
      </c>
      <c r="AH224" s="554">
        <f ca="1">IF($D224&gt;Standings!$Q$27,"",Z224+AG224)</f>
        <v>4.04</v>
      </c>
      <c r="AI224" s="554"/>
      <c r="AJ224" s="264">
        <f t="array" aca="1" ref="AJ224" ca="1">IF($D224&gt;Standings!$Q$27,"",(COUNTIFS($D$2:$D$225,$D224,$C$2:$C$225,$C224,$AM$2:$AM$225,"&gt;"&amp;$AM224)+1))</f>
        <v>7</v>
      </c>
      <c r="AK224" s="264">
        <f t="array" aca="1" ref="AK224" ca="1">IF($D224&gt;Standings!$Q$27,"",IF((COUNTIFS($D$2:$D$225,$D224,$C$2:$C$225,$C224,$AH$2:$AH$225,"&gt;"&amp;$AH224)+1)=2,1,0))</f>
        <v>0</v>
      </c>
      <c r="AL224" s="264">
        <f t="array" aca="1" ref="AL224" ca="1">IF($D224&gt;Standings!$Q$27,"",IF((COUNTIFS($D$2:$D$225,$D224,$C$2:$C$225,$C224,$AH$2:$AH$225,"&gt;"&amp;$AH224)+1)&lt;2,1,0))</f>
        <v>0</v>
      </c>
      <c r="AM224" s="264">
        <f ca="1">IF($D224&gt;Standings!$Q$27,"",IF(AL224=1,200+Z224+(16-AQ224)*0.01+AI224,IF(AK224=1,100+Z224+(16-AQ224)*0.01+AI224,IF(AN224=1,50+Z224+(16-AQ224)*0.01,IF(AO224=1,15+Z224+(16-AQ224)*0.01,Z224+(16-AQ224)*0.01+AI224)))))</f>
        <v>4.04</v>
      </c>
      <c r="AN224" s="264">
        <f ca="1">IF($D224&gt;Standings!$Q$27,"",IF(OR($AK224=1,$AL224=1),"Conf Playoff Spot",COUNTIFS($AL$2:$AL$225,0,$AK$2:$AK$225,0,$C$2:$C$225,$C224,$D$2:$D$225,$D224,$AC$2:$AC$225,"&gt;"&amp;$AC224)+1))</f>
        <v>3</v>
      </c>
      <c r="AO224" s="264">
        <f t="array" aca="1" ref="AO224" ca="1">IF($D224&gt;Standings!$Q$27,"",IF(OR($AK224=1,$AL224=1),"Conf Playoff Spot",COUNTIFS($AK$2:$AK$225,0,$AL$2:$AL$225,0,$D$2:$D$225,$D224,$AH$2:$AH$225,"&gt;"&amp;$AH224)+1))</f>
        <v>10</v>
      </c>
      <c r="AP224" s="264">
        <f t="array" aca="1" ref="AP224" ca="1">IF($D224&gt;Standings!$Q$27,"",(COUNTIFS($D$2:$D$225,$D224,$J$2:$J$225,"&gt;"&amp;$J224)+1))</f>
        <v>15</v>
      </c>
      <c r="AQ224" s="264">
        <f ca="1">IF($D224&gt;Standings!$Q$27,"",(COUNTIFS($D$2:$D$225,$D224,$AC$2:$AC$225,"&gt;"&amp;$AC224)+1))</f>
        <v>12</v>
      </c>
      <c r="AR224" s="264">
        <f ca="1">IF($D224&gt;Standings!$Q$27,"",(COUNTIFS($D$2:$D$225,$D224,$K$2:$K$225,"&gt;"&amp;$K224)+1))</f>
        <v>5</v>
      </c>
      <c r="AS224" s="264">
        <f ca="1">IF($D224&gt;Standings!$Q$27,"",(COUNTIFS($D$2:$D$225,$D224,$AD$2:$AD$225,"&gt;"&amp;$AD224)+1))</f>
        <v>5</v>
      </c>
      <c r="AT224" s="356">
        <f ca="1">IF($D224&gt;Standings!$Q$27,"",SUMIFS($J$2:$J$225,$D$2:$D$225,$D224,$C$2:$C$225,$C224))</f>
        <v>885.58</v>
      </c>
      <c r="AU224" s="340">
        <f ca="1">IF($D224&gt;Standings!$Q$27,"",SUMIFS($AC$2:$AC$225,$D$2:$D$225,$D224,$C$2:$C$225,$C224))</f>
        <v>10536.93</v>
      </c>
    </row>
    <row r="225" spans="1:47" ht="16" thickBot="1">
      <c r="A225" s="190">
        <f t="shared" si="3"/>
        <v>223</v>
      </c>
      <c r="B225" s="10" t="str">
        <f>'ESPN Data'!$L$19</f>
        <v>Team 16</v>
      </c>
      <c r="C225" s="351" t="str">
        <f>VLOOKUP(B225,'ESPN Data'!$L$4:$M$19,2,FALSE)</f>
        <v>Wardo</v>
      </c>
      <c r="D225" s="401">
        <v>14</v>
      </c>
      <c r="E225" s="268" t="str">
        <f t="array" ref="E225">INDEX('ESPN Data'!$C$3:$C$226,MATCH(1,('ESPN Data'!$A$3:$A$226='Point Data'!$D225)*('ESPN Data'!$B$3:$B$226='Point Data'!$B225),0))</f>
        <v>Team 3</v>
      </c>
      <c r="F225" s="258" t="str">
        <f>IF(C225&lt;&gt;VLOOKUP($E225,'ESPN Data'!$L$4:$M$19,2,FALSE),"Non Conf", "Conf")</f>
        <v>Non Conf</v>
      </c>
      <c r="G225" s="262" t="str">
        <f t="array" ref="G225">IF('Point Data'!$D225&gt;Standings!$Q$27,"",(COUNTIFS($D$2:$D$225,$D225,$AM$2:$AM$225,"&gt;"&amp;$AM225)+1))</f>
        <v/>
      </c>
      <c r="H225" s="257" t="str">
        <f>IF('Point Data'!$D225&gt;Standings!$Q$27,"",$G223)</f>
        <v/>
      </c>
      <c r="I225" s="256" t="str">
        <f>IF('Point Data'!D225&gt;Standings!$Q$27,"",H225-G225)</f>
        <v/>
      </c>
      <c r="J225" s="257" t="str">
        <f ca="1">IF('Point Data'!D225&gt;Standings!$Q$27,"",OFFSET('ESPN Data'!D$3,$A225,0,1,1))</f>
        <v/>
      </c>
      <c r="K225" s="255" t="str">
        <f ca="1">IF('Point Data'!D225&gt;Standings!$Q$27,"",OFFSET('ESPN Data'!E$3,$A225,0,1,1))</f>
        <v/>
      </c>
      <c r="L225" s="256" t="str">
        <f ca="1">IF('Point Data'!D225&gt;Standings!$Q$27,"",OFFSET('ESPN Data'!I$3,$A225,0,1,1))</f>
        <v/>
      </c>
      <c r="M225" s="256" t="str">
        <f ca="1">IF('Point Data'!D225&gt;Standings!$Q$27,"",OFFSET('ESPN Data'!I$3,$A225,-2,1,1))</f>
        <v/>
      </c>
      <c r="N225" s="256" t="str">
        <f>IF('Point Data'!D225&gt;Standings!$Q$27,"",SUMIFS($M$2:$M$225,$D$2:$D$225,D225,$C$2:$C$225,C225))</f>
        <v/>
      </c>
      <c r="O225" s="256" t="str">
        <f>IF('Point Data'!D225&gt;Standings!$Q$27,"",SUMIFS($L$2:$L$225,$D$2:$D$225,$D225,$C$2:$C$225,$C225))</f>
        <v/>
      </c>
      <c r="P225" s="256" t="str">
        <f>IF('Point Data'!D225&gt;Standings!$Q$27,"",SUMIFS($M$2:$M$225,$D$2:$D$225,D225))</f>
        <v/>
      </c>
      <c r="Q225" s="256" t="str">
        <f>IF('Point Data'!D225&gt;Standings!$Q$27,"",SUMIFS($L$2:$L$225,$D$2:$D$225,D225))</f>
        <v/>
      </c>
      <c r="R225" s="256" t="str">
        <f>IF($D225&gt;Standings!$Q$27,"",IF(U225="T",(Z225+0.5)/(D225)*100,(Z225/D225)*100))</f>
        <v/>
      </c>
      <c r="S225" s="255" t="str">
        <f>IF($D225&gt;Standings!$Q$27,"",$J225-$K225)</f>
        <v/>
      </c>
      <c r="T225" s="255" t="str">
        <f ca="1">IF($D225&gt;Standings!$Q$27,"",AVERAGE(OFFSET(S225,(-$D225+1),0,1,1):S225))</f>
        <v/>
      </c>
      <c r="U225" s="257" t="str">
        <f>IF($D225&gt;Standings!$Q$27,"",IF(J225&gt;K225,1,IF(J225=K225,"T",0)))</f>
        <v/>
      </c>
      <c r="V225" s="257" t="str">
        <f>IF($D225&gt;Standings!$Q$27,"",SUMIFS($U$2:$U$225,$D$2:$D$225,"&lt;="&amp;$D225,$B$2:$B$225,$B225,$F$2:$F$225,"Non Conf"))</f>
        <v/>
      </c>
      <c r="W225" s="257" t="str">
        <f ca="1">IF($D225&gt;Standings!$Q$27,"",$V225&amp;"-"&amp;COUNTIF(OFFSET($F225,(-$D225+1),0,1,1):$F225,"Non Conf")-$V225)</f>
        <v/>
      </c>
      <c r="X225" s="257" t="str">
        <f>IF($D225&gt;Standings!$Q$27,"",SUMIFS($U$2:$U$225,$D$2:$D$225,"&lt;="&amp;$D225,$B$2:$B$225,$B225,$F$2:$F$225,"Conf"))</f>
        <v/>
      </c>
      <c r="Y225" s="257" t="str">
        <f ca="1">IF($D225&gt;Standings!$Q$27,"",$X225&amp;"-"&amp;COUNTIF(OFFSET($F225,(-$D225+1),0,1,1):$F225,"Conf")-$X225)</f>
        <v/>
      </c>
      <c r="Z225" s="257" t="str">
        <f ca="1">IF($D225&gt;Standings!$Q$27,"",SUM(OFFSET(U225,(-$D225+1),0,1,1):U225))</f>
        <v/>
      </c>
      <c r="AA225" s="257" t="str">
        <f>IF($D225&gt;Standings!$Q$27,"",IF(U225=1,1+AA223,0))</f>
        <v/>
      </c>
      <c r="AB225" s="258" t="str">
        <f>IF($D225&gt;Standings!$Q$27,"",IF(AA225=0,1+AB223,0))</f>
        <v/>
      </c>
      <c r="AC225" s="261" t="str">
        <f ca="1">IF($D225&gt;Standings!$Q$27,"",SUM(OFFSET(J225,(-$D225+1),0,1,1):J225))</f>
        <v/>
      </c>
      <c r="AD225" s="255" t="str">
        <f ca="1">IF($D225&gt;Standings!$Q$27,"",SUM(OFFSET(K225,(-$D225+1),0,1,1):K225))</f>
        <v/>
      </c>
      <c r="AE225" s="255" t="str">
        <f>IF($D225&gt;Standings!$Q$27,"",$J225-$K225)</f>
        <v/>
      </c>
      <c r="AF225" s="255" t="str">
        <f>IF($D225&gt;Standings!$Q$27,"",AC225-AD225)</f>
        <v/>
      </c>
      <c r="AG225" s="235" t="str">
        <f>IF($D225&gt;Standings!$Q$27,"",(COUNTIFS($D$2:$D$225,$D225,$C$2:$C$225,$C225,$AC$2:$AC$225,"&lt;"&amp;$AC225)+1)*0.01)</f>
        <v/>
      </c>
      <c r="AH225" s="235" t="str">
        <f>IF($D225&gt;Standings!$Q$27,"",Z225+AG225)</f>
        <v/>
      </c>
      <c r="AI225" s="235"/>
      <c r="AJ225" s="257" t="str">
        <f t="array" ref="AJ225">IF($D225&gt;Standings!$Q$27,"",(COUNTIFS($D$2:$D$225,$D225,$C$2:$C$225,$C225,$AM$2:$AM$225,"&gt;"&amp;$AM225)+1))</f>
        <v/>
      </c>
      <c r="AK225" s="257" t="str">
        <f t="array" ref="AK225">IF($D225&gt;Standings!$Q$27,"",IF((COUNTIFS($D$2:$D$225,$D225,$C$2:$C$225,$C225,$AH$2:$AH$225,"&gt;"&amp;$AH225)+1)=2,1,0))</f>
        <v/>
      </c>
      <c r="AL225" s="257" t="str">
        <f t="array" ref="AL225">IF($D225&gt;Standings!$Q$27,"",IF((COUNTIFS($D$2:$D$225,$D225,$C$2:$C$225,$C225,$AH$2:$AH$225,"&gt;"&amp;$AH225)+1)&lt;2,1,0))</f>
        <v/>
      </c>
      <c r="AM225" s="257" t="str">
        <f>IF($D225&gt;Standings!$Q$27,"",IF(AL225=1,200+Z225+(16-AQ225)*0.01+AI225,IF(AK225=1,100+Z225+(16-AQ225)*0.01+AI225,IF(AN225=1,50+Z225+(16-AQ225)*0.01,IF(AO225=1,15+Z225+(16-AQ225)*0.01,Z225+(16-AQ225)*0.01+AI225)))))</f>
        <v/>
      </c>
      <c r="AN225" s="257" t="str">
        <f>IF($D225&gt;Standings!$Q$27,"",IF(OR($AK225=1,$AL225=1),"Conf Playoff Spot",COUNTIFS($AL$2:$AL$225,0,$AK$2:$AK$225,0,$C$2:$C$225,$C225,$D$2:$D$225,$D225,$AC$2:$AC$225,"&gt;"&amp;$AC225)+1))</f>
        <v/>
      </c>
      <c r="AO225" s="257" t="str">
        <f t="array" ref="AO225">IF($D225&gt;Standings!$Q$27,"",IF(OR($AK225=1,$AL225=1),"Conf Playoff Spot",COUNTIFS($AK$2:$AK$225,0,$AL$2:$AL$225,0,$D$2:$D$225,$D225,$AH$2:$AH$225,"&gt;"&amp;$AH225)+1))</f>
        <v/>
      </c>
      <c r="AP225" s="257" t="str">
        <f t="array" ref="AP225">IF($D225&gt;Standings!$Q$27,"",(COUNTIFS($D$2:$D$225,$D225,$J$2:$J$225,"&gt;"&amp;$J225)+1))</f>
        <v/>
      </c>
      <c r="AQ225" s="257" t="str">
        <f>IF($D225&gt;Standings!$Q$27,"",(COUNTIFS($D$2:$D$225,$D225,$AC$2:$AC$225,"&gt;"&amp;$AC225)+1))</f>
        <v/>
      </c>
      <c r="AR225" s="257" t="str">
        <f>IF($D225&gt;Standings!$Q$27,"",(COUNTIFS($D$2:$D$225,$D225,$K$2:$K$225,"&gt;"&amp;$K225)+1))</f>
        <v/>
      </c>
      <c r="AS225" s="257" t="str">
        <f>IF($D225&gt;Standings!$Q$27,"",(COUNTIFS($D$2:$D$225,$D225,$AD$2:$AD$225,"&gt;"&amp;$AD225)+1))</f>
        <v/>
      </c>
      <c r="AT225" s="355" t="str">
        <f>IF($D225&gt;Standings!$Q$27,"",SUMIFS($J$2:$J$225,$D$2:$D$225,$D225,$C$2:$C$225,$C225))</f>
        <v/>
      </c>
      <c r="AU225" s="261" t="str">
        <f>IF($D225&gt;Standings!$Q$27,"",SUMIFS($AC$2:$AC$225,$D$2:$D$225,$D225,$C$2:$C$225,$C225))</f>
        <v/>
      </c>
    </row>
  </sheetData>
  <autoFilter ref="B1:AU226" xr:uid="{D0BD2A41-9D4E-F64D-A4BA-DFC7171B1172}"/>
  <conditionalFormatting sqref="G2:G2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22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25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22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:AA22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2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2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2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225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:AD225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2:AF2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22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:Z225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2:AJ2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22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225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Q225">
    <cfRule type="colorScale" priority="8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22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:X22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15" orientation="landscape" horizontalDpi="0" verticalDpi="0"/>
  <ignoredErrors>
    <ignoredError sqref="V16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B9D8F5F-7E54-A647-A250-2B76326DC7D7}">
            <xm:f>'ESPN Data'!$L$5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8" operator="equal" id="{FB8A5BE7-C49C-B746-BE2A-7D84E8453F70}">
            <xm:f>'ESPN Data'!$L$11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E2:F225</xm:sqref>
        </x14:conditionalFormatting>
        <x14:conditionalFormatting xmlns:xm="http://schemas.microsoft.com/office/excel/2006/main">
          <x14:cfRule type="cellIs" priority="4" operator="equal" id="{073EF4B7-8BA4-264C-9169-BD765BD6F88F}">
            <xm:f>'ESPN Data'!$L$7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5" operator="equal" id="{12361B56-DCC3-7548-9F6A-91E7D1524B73}">
            <xm:f>'ESPN Data'!$L$8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3" operator="equal" id="{4052C3AE-CA23-4046-B836-D8846B537B0A}">
            <xm:f>'ESPN Data'!$L$6</xm:f>
            <x14:dxf>
              <font>
                <color auto="1"/>
              </font>
              <fill>
                <patternFill patternType="solid">
                  <bgColor rgb="FF00B050"/>
                </patternFill>
              </fill>
            </x14:dxf>
          </x14:cfRule>
          <x14:cfRule type="cellIs" priority="7" operator="equal" id="{7FED7AFF-49E4-4B4E-983A-585D7316EC04}">
            <xm:f>'ESPN Data'!$L$10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6" operator="equal" id="{99F0DCC8-040A-714F-8D25-A206365423F0}">
            <xm:f>'ESPN Data'!$L$9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9" operator="equal" id="{DACF7E71-3DCF-E84E-B402-499610949C8C}">
            <xm:f>'ESPN Data'!$L$12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0" operator="equal" id="{F1B20531-400F-8C4E-95F4-05DE2B8995A3}">
            <xm:f>'ESPN Data'!$L$13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F50A6CC-2711-3841-9B2B-B8540A84814A}">
            <xm:f>'ESPN Data'!$L$14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2" operator="equal" id="{5B331659-3373-F846-B06F-3FB221011405}">
            <xm:f>'ESPN Data'!$L$15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" operator="equal" id="{6CD479CC-1222-3749-9019-0A17FE8AD564}">
            <xm:f>'ESPN Data'!$L$4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ellIs" priority="13" operator="equal" id="{8D25DB41-1857-AC46-960B-FB249794499E}">
            <xm:f>'ESPN Data'!$L$16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4" operator="equal" id="{F558546F-B8E5-E84C-9835-11059C0AAA58}">
            <xm:f>'ESPN Data'!$L$17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5" operator="equal" id="{C7023292-C67A-9343-BC25-556E3911284E}">
            <xm:f>'ESPN Data'!$L$18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14:cfRule type="cellIs" priority="16" operator="equal" id="{77E7FF9F-51E7-FC40-AADA-CA322BAC4B27}">
            <xm:f>'ESPN Data'!$L$19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E2:E225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CF25A-8E4E-9B40-A1E3-D0226A491098}">
  <sheetPr codeName="Sheet7"/>
  <dimension ref="A1:N42"/>
  <sheetViews>
    <sheetView workbookViewId="0">
      <selection activeCell="K34" sqref="K34"/>
    </sheetView>
  </sheetViews>
  <sheetFormatPr baseColWidth="10" defaultRowHeight="15"/>
  <cols>
    <col min="1" max="1" width="12.5" bestFit="1" customWidth="1"/>
    <col min="2" max="2" width="27.83203125" style="141" bestFit="1" customWidth="1"/>
    <col min="3" max="3" width="12" bestFit="1" customWidth="1"/>
    <col min="4" max="4" width="7.33203125" style="70" bestFit="1" customWidth="1"/>
    <col min="5" max="5" width="7.33203125" style="70" customWidth="1"/>
    <col min="6" max="6" width="27.83203125" style="141" bestFit="1" customWidth="1"/>
    <col min="7" max="7" width="12" style="70" bestFit="1" customWidth="1"/>
    <col min="8" max="8" width="7.33203125" bestFit="1" customWidth="1"/>
    <col min="9" max="9" width="7.33203125" style="70" customWidth="1"/>
    <col min="10" max="10" width="14" style="70" bestFit="1" customWidth="1"/>
    <col min="11" max="11" width="14" style="70" customWidth="1"/>
    <col min="12" max="12" width="10.83203125" customWidth="1"/>
  </cols>
  <sheetData>
    <row r="1" spans="1:13" ht="16" thickBot="1">
      <c r="A1" s="42" t="s">
        <v>12</v>
      </c>
      <c r="B1" s="42" t="s">
        <v>62</v>
      </c>
      <c r="F1" s="42" t="s">
        <v>81</v>
      </c>
    </row>
    <row r="2" spans="1:13" s="70" customFormat="1" ht="16" thickBot="1">
      <c r="A2" s="109">
        <v>14</v>
      </c>
      <c r="B2" s="116" t="s">
        <v>167</v>
      </c>
      <c r="D2" s="645" t="s">
        <v>40</v>
      </c>
      <c r="E2" s="646"/>
      <c r="F2" s="116" t="s">
        <v>173</v>
      </c>
      <c r="H2" s="645" t="s">
        <v>60</v>
      </c>
      <c r="I2" s="646"/>
      <c r="J2" s="645" t="s">
        <v>66</v>
      </c>
      <c r="K2" s="646"/>
      <c r="L2" s="647" t="s">
        <v>25</v>
      </c>
    </row>
    <row r="3" spans="1:13" ht="16" thickBot="1">
      <c r="A3" s="115" t="s">
        <v>10</v>
      </c>
      <c r="B3" s="115" t="s">
        <v>9</v>
      </c>
      <c r="C3" s="114" t="s">
        <v>49</v>
      </c>
      <c r="D3" s="110" t="s">
        <v>33</v>
      </c>
      <c r="E3" s="110" t="s">
        <v>63</v>
      </c>
      <c r="F3" s="142" t="s">
        <v>20</v>
      </c>
      <c r="G3" s="114" t="s">
        <v>50</v>
      </c>
      <c r="H3" s="110" t="s">
        <v>33</v>
      </c>
      <c r="I3" s="110" t="s">
        <v>63</v>
      </c>
      <c r="J3" s="110" t="s">
        <v>64</v>
      </c>
      <c r="K3" s="110" t="s">
        <v>65</v>
      </c>
      <c r="L3" s="648"/>
    </row>
    <row r="4" spans="1:13">
      <c r="A4" s="66">
        <v>1</v>
      </c>
      <c r="B4" s="150" t="str">
        <f>IF(A4&lt;=$A$2,$B$2,"")</f>
        <v>Team 4</v>
      </c>
      <c r="C4" s="96">
        <f t="array" aca="1" ref="C4" ca="1">IF(A4&lt;=$A$2,INDEX('Point Data'!$J$2:$J$225,MATCH(1,($B$2='Point Data'!$B$2:$B$225)*($A4='Point Data'!$D$2:$D$225),0)),"")</f>
        <v>88.33</v>
      </c>
      <c r="D4" s="104">
        <f t="array" aca="1" ref="D4" ca="1">IF(A4&lt;=$A$2,INDEX('Point Data'!$AP$2:$AP$225,MATCH(1,($B$2='Point Data'!$B$2:$B$225)*($A4='Point Data'!$D$2:$D$225),0)),"")</f>
        <v>15</v>
      </c>
      <c r="E4" s="104" t="s">
        <v>67</v>
      </c>
      <c r="F4" s="104" t="str">
        <f t="array" ref="F4">IF(A4&lt;=$A$2,INDEX('Point Data'!$E$2:$E$225,MATCH(1,($F$2='Point Data'!$B$2:$B$225)*($A4='Point Data'!$D$2:$D$225),0)),"")</f>
        <v>Team 2</v>
      </c>
      <c r="G4" s="96">
        <f t="array" aca="1" ref="G4" ca="1">IF(A4&lt;=$A$2,INDEX('Point Data'!$K$2:$K$225,MATCH(1,($F$2='Point Data'!$B$2:$B$225)*($A4='Point Data'!$D$2:$D$225),0)),"")</f>
        <v>101.04</v>
      </c>
      <c r="H4" s="52">
        <f t="array" aca="1" ref="H4" ca="1">IF(A4&lt;=$A$2,INDEX('Point Data'!$AR$2:$AR$225,MATCH(1,($F$2='Point Data'!$B$2:$B$225)*($A4='Point Data'!$D$2:$D$225),0)),"")</f>
        <v>10</v>
      </c>
      <c r="I4" s="111" t="s">
        <v>67</v>
      </c>
      <c r="J4" s="96">
        <f t="array" ref="J4">IF(A4&lt;=$A$2,AVERAGEIFS('ESPN Data'!$D$3:$D$225,'ESPN Data'!$A$3:$A$225,'Record Comparison'!$A4),"")</f>
        <v>106.21562499999999</v>
      </c>
      <c r="K4" s="52" t="str">
        <f>"-"</f>
        <v>-</v>
      </c>
      <c r="L4" s="52">
        <f t="array" aca="1" ref="L4" ca="1">IF(A4&gt;$A$2,"",IF($B4=$F4,INDEX('Point Data'!$U$2:$U$225,MATCH(1,(B4='Point Data'!$B$2:$B$225)*($A4='Point Data'!$D$2:$D$225),0)),IF($C4=$G4,0.5,IF($C4&gt;$G4,1,0))))</f>
        <v>0</v>
      </c>
      <c r="M4" s="117"/>
    </row>
    <row r="5" spans="1:13">
      <c r="A5" s="67">
        <v>2</v>
      </c>
      <c r="B5" s="151" t="str">
        <f t="shared" ref="B5:B17" si="0">IF(A5&lt;=$A$2,$B$2,"")</f>
        <v>Team 4</v>
      </c>
      <c r="C5" s="97">
        <f t="array" aca="1" ref="C5" ca="1">IF(A5&lt;=$A$2,INDEX('Point Data'!$J$2:$J$225,MATCH(1,($B$2='Point Data'!$B$2:$B$225)*($A5='Point Data'!$D$2:$D$225),0)),"")</f>
        <v>89.02</v>
      </c>
      <c r="D5" s="105">
        <f t="array" aca="1" ref="D5" ca="1">IF(A5&lt;=$A$2,INDEX('Point Data'!$AP$2:$AP$225,MATCH(1,($B$2='Point Data'!$B$2:$B$225)*($A5='Point Data'!$D$2:$D$225),0)),"")</f>
        <v>15</v>
      </c>
      <c r="E5" s="105">
        <f t="array" aca="1" ref="E5" ca="1">IF(A5&lt;=$A$2,INDEX('Point Data'!$AQ$2:$AQ$225,MATCH(1,($B$2='Point Data'!$B$2:$B$225)*($A5='Point Data'!$D$2:$D$225),0)),"")</f>
        <v>15</v>
      </c>
      <c r="F5" s="105" t="str">
        <f t="array" ref="F5">IF(A5&lt;=$A$2,INDEX('Point Data'!$E$2:$E$225,MATCH(1,($F$2='Point Data'!$B$2:$B$225)*($A5='Point Data'!$D$2:$D$225),0)),"")</f>
        <v>Team 12</v>
      </c>
      <c r="G5" s="97">
        <f t="array" aca="1" ref="G5" ca="1">IF(A5&lt;=$A$2,INDEX('Point Data'!$K$2:$K$225,MATCH(1,($F$2='Point Data'!$B$2:$B$225)*($A5='Point Data'!$D$2:$D$225),0)),"")</f>
        <v>123.72</v>
      </c>
      <c r="H5" s="53">
        <f t="array" aca="1" ref="H5" ca="1">IF(A5&lt;=$A$2,INDEX('Point Data'!$AR$2:$AR$225,MATCH(1,($F$2='Point Data'!$B$2:$B$225)*($A5='Point Data'!$D$2:$D$225),0)),"")</f>
        <v>4</v>
      </c>
      <c r="I5" s="112">
        <f t="array" aca="1" ref="I5" ca="1">IF(A5&lt;=$A$2,INDEX('Point Data'!$AS$2:$AS$225,MATCH(1,($F$2='Point Data'!$B$2:$B$225)*($A5='Point Data'!$D$2:$D$225),0)),"")</f>
        <v>6</v>
      </c>
      <c r="J5" s="97">
        <f t="array" ref="J5">IF(A5&lt;=$A$2,AVERAGEIFS('ESPN Data'!$D$3:$D$225,'ESPN Data'!$A$3:$A$225,'Record Comparison'!$A5),"")</f>
        <v>111.653125</v>
      </c>
      <c r="K5" s="97">
        <f t="array" ref="K5">IF(A5&lt;=$A$2,AVERAGEIFS('ESPN Data'!$D$3:$D$225,'ESPN Data'!$A$3:$A$225,"&lt;"&amp;'Record Comparison'!A5+1),"")</f>
        <v>108.934375</v>
      </c>
      <c r="L5" s="53">
        <f t="array" aca="1" ref="L5" ca="1">IF(A5&gt;$A$2,"",IF($B5=$F5,INDEX('Point Data'!$U$2:$U$225,MATCH(1,(B5='Point Data'!$B$2:$B$225)*($A5='Point Data'!$D$2:$D$225),0)),IF($C5=$G5,0.5,IF($C5&gt;$G5,1,0))))</f>
        <v>0</v>
      </c>
      <c r="M5" s="117"/>
    </row>
    <row r="6" spans="1:13">
      <c r="A6" s="67">
        <v>3</v>
      </c>
      <c r="B6" s="151" t="str">
        <f t="shared" si="0"/>
        <v>Team 4</v>
      </c>
      <c r="C6" s="97">
        <f t="array" aca="1" ref="C6" ca="1">IF(A6&lt;=$A$2,INDEX('Point Data'!$J$2:$J$225,MATCH(1,($B$2='Point Data'!$B$2:$B$225)*($A6='Point Data'!$D$2:$D$225),0)),"")</f>
        <v>121.5</v>
      </c>
      <c r="D6" s="105">
        <f t="array" aca="1" ref="D6" ca="1">IF(A6&lt;=$A$2,INDEX('Point Data'!$AP$2:$AP$225,MATCH(1,($B$2='Point Data'!$B$2:$B$225)*($A6='Point Data'!$D$2:$D$225),0)),"")</f>
        <v>5</v>
      </c>
      <c r="E6" s="105">
        <f t="array" aca="1" ref="E6" ca="1">IF(A6&lt;=$A$2,INDEX('Point Data'!$AQ$2:$AQ$225,MATCH(1,($B$2='Point Data'!$B$2:$B$225)*($A6='Point Data'!$D$2:$D$225),0)),"")</f>
        <v>13</v>
      </c>
      <c r="F6" s="105" t="str">
        <f t="array" ref="F6">IF(A6&lt;=$A$2,INDEX('Point Data'!$E$2:$E$225,MATCH(1,($F$2='Point Data'!$B$2:$B$225)*($A6='Point Data'!$D$2:$D$225),0)),"")</f>
        <v>Team 13</v>
      </c>
      <c r="G6" s="97">
        <f t="array" aca="1" ref="G6" ca="1">IF(A6&lt;=$A$2,INDEX('Point Data'!$K$2:$K$225,MATCH(1,($F$2='Point Data'!$B$2:$B$225)*($A6='Point Data'!$D$2:$D$225),0)),"")</f>
        <v>88.72</v>
      </c>
      <c r="H6" s="53">
        <f t="array" aca="1" ref="H6" ca="1">IF(A6&lt;=$A$2,INDEX('Point Data'!$AR$2:$AR$225,MATCH(1,($F$2='Point Data'!$B$2:$B$225)*($A6='Point Data'!$D$2:$D$225),0)),"")</f>
        <v>13</v>
      </c>
      <c r="I6" s="112">
        <f t="array" aca="1" ref="I6" ca="1">IF(A6&lt;=$A$2,INDEX('Point Data'!$AS$2:$AS$225,MATCH(1,($F$2='Point Data'!$B$2:$B$225)*($A6='Point Data'!$D$2:$D$225),0)),"")</f>
        <v>12</v>
      </c>
      <c r="J6" s="97">
        <f t="array" ref="J6">IF(A6&lt;=$A$2,AVERAGEIFS('ESPN Data'!$D$3:$D$225,'ESPN Data'!$A$3:$A$225,'Record Comparison'!$A6),"")</f>
        <v>109.96000000000004</v>
      </c>
      <c r="K6" s="97">
        <f t="array" ref="K6">IF(A6&lt;=$A$2,AVERAGEIFS('ESPN Data'!$D$3:$D$225,'ESPN Data'!$A$3:$A$225,"&lt;"&amp;'Record Comparison'!A6+1),"")</f>
        <v>109.27625</v>
      </c>
      <c r="L6" s="53">
        <f t="array" aca="1" ref="L6" ca="1">IF(A6&gt;$A$2,"",IF($B6=$F6,INDEX('Point Data'!$U$2:$U$225,MATCH(1,(B6='Point Data'!$B$2:$B$225)*($A6='Point Data'!$D$2:$D$225),0)),IF($C6=$G6,0.5,IF($C6&gt;$G6,1,0))))</f>
        <v>1</v>
      </c>
    </row>
    <row r="7" spans="1:13">
      <c r="A7" s="67">
        <v>4</v>
      </c>
      <c r="B7" s="151" t="str">
        <f t="shared" si="0"/>
        <v>Team 4</v>
      </c>
      <c r="C7" s="97">
        <f t="array" aca="1" ref="C7" ca="1">IF(A7&lt;=$A$2,INDEX('Point Data'!$J$2:$J$225,MATCH(1,($B$2='Point Data'!$B$2:$B$225)*($A7='Point Data'!$D$2:$D$225),0)),"")</f>
        <v>84.76</v>
      </c>
      <c r="D7" s="105">
        <f t="array" aca="1" ref="D7" ca="1">IF(A7&lt;=$A$2,INDEX('Point Data'!$AP$2:$AP$225,MATCH(1,($B$2='Point Data'!$B$2:$B$225)*($A7='Point Data'!$D$2:$D$225),0)),"")</f>
        <v>15</v>
      </c>
      <c r="E7" s="105">
        <f t="array" aca="1" ref="E7" ca="1">IF(A7&lt;=$A$2,INDEX('Point Data'!$AQ$2:$AQ$225,MATCH(1,($B$2='Point Data'!$B$2:$B$225)*($A7='Point Data'!$D$2:$D$225),0)),"")</f>
        <v>14</v>
      </c>
      <c r="F7" s="105" t="str">
        <f t="array" ref="F7">IF(A7&lt;=$A$2,INDEX('Point Data'!$E$2:$E$225,MATCH(1,($F$2='Point Data'!$B$2:$B$225)*($A7='Point Data'!$D$2:$D$225),0)),"")</f>
        <v>Team 1</v>
      </c>
      <c r="G7" s="97">
        <f t="array" aca="1" ref="G7" ca="1">IF(A7&lt;=$A$2,INDEX('Point Data'!$K$2:$K$225,MATCH(1,($F$2='Point Data'!$B$2:$B$225)*($A7='Point Data'!$D$2:$D$225),0)),"")</f>
        <v>97.92</v>
      </c>
      <c r="H7" s="53">
        <f t="array" aca="1" ref="H7" ca="1">IF(A7&lt;=$A$2,INDEX('Point Data'!$AR$2:$AR$225,MATCH(1,($F$2='Point Data'!$B$2:$B$225)*($A7='Point Data'!$D$2:$D$225),0)),"")</f>
        <v>11</v>
      </c>
      <c r="I7" s="112">
        <f t="array" aca="1" ref="I7" ca="1">IF(A7&lt;=$A$2,INDEX('Point Data'!$AS$2:$AS$225,MATCH(1,($F$2='Point Data'!$B$2:$B$225)*($A7='Point Data'!$D$2:$D$225),0)),"")</f>
        <v>13</v>
      </c>
      <c r="J7" s="97">
        <f t="array" ref="J7">IF(A7&lt;=$A$2,AVERAGEIFS('ESPN Data'!$D$3:$D$225,'ESPN Data'!$A$3:$A$225,'Record Comparison'!$A7),"")</f>
        <v>102.17625</v>
      </c>
      <c r="K7" s="97">
        <f t="array" ref="K7">IF(A7&lt;=$A$2,AVERAGEIFS('ESPN Data'!$D$3:$D$225,'ESPN Data'!$A$3:$A$225,"&lt;"&amp;'Record Comparison'!A7+1),"")</f>
        <v>107.50125000000003</v>
      </c>
      <c r="L7" s="53">
        <f t="array" aca="1" ref="L7" ca="1">IF(A7&gt;$A$2,"",IF($B7=$F7,INDEX('Point Data'!$U$2:$U$225,MATCH(1,(B7='Point Data'!$B$2:$B$225)*($A7='Point Data'!$D$2:$D$225),0)),IF($C7=$G7,0.5,IF($C7&gt;$G7,1,0))))</f>
        <v>0</v>
      </c>
    </row>
    <row r="8" spans="1:13">
      <c r="A8" s="67">
        <v>5</v>
      </c>
      <c r="B8" s="151" t="str">
        <f>IF(A8&lt;=$A$2,$B$2,"")</f>
        <v>Team 4</v>
      </c>
      <c r="C8" s="97">
        <f t="array" aca="1" ref="C8" ca="1">IF(A8&lt;=$A$2,INDEX('Point Data'!$J$2:$J$225,MATCH(1,($B$2='Point Data'!$B$2:$B$225)*($A8='Point Data'!$D$2:$D$225),0)),"")</f>
        <v>93.88</v>
      </c>
      <c r="D8" s="105">
        <f t="array" aca="1" ref="D8" ca="1">IF(A8&lt;=$A$2,INDEX('Point Data'!$AP$2:$AP$225,MATCH(1,($B$2='Point Data'!$B$2:$B$225)*($A8='Point Data'!$D$2:$D$225),0)),"")</f>
        <v>11</v>
      </c>
      <c r="E8" s="105">
        <f t="array" aca="1" ref="E8" ca="1">IF(A8&lt;=$A$2,INDEX('Point Data'!$AQ$2:$AQ$225,MATCH(1,($B$2='Point Data'!$B$2:$B$225)*($A8='Point Data'!$D$2:$D$225),0)),"")</f>
        <v>15</v>
      </c>
      <c r="F8" s="105" t="str">
        <f t="array" ref="F8">IF(A8&lt;=$A$2,INDEX('Point Data'!$E$2:$E$225,MATCH(1,($F$2='Point Data'!$B$2:$B$225)*($A8='Point Data'!$D$2:$D$225),0)),"")</f>
        <v>Team 3</v>
      </c>
      <c r="G8" s="97">
        <f t="array" aca="1" ref="G8" ca="1">IF(A8&lt;=$A$2,INDEX('Point Data'!$K$2:$K$225,MATCH(1,($F$2='Point Data'!$B$2:$B$225)*($A8='Point Data'!$D$2:$D$225),0)),"")</f>
        <v>118.5</v>
      </c>
      <c r="H8" s="53">
        <f t="array" aca="1" ref="H8" ca="1">IF(A8&lt;=$A$2,INDEX('Point Data'!$AR$2:$AR$225,MATCH(1,($F$2='Point Data'!$B$2:$B$225)*($A8='Point Data'!$D$2:$D$225),0)),"")</f>
        <v>5</v>
      </c>
      <c r="I8" s="112">
        <f t="array" aca="1" ref="I8" ca="1">IF(A8&lt;=$A$2,INDEX('Point Data'!$AS$2:$AS$225,MATCH(1,($F$2='Point Data'!$B$2:$B$225)*($A8='Point Data'!$D$2:$D$225),0)),"")</f>
        <v>11</v>
      </c>
      <c r="J8" s="97">
        <f t="array" ref="J8">IF(A8&lt;=$A$2,AVERAGEIFS('ESPN Data'!$D$3:$D$225,'ESPN Data'!$A$3:$A$225,'Record Comparison'!$A8),"")</f>
        <v>104.16625000000001</v>
      </c>
      <c r="K8" s="97">
        <f t="array" ref="K8">IF(A8&lt;=$A$2,AVERAGEIFS('ESPN Data'!$D$3:$D$225,'ESPN Data'!$A$3:$A$225,"&lt;"&amp;'Record Comparison'!A8+1),"")</f>
        <v>106.83425000000003</v>
      </c>
      <c r="L8" s="53">
        <f t="array" aca="1" ref="L8" ca="1">IF(A8&gt;$A$2,"",IF($B8=$F8,INDEX('Point Data'!$U$2:$U$225,MATCH(1,(B8='Point Data'!$B$2:$B$225)*($A8='Point Data'!$D$2:$D$225),0)),IF($C8=$G8,0.5,IF($C8&gt;$G8,1,0))))</f>
        <v>0</v>
      </c>
    </row>
    <row r="9" spans="1:13">
      <c r="A9" s="67">
        <v>6</v>
      </c>
      <c r="B9" s="151" t="str">
        <f t="shared" si="0"/>
        <v>Team 4</v>
      </c>
      <c r="C9" s="97">
        <f t="array" aca="1" ref="C9" ca="1">IF(A9&lt;=$A$2,INDEX('Point Data'!$J$2:$J$225,MATCH(1,($B$2='Point Data'!$B$2:$B$225)*($A9='Point Data'!$D$2:$D$225),0)),"")</f>
        <v>133.94999999999999</v>
      </c>
      <c r="D9" s="105">
        <f t="array" aca="1" ref="D9" ca="1">IF(A9&lt;=$A$2,INDEX('Point Data'!$AP$2:$AP$225,MATCH(1,($B$2='Point Data'!$B$2:$B$225)*($A9='Point Data'!$D$2:$D$225),0)),"")</f>
        <v>1</v>
      </c>
      <c r="E9" s="105">
        <f t="array" aca="1" ref="E9" ca="1">IF(A9&lt;=$A$2,INDEX('Point Data'!$AQ$2:$AQ$225,MATCH(1,($B$2='Point Data'!$B$2:$B$225)*($A9='Point Data'!$D$2:$D$225),0)),"")</f>
        <v>11</v>
      </c>
      <c r="F9" s="105" t="str">
        <f t="array" ref="F9">IF(A9&lt;=$A$2,INDEX('Point Data'!$E$2:$E$225,MATCH(1,($F$2='Point Data'!$B$2:$B$225)*($A9='Point Data'!$D$2:$D$225),0)),"")</f>
        <v>Team 16</v>
      </c>
      <c r="G9" s="97">
        <f t="array" aca="1" ref="G9" ca="1">IF(A9&lt;=$A$2,INDEX('Point Data'!$K$2:$K$225,MATCH(1,($F$2='Point Data'!$B$2:$B$225)*($A9='Point Data'!$D$2:$D$225),0)),"")</f>
        <v>98.77</v>
      </c>
      <c r="H9" s="53">
        <f t="array" aca="1" ref="H9" ca="1">IF(A9&lt;=$A$2,INDEX('Point Data'!$AR$2:$AR$225,MATCH(1,($F$2='Point Data'!$B$2:$B$225)*($A9='Point Data'!$D$2:$D$225),0)),"")</f>
        <v>7</v>
      </c>
      <c r="I9" s="112">
        <f t="array" aca="1" ref="I9" ca="1">IF(A9&lt;=$A$2,INDEX('Point Data'!$AS$2:$AS$225,MATCH(1,($F$2='Point Data'!$B$2:$B$225)*($A9='Point Data'!$D$2:$D$225),0)),"")</f>
        <v>11</v>
      </c>
      <c r="J9" s="97">
        <f t="array" ref="J9">IF(A9&lt;=$A$2,AVERAGEIFS('ESPN Data'!$D$3:$D$225,'ESPN Data'!$A$3:$A$225,'Record Comparison'!$A9),"")</f>
        <v>96.939374999999998</v>
      </c>
      <c r="K9" s="97">
        <f t="array" ref="K9">IF(A9&lt;=$A$2,AVERAGEIFS('ESPN Data'!$D$3:$D$225,'ESPN Data'!$A$3:$A$225,"&lt;"&amp;'Record Comparison'!A9+1),"")</f>
        <v>105.1851041666667</v>
      </c>
      <c r="L9" s="53">
        <f t="array" aca="1" ref="L9" ca="1">IF(A9&gt;$A$2,"",IF($B9=$F9,INDEX('Point Data'!$U$2:$U$225,MATCH(1,(B9='Point Data'!$B$2:$B$225)*($A9='Point Data'!$D$2:$D$225),0)),IF($C9=$G9,0.5,IF($C9&gt;$G9,1,0))))</f>
        <v>1</v>
      </c>
    </row>
    <row r="10" spans="1:13">
      <c r="A10" s="67">
        <v>7</v>
      </c>
      <c r="B10" s="151" t="str">
        <f t="shared" si="0"/>
        <v>Team 4</v>
      </c>
      <c r="C10" s="97">
        <f t="array" aca="1" ref="C10" ca="1">IF(A10&lt;=$A$2,INDEX('Point Data'!$J$2:$J$225,MATCH(1,($B$2='Point Data'!$B$2:$B$225)*($A10='Point Data'!$D$2:$D$225),0)),"")</f>
        <v>123.84</v>
      </c>
      <c r="D10" s="105">
        <f t="array" aca="1" ref="D10" ca="1">IF(A10&lt;=$A$2,INDEX('Point Data'!$AP$2:$AP$225,MATCH(1,($B$2='Point Data'!$B$2:$B$225)*($A10='Point Data'!$D$2:$D$225),0)),"")</f>
        <v>3</v>
      </c>
      <c r="E10" s="105">
        <f t="array" aca="1" ref="E10" ca="1">IF(A10&lt;=$A$2,INDEX('Point Data'!$AQ$2:$AQ$225,MATCH(1,($B$2='Point Data'!$B$2:$B$225)*($A10='Point Data'!$D$2:$D$225),0)),"")</f>
        <v>7</v>
      </c>
      <c r="F10" s="105" t="str">
        <f t="array" ref="F10">IF(A10&lt;=$A$2,INDEX('Point Data'!$E$2:$E$225,MATCH(1,($F$2='Point Data'!$B$2:$B$225)*($A10='Point Data'!$D$2:$D$225),0)),"")</f>
        <v>Team 7</v>
      </c>
      <c r="G10" s="97">
        <f t="array" aca="1" ref="G10" ca="1">IF(A10&lt;=$A$2,INDEX('Point Data'!$K$2:$K$225,MATCH(1,($F$2='Point Data'!$B$2:$B$225)*($A10='Point Data'!$D$2:$D$225),0)),"")</f>
        <v>143.06</v>
      </c>
      <c r="H10" s="53">
        <f t="array" aca="1" ref="H10" ca="1">IF(A10&lt;=$A$2,INDEX('Point Data'!$AR$2:$AR$225,MATCH(1,($F$2='Point Data'!$B$2:$B$225)*($A10='Point Data'!$D$2:$D$225),0)),"")</f>
        <v>2</v>
      </c>
      <c r="I10" s="112">
        <f t="array" aca="1" ref="I10" ca="1">IF(A10&lt;=$A$2,INDEX('Point Data'!$AS$2:$AS$225,MATCH(1,($F$2='Point Data'!$B$2:$B$225)*($A10='Point Data'!$D$2:$D$225),0)),"")</f>
        <v>4</v>
      </c>
      <c r="J10" s="97">
        <f t="array" ref="J10">IF(A10&lt;=$A$2,AVERAGEIFS('ESPN Data'!$D$3:$D$225,'ESPN Data'!$A$3:$A$225,'Record Comparison'!$A10),"")</f>
        <v>103.38562499999999</v>
      </c>
      <c r="K10" s="97">
        <f t="array" ref="K10">IF(A10&lt;=$A$2,AVERAGEIFS('ESPN Data'!$D$3:$D$225,'ESPN Data'!$A$3:$A$225,"&lt;"&amp;'Record Comparison'!A10+1),"")</f>
        <v>104.92803571428574</v>
      </c>
      <c r="L10" s="53">
        <f t="array" aca="1" ref="L10" ca="1">IF(A10&gt;$A$2,"",IF($B10=$F10,INDEX('Point Data'!$U$2:$U$225,MATCH(1,(B10='Point Data'!$B$2:$B$225)*($A10='Point Data'!$D$2:$D$225),0)),IF($C10=$G10,0.5,IF($C10&gt;$G10,1,0))))</f>
        <v>0</v>
      </c>
    </row>
    <row r="11" spans="1:13">
      <c r="A11" s="67">
        <v>8</v>
      </c>
      <c r="B11" s="151" t="str">
        <f t="shared" si="0"/>
        <v>Team 4</v>
      </c>
      <c r="C11" s="97">
        <f t="array" aca="1" ref="C11" ca="1">IF(A11&lt;=$A$2,INDEX('Point Data'!$J$2:$J$225,MATCH(1,($B$2='Point Data'!$B$2:$B$225)*($A11='Point Data'!$D$2:$D$225),0)),"")</f>
        <v>92.41</v>
      </c>
      <c r="D11" s="105">
        <f t="array" aca="1" ref="D11" ca="1">IF(A11&lt;=$A$2,INDEX('Point Data'!$AP$2:$AP$225,MATCH(1,($B$2='Point Data'!$B$2:$B$225)*($A11='Point Data'!$D$2:$D$225),0)),"")</f>
        <v>6</v>
      </c>
      <c r="E11" s="105">
        <f t="array" aca="1" ref="E11" ca="1">IF(A11&lt;=$A$2,INDEX('Point Data'!$AQ$2:$AQ$225,MATCH(1,($B$2='Point Data'!$B$2:$B$225)*($A11='Point Data'!$D$2:$D$225),0)),"")</f>
        <v>8</v>
      </c>
      <c r="F11" s="105" t="str">
        <f t="array" ref="F11">IF(A11&lt;=$A$2,INDEX('Point Data'!$E$2:$E$225,MATCH(1,($F$2='Point Data'!$B$2:$B$225)*($A11='Point Data'!$D$2:$D$225),0)),"")</f>
        <v>Team 11</v>
      </c>
      <c r="G11" s="97">
        <f t="array" aca="1" ref="G11" ca="1">IF(A11&lt;=$A$2,INDEX('Point Data'!$K$2:$K$225,MATCH(1,($F$2='Point Data'!$B$2:$B$225)*($A11='Point Data'!$D$2:$D$225),0)),"")</f>
        <v>70.75</v>
      </c>
      <c r="H11" s="53">
        <f t="array" aca="1" ref="H11" ca="1">IF(A11&lt;=$A$2,INDEX('Point Data'!$AR$2:$AR$225,MATCH(1,($F$2='Point Data'!$B$2:$B$225)*($A11='Point Data'!$D$2:$D$225),0)),"")</f>
        <v>14</v>
      </c>
      <c r="I11" s="112">
        <f t="array" aca="1" ref="I11" ca="1">IF(A11&lt;=$A$2,INDEX('Point Data'!$AS$2:$AS$225,MATCH(1,($F$2='Point Data'!$B$2:$B$225)*($A11='Point Data'!$D$2:$D$225),0)),"")</f>
        <v>7</v>
      </c>
      <c r="J11" s="97">
        <f t="array" ref="J11">IF(A11&lt;=$A$2,AVERAGEIFS('ESPN Data'!$D$3:$D$225,'ESPN Data'!$A$3:$A$225,'Record Comparison'!$A11),"")</f>
        <v>92.53</v>
      </c>
      <c r="K11" s="97">
        <f t="array" ref="K11">IF(A11&lt;=$A$2,AVERAGEIFS('ESPN Data'!$D$3:$D$225,'ESPN Data'!$A$3:$A$225,"&lt;"&amp;'Record Comparison'!A11+1),"")</f>
        <v>103.37828125000001</v>
      </c>
      <c r="L11" s="53">
        <f t="array" aca="1" ref="L11" ca="1">IF(A11&gt;$A$2,"",IF($B11=$F11,INDEX('Point Data'!$U$2:$U$225,MATCH(1,(B11='Point Data'!$B$2:$B$225)*($A11='Point Data'!$D$2:$D$225),0)),IF($C11=$G11,0.5,IF($C11&gt;$G11,1,0))))</f>
        <v>1</v>
      </c>
    </row>
    <row r="12" spans="1:13">
      <c r="A12" s="67">
        <v>9</v>
      </c>
      <c r="B12" s="151" t="str">
        <f t="shared" si="0"/>
        <v>Team 4</v>
      </c>
      <c r="C12" s="97">
        <f t="array" aca="1" ref="C12" ca="1">IF(A12&lt;=$A$2,INDEX('Point Data'!$J$2:$J$225,MATCH(1,($B$2='Point Data'!$B$2:$B$225)*($A12='Point Data'!$D$2:$D$225),0)),"")</f>
        <v>56.32</v>
      </c>
      <c r="D12" s="105">
        <f t="array" aca="1" ref="D12" ca="1">IF(A12&lt;=$A$2,INDEX('Point Data'!$AP$2:$AP$225,MATCH(1,($B$2='Point Data'!$B$2:$B$225)*($A12='Point Data'!$D$2:$D$225),0)),"")</f>
        <v>16</v>
      </c>
      <c r="E12" s="105">
        <f t="array" aca="1" ref="E12" ca="1">IF(A12&lt;=$A$2,INDEX('Point Data'!$AQ$2:$AQ$225,MATCH(1,($B$2='Point Data'!$B$2:$B$225)*($A12='Point Data'!$D$2:$D$225),0)),"")</f>
        <v>11</v>
      </c>
      <c r="F12" s="105" t="str">
        <f t="array" ref="F12">IF(A12&lt;=$A$2,INDEX('Point Data'!$E$2:$E$225,MATCH(1,($F$2='Point Data'!$B$2:$B$225)*($A12='Point Data'!$D$2:$D$225),0)),"")</f>
        <v>Team 6</v>
      </c>
      <c r="G12" s="97">
        <f t="array" aca="1" ref="G12" ca="1">IF(A12&lt;=$A$2,INDEX('Point Data'!$K$2:$K$225,MATCH(1,($F$2='Point Data'!$B$2:$B$225)*($A12='Point Data'!$D$2:$D$225),0)),"")</f>
        <v>73.540000000000006</v>
      </c>
      <c r="H12" s="53">
        <f t="array" aca="1" ref="H12" ca="1">IF(A12&lt;=$A$2,INDEX('Point Data'!$AR$2:$AR$225,MATCH(1,($F$2='Point Data'!$B$2:$B$225)*($A12='Point Data'!$D$2:$D$225),0)),"")</f>
        <v>15</v>
      </c>
      <c r="I12" s="112">
        <f t="array" aca="1" ref="I12" ca="1">IF(A12&lt;=$A$2,INDEX('Point Data'!$AS$2:$AS$225,MATCH(1,($F$2='Point Data'!$B$2:$B$225)*($A12='Point Data'!$D$2:$D$225),0)),"")</f>
        <v>10</v>
      </c>
      <c r="J12" s="97">
        <f t="array" ref="J12">IF(A12&lt;=$A$2,AVERAGEIFS('ESPN Data'!$D$3:$D$225,'ESPN Data'!$A$3:$A$225,'Record Comparison'!$A12),"")</f>
        <v>99.584999999999994</v>
      </c>
      <c r="K12" s="97">
        <f t="array" ref="K12">IF(A12&lt;=$A$2,AVERAGEIFS('ESPN Data'!$D$3:$D$225,'ESPN Data'!$A$3:$A$225,"&lt;"&amp;'Record Comparison'!A12+1),"")</f>
        <v>102.9568055555556</v>
      </c>
      <c r="L12" s="53">
        <f t="array" aca="1" ref="L12" ca="1">IF(A12&gt;$A$2,"",IF($B12=$F12,INDEX('Point Data'!$U$2:$U$225,MATCH(1,(B12='Point Data'!$B$2:$B$225)*($A12='Point Data'!$D$2:$D$225),0)),IF($C12=$G12,0.5,IF($C12&gt;$G12,1,0))))</f>
        <v>0</v>
      </c>
    </row>
    <row r="13" spans="1:13">
      <c r="A13" s="67">
        <v>10</v>
      </c>
      <c r="B13" s="151" t="str">
        <f t="shared" si="0"/>
        <v>Team 4</v>
      </c>
      <c r="C13" s="97">
        <f t="array" aca="1" ref="C13" ca="1">IF(A13&lt;=$A$2,INDEX('Point Data'!$J$2:$J$225,MATCH(1,($B$2='Point Data'!$B$2:$B$225)*($A13='Point Data'!$D$2:$D$225),0)),"")</f>
        <v>100.87</v>
      </c>
      <c r="D13" s="105">
        <f t="array" aca="1" ref="D13" ca="1">IF(A13&lt;=$A$2,INDEX('Point Data'!$AP$2:$AP$225,MATCH(1,($B$2='Point Data'!$B$2:$B$225)*($A13='Point Data'!$D$2:$D$225),0)),"")</f>
        <v>7</v>
      </c>
      <c r="E13" s="105">
        <f t="array" aca="1" ref="E13" ca="1">IF(A13&lt;=$A$2,INDEX('Point Data'!$AQ$2:$AQ$225,MATCH(1,($B$2='Point Data'!$B$2:$B$225)*($A13='Point Data'!$D$2:$D$225),0)),"")</f>
        <v>9</v>
      </c>
      <c r="F13" s="105" t="str">
        <f t="array" ref="F13">IF(A13&lt;=$A$2,INDEX('Point Data'!$E$2:$E$225,MATCH(1,($F$2='Point Data'!$B$2:$B$225)*($A13='Point Data'!$D$2:$D$225),0)),"")</f>
        <v>Team 14</v>
      </c>
      <c r="G13" s="97">
        <f t="array" aca="1" ref="G13" ca="1">IF(A13&lt;=$A$2,INDEX('Point Data'!$K$2:$K$225,MATCH(1,($F$2='Point Data'!$B$2:$B$225)*($A13='Point Data'!$D$2:$D$225),0)),"")</f>
        <v>128.22</v>
      </c>
      <c r="H13" s="53">
        <f t="array" aca="1" ref="H13" ca="1">IF(A13&lt;=$A$2,INDEX('Point Data'!$AR$2:$AR$225,MATCH(1,($F$2='Point Data'!$B$2:$B$225)*($A13='Point Data'!$D$2:$D$225),0)),"")</f>
        <v>2</v>
      </c>
      <c r="I13" s="112">
        <f t="array" aca="1" ref="I13" ca="1">IF(A13&lt;=$A$2,INDEX('Point Data'!$AS$2:$AS$225,MATCH(1,($F$2='Point Data'!$B$2:$B$225)*($A13='Point Data'!$D$2:$D$225),0)),"")</f>
        <v>8</v>
      </c>
      <c r="J13" s="97">
        <f t="array" ref="J13">IF(A13&lt;=$A$2,AVERAGEIFS('ESPN Data'!$D$3:$D$225,'ESPN Data'!$A$3:$A$225,'Record Comparison'!$A13),"")</f>
        <v>93.169375000000002</v>
      </c>
      <c r="K13" s="97">
        <f t="array" ref="K13">IF(A13&lt;=$A$2,AVERAGEIFS('ESPN Data'!$D$3:$D$225,'ESPN Data'!$A$3:$A$225,"&lt;"&amp;'Record Comparison'!A13+1),"")</f>
        <v>101.97806250000004</v>
      </c>
      <c r="L13" s="53">
        <f t="array" aca="1" ref="L13" ca="1">IF(A13&gt;$A$2,"",IF($B13=$F13,INDEX('Point Data'!$U$2:$U$225,MATCH(1,(B13='Point Data'!$B$2:$B$225)*($A13='Point Data'!$D$2:$D$225),0)),IF($C13=$G13,0.5,IF($C13&gt;$G13,1,0))))</f>
        <v>0</v>
      </c>
    </row>
    <row r="14" spans="1:13">
      <c r="A14" s="67">
        <v>11</v>
      </c>
      <c r="B14" s="151" t="str">
        <f t="shared" si="0"/>
        <v>Team 4</v>
      </c>
      <c r="C14" s="97">
        <f t="array" aca="1" ref="C14" ca="1">IF(A14&lt;=$A$2,INDEX('Point Data'!$J$2:$J$225,MATCH(1,($B$2='Point Data'!$B$2:$B$225)*($A14='Point Data'!$D$2:$D$225),0)),"")</f>
        <v>91.73</v>
      </c>
      <c r="D14" s="105">
        <f t="array" aca="1" ref="D14" ca="1">IF(A14&lt;=$A$2,INDEX('Point Data'!$AP$2:$AP$225,MATCH(1,($B$2='Point Data'!$B$2:$B$225)*($A14='Point Data'!$D$2:$D$225),0)),"")</f>
        <v>11</v>
      </c>
      <c r="E14" s="105">
        <f t="array" aca="1" ref="E14" ca="1">IF(A14&lt;=$A$2,INDEX('Point Data'!$AQ$2:$AQ$225,MATCH(1,($B$2='Point Data'!$B$2:$B$225)*($A14='Point Data'!$D$2:$D$225),0)),"")</f>
        <v>9</v>
      </c>
      <c r="F14" s="105" t="str">
        <f t="array" ref="F14">IF(A14&lt;=$A$2,INDEX('Point Data'!$E$2:$E$225,MATCH(1,($F$2='Point Data'!$B$2:$B$225)*($A14='Point Data'!$D$2:$D$225),0)),"")</f>
        <v>Team 4</v>
      </c>
      <c r="G14" s="97">
        <f t="array" aca="1" ref="G14" ca="1">IF(A14&lt;=$A$2,INDEX('Point Data'!$K$2:$K$225,MATCH(1,($F$2='Point Data'!$B$2:$B$225)*($A14='Point Data'!$D$2:$D$225),0)),"")</f>
        <v>91.73</v>
      </c>
      <c r="H14" s="53">
        <f t="array" aca="1" ref="H14" ca="1">IF(A14&lt;=$A$2,INDEX('Point Data'!$AR$2:$AR$225,MATCH(1,($F$2='Point Data'!$B$2:$B$225)*($A14='Point Data'!$D$2:$D$225),0)),"")</f>
        <v>11</v>
      </c>
      <c r="I14" s="112">
        <f t="array" aca="1" ref="I14" ca="1">IF(A14&lt;=$A$2,INDEX('Point Data'!$AS$2:$AS$225,MATCH(1,($F$2='Point Data'!$B$2:$B$225)*($A14='Point Data'!$D$2:$D$225),0)),"")</f>
        <v>7</v>
      </c>
      <c r="J14" s="97">
        <f t="array" ref="J14">IF(A14&lt;=$A$2,AVERAGEIFS('ESPN Data'!$D$3:$D$225,'ESPN Data'!$A$3:$A$225,'Record Comparison'!$A14),"")</f>
        <v>101.48249999999999</v>
      </c>
      <c r="K14" s="97">
        <f t="array" ref="K14">IF(A14&lt;=$A$2,AVERAGEIFS('ESPN Data'!$D$3:$D$225,'ESPN Data'!$A$3:$A$225,"&lt;"&amp;'Record Comparison'!A14+1),"")</f>
        <v>101.9330113636364</v>
      </c>
      <c r="L14" s="53">
        <f t="array" aca="1" ref="L14" ca="1">IF(A14&gt;$A$2,"",IF($B14=$F14,INDEX('Point Data'!$U$2:$U$225,MATCH(1,(B14='Point Data'!$B$2:$B$225)*($A14='Point Data'!$D$2:$D$225),0)),IF($C14=$G14,0.5,IF($C14&gt;$G14,1,0))))</f>
        <v>1</v>
      </c>
    </row>
    <row r="15" spans="1:13">
      <c r="A15" s="67">
        <v>12</v>
      </c>
      <c r="B15" s="151" t="str">
        <f t="shared" si="0"/>
        <v>Team 4</v>
      </c>
      <c r="C15" s="97">
        <f t="array" aca="1" ref="C15" ca="1">IF(A15&lt;=$A$2,INDEX('Point Data'!$J$2:$J$225,MATCH(1,($B$2='Point Data'!$B$2:$B$225)*($A15='Point Data'!$D$2:$D$225),0)),"")</f>
        <v>117.48</v>
      </c>
      <c r="D15" s="105">
        <f t="array" aca="1" ref="D15" ca="1">IF(A15&lt;=$A$2,INDEX('Point Data'!$AP$2:$AP$225,MATCH(1,($B$2='Point Data'!$B$2:$B$225)*($A15='Point Data'!$D$2:$D$225),0)),"")</f>
        <v>3</v>
      </c>
      <c r="E15" s="105">
        <f t="array" aca="1" ref="E15" ca="1">IF(A15&lt;=$A$2,INDEX('Point Data'!$AQ$2:$AQ$225,MATCH(1,($B$2='Point Data'!$B$2:$B$225)*($A15='Point Data'!$D$2:$D$225),0)),"")</f>
        <v>9</v>
      </c>
      <c r="F15" s="105" t="str">
        <f t="array" ref="F15">IF(A15&lt;=$A$2,INDEX('Point Data'!$E$2:$E$225,MATCH(1,($F$2='Point Data'!$B$2:$B$225)*($A15='Point Data'!$D$2:$D$225),0)),"")</f>
        <v>Team 8</v>
      </c>
      <c r="G15" s="97">
        <f t="array" aca="1" ref="G15" ca="1">IF(A15&lt;=$A$2,INDEX('Point Data'!$K$2:$K$225,MATCH(1,($F$2='Point Data'!$B$2:$B$225)*($A15='Point Data'!$D$2:$D$225),0)),"")</f>
        <v>140.47999999999999</v>
      </c>
      <c r="H15" s="53">
        <f t="array" aca="1" ref="H15" ca="1">IF(A15&lt;=$A$2,INDEX('Point Data'!$AR$2:$AR$225,MATCH(1,($F$2='Point Data'!$B$2:$B$225)*($A15='Point Data'!$D$2:$D$225),0)),"")</f>
        <v>1</v>
      </c>
      <c r="I15" s="112">
        <f t="array" aca="1" ref="I15" ca="1">IF(A15&lt;=$A$2,INDEX('Point Data'!$AS$2:$AS$225,MATCH(1,($F$2='Point Data'!$B$2:$B$225)*($A15='Point Data'!$D$2:$D$225),0)),"")</f>
        <v>6</v>
      </c>
      <c r="J15" s="97">
        <f t="array" ref="J15">IF(A15&lt;=$A$2,AVERAGEIFS('ESPN Data'!$D$3:$D$225,'ESPN Data'!$A$3:$A$225,'Record Comparison'!$A15),"")</f>
        <v>99.240625000000009</v>
      </c>
      <c r="K15" s="97">
        <f t="array" ref="K15">IF(A15&lt;=$A$2,AVERAGEIFS('ESPN Data'!$D$3:$D$225,'ESPN Data'!$A$3:$A$225,"&lt;"&amp;'Record Comparison'!A15+1),"")</f>
        <v>101.70864583333338</v>
      </c>
      <c r="L15" s="53">
        <f t="array" aca="1" ref="L15" ca="1">IF(A15&gt;$A$2,"",IF($B15=$F15,INDEX('Point Data'!$U$2:$U$225,MATCH(1,(B15='Point Data'!$B$2:$B$225)*($A15='Point Data'!$D$2:$D$225),0)),IF($C15=$G15,0.5,IF($C15&gt;$G15,1,0))))</f>
        <v>0</v>
      </c>
    </row>
    <row r="16" spans="1:13">
      <c r="A16" s="67">
        <v>13</v>
      </c>
      <c r="B16" s="151" t="str">
        <f t="shared" si="0"/>
        <v>Team 4</v>
      </c>
      <c r="C16" s="97">
        <f t="array" aca="1" ref="C16" ca="1">IF(A16&lt;=$A$2,INDEX('Point Data'!$J$2:$J$225,MATCH(1,($B$2='Point Data'!$B$2:$B$225)*($A16='Point Data'!$D$2:$D$225),0)),"")</f>
        <v>104.84</v>
      </c>
      <c r="D16" s="378">
        <f t="array" aca="1" ref="D16" ca="1">IF(A16&lt;=$A$2,INDEX('Point Data'!$AP$2:$AP$225,MATCH(1,($B$2='Point Data'!$B$2:$B$225)*($A16='Point Data'!$D$2:$D$225),0)),"")</f>
        <v>6</v>
      </c>
      <c r="E16" s="378">
        <f t="array" aca="1" ref="E16" ca="1">IF(A16&lt;=$A$2,INDEX('Point Data'!$AQ$2:$AQ$225,MATCH(1,($B$2='Point Data'!$B$2:$B$225)*($A16='Point Data'!$D$2:$D$225),0)),"")</f>
        <v>9</v>
      </c>
      <c r="F16" s="378" t="str">
        <f t="array" ref="F16">IF(A16&lt;=$A$2,INDEX('Point Data'!$E$2:$E$225,MATCH(1,($F$2='Point Data'!$B$2:$B$225)*($A16='Point Data'!$D$2:$D$225),0)),"")</f>
        <v>Team 15</v>
      </c>
      <c r="G16" s="97">
        <f t="array" aca="1" ref="G16" ca="1">IF(A16&lt;=$A$2,INDEX('Point Data'!$K$2:$K$225,MATCH(1,($F$2='Point Data'!$B$2:$B$225)*($A16='Point Data'!$D$2:$D$225),0)),"")</f>
        <v>184.43</v>
      </c>
      <c r="H16" s="53">
        <f t="array" aca="1" ref="H16" ca="1">IF(A16&lt;=$A$2,INDEX('Point Data'!$AR$2:$AR$225,MATCH(1,($F$2='Point Data'!$B$2:$B$225)*($A16='Point Data'!$D$2:$D$225),0)),"")</f>
        <v>1</v>
      </c>
      <c r="I16" s="112">
        <f t="array" aca="1" ref="I16" ca="1">IF(A16&lt;=$A$2,INDEX('Point Data'!$AS$2:$AS$225,MATCH(1,($F$2='Point Data'!$B$2:$B$225)*($A16='Point Data'!$D$2:$D$225),0)),"")</f>
        <v>1</v>
      </c>
      <c r="J16" s="97">
        <f t="array" ref="J16">IF(A16&lt;=$A$2,AVERAGEIFS('ESPN Data'!$D$3:$D$225,'ESPN Data'!$A$3:$A$225,'Record Comparison'!$A16),"")</f>
        <v>103.75500000000002</v>
      </c>
      <c r="K16" s="97">
        <f t="array" ref="K16">IF(A16&lt;=$A$2,AVERAGEIFS('ESPN Data'!$D$3:$D$225,'ESPN Data'!$A$3:$A$225,"&lt;"&amp;'Record Comparison'!A16+1),"")</f>
        <v>101.86605769230771</v>
      </c>
      <c r="L16" s="53">
        <f t="array" aca="1" ref="L16" ca="1">IF(A16&gt;$A$2,"",IF($B16=$F16,INDEX('Point Data'!$U$2:$U$225,MATCH(1,(B16='Point Data'!$B$2:$B$225)*($A16='Point Data'!$D$2:$D$225),0)),IF($C16=$G16,0.5,IF($C16&gt;$G16,1,0))))</f>
        <v>0</v>
      </c>
    </row>
    <row r="17" spans="1:14" s="190" customFormat="1" ht="16" thickBot="1">
      <c r="A17" s="68">
        <v>14</v>
      </c>
      <c r="B17" s="152" t="str">
        <f t="shared" si="0"/>
        <v>Team 4</v>
      </c>
      <c r="C17" s="98" t="str">
        <f t="array" aca="1" ref="C17" ca="1">IF(A17&lt;=$A$2,INDEX('Point Data'!$J$2:$J$225,MATCH(1,($B$2='Point Data'!$B$2:$B$225)*($A17='Point Data'!$D$2:$D$225),0)),"")</f>
        <v/>
      </c>
      <c r="D17" s="106" t="str">
        <f t="array" ref="D17">IF(A17&lt;=$A$2,INDEX('Point Data'!$AP$2:$AP$225,MATCH(1,($B$2='Point Data'!$B$2:$B$225)*($A17='Point Data'!$D$2:$D$225),0)),"")</f>
        <v/>
      </c>
      <c r="E17" s="106" t="str">
        <f t="array" ref="E17">IF(A17&lt;=$A$2,INDEX('Point Data'!$AQ$2:$AQ$225,MATCH(1,($B$2='Point Data'!$B$2:$B$225)*($A17='Point Data'!$D$2:$D$225),0)),"")</f>
        <v/>
      </c>
      <c r="F17" s="106" t="str">
        <f t="array" ref="F17">IF(A17&lt;=$A$2,INDEX('Point Data'!$E$2:$E$225,MATCH(1,($F$2='Point Data'!$B$2:$B$225)*($A17='Point Data'!$D$2:$D$225),0)),"")</f>
        <v>Team 15</v>
      </c>
      <c r="G17" s="98" t="str">
        <f t="array" aca="1" ref="G17" ca="1">IF(A17&lt;=$A$2,INDEX('Point Data'!$K$2:$K$225,MATCH(1,($F$2='Point Data'!$B$2:$B$225)*($A17='Point Data'!$D$2:$D$225),0)),"")</f>
        <v/>
      </c>
      <c r="H17" s="54" t="str">
        <f t="array" ref="H17">IF(A17&lt;=$A$2,INDEX('Point Data'!$AR$2:$AR$225,MATCH(1,($F$2='Point Data'!$B$2:$B$225)*($A17='Point Data'!$D$2:$D$225),0)),"")</f>
        <v/>
      </c>
      <c r="I17" s="113" t="str">
        <f t="array" ref="I17">IF(A17&lt;=$A$2,INDEX('Point Data'!$AS$2:$AS$225,MATCH(1,($F$2='Point Data'!$B$2:$B$225)*($A17='Point Data'!$D$2:$D$225),0)),"")</f>
        <v/>
      </c>
      <c r="J17" s="98">
        <f t="array" ref="J17">IF(A17&lt;=$A$2,AVERAGEIFS('ESPN Data'!$D$3:$D$225,'ESPN Data'!$A$3:$A$225,'Record Comparison'!$A17),"")</f>
        <v>105.09600000000002</v>
      </c>
      <c r="K17" s="98">
        <f t="array" ref="K17">IF(A17&lt;=$A$2,AVERAGEIFS('ESPN Data'!$D$3:$D$225,'ESPN Data'!$A$3:$A$225,"&lt;"&amp;'Record Comparison'!A17+1),"")</f>
        <v>102.08331838565022</v>
      </c>
      <c r="L17" s="54">
        <f t="array" aca="1" ref="L17" ca="1">IF(A17&gt;$A$2,"",IF($B17=$F17,INDEX('Point Data'!$U$2:$U$225,MATCH(1,(B17='Point Data'!$B$2:$B$225)*($A17='Point Data'!$D$2:$D$225),0)),IF($C17=$G17,0.5,IF($C17&gt;$G17,1,0))))</f>
        <v>0.5</v>
      </c>
    </row>
    <row r="18" spans="1:14" ht="16" thickBot="1">
      <c r="A18" s="649" t="s">
        <v>61</v>
      </c>
      <c r="B18" s="650"/>
      <c r="C18" s="500" t="str">
        <f ca="1">ROUND(AVERAGE(C4:C16),1)&amp;"/"&amp;ROUND(SUM(C4:C16),1)</f>
        <v>99.9/1298.9</v>
      </c>
      <c r="D18" s="155">
        <f ca="1">AVERAGE(D4:D17)</f>
        <v>8.7692307692307701</v>
      </c>
      <c r="E18" s="155">
        <f ca="1">AVERAGE(E4:E17)</f>
        <v>10.833333333333334</v>
      </c>
      <c r="F18" s="156"/>
      <c r="G18" s="500" t="str">
        <f ca="1">ROUND(AVERAGE(G4:G16),1)&amp;"/"&amp;ROUND(SUM(G4:G16),1)</f>
        <v>112.4/1460.9</v>
      </c>
      <c r="H18" s="154">
        <f ca="1">AVERAGE(H4:H17)</f>
        <v>7.384615384615385</v>
      </c>
      <c r="I18" s="154">
        <f ca="1">AVERAGE(I4:I17)</f>
        <v>8</v>
      </c>
      <c r="J18" s="154">
        <f t="shared" ref="J18:K18" si="1">AVERAGE(J4:J16)</f>
        <v>101.86605769230771</v>
      </c>
      <c r="K18" s="154">
        <f t="shared" si="1"/>
        <v>104.70667742298214</v>
      </c>
      <c r="L18" s="157" t="str">
        <f ca="1">IF(SUMIF(L4:L17,0.5)=0,SUMIF(L4:L17,1)&amp;"-"&amp;COUNTIF(L4:L17,0),SUMIF(L4:L17,1)&amp;"-"&amp;COUNTIF(L4:L17,0)&amp;"-"&amp;COUNTIF(L4:L17,0.5))</f>
        <v>4-9-1</v>
      </c>
    </row>
    <row r="19" spans="1:14" ht="16" thickBot="1">
      <c r="A19" s="642" t="s">
        <v>149</v>
      </c>
      <c r="B19" s="643"/>
      <c r="C19" s="643"/>
      <c r="D19" s="643"/>
      <c r="E19" s="643"/>
      <c r="F19" s="643"/>
      <c r="G19" s="643"/>
      <c r="H19" s="643"/>
      <c r="I19" s="643"/>
      <c r="J19" s="643"/>
      <c r="K19" s="643"/>
      <c r="L19" s="644"/>
    </row>
    <row r="20" spans="1:14">
      <c r="B20" s="17"/>
      <c r="C20" s="17"/>
      <c r="D20" s="17"/>
      <c r="E20" s="17"/>
      <c r="F20" s="17"/>
    </row>
    <row r="21" spans="1:14" ht="16" thickBot="1">
      <c r="B21" s="17"/>
      <c r="C21" s="17"/>
      <c r="D21" s="17"/>
      <c r="E21" s="17"/>
      <c r="F21" s="17"/>
      <c r="N21" s="141"/>
    </row>
    <row r="22" spans="1:14" ht="16" thickBot="1">
      <c r="B22" s="35" t="s">
        <v>5</v>
      </c>
      <c r="C22" s="504" t="s">
        <v>150</v>
      </c>
      <c r="D22" s="504" t="s">
        <v>40</v>
      </c>
      <c r="E22" s="504" t="s">
        <v>60</v>
      </c>
      <c r="F22" s="17"/>
      <c r="N22" s="141"/>
    </row>
    <row r="23" spans="1:14">
      <c r="B23" s="505" t="str">
        <f>'Point Data'!$B$2</f>
        <v>Team 1</v>
      </c>
      <c r="C23" s="509" t="str">
        <f t="array" ref="C23">INDEX('Point Data'!$G$2:$G$225,MATCH(1,($A$2='Point Data'!$D$2:$D$225)*($B23='Point Data'!$B$2:$B$225),0))</f>
        <v/>
      </c>
      <c r="D23" s="510" t="str">
        <f t="array" ref="D23">INDEX('Point Data'!$AQ$2:$AQ$225,MATCH(1,($A$2='Point Data'!$D$2:$D$225)*($B23='Point Data'!$B$2:$B$225),0))</f>
        <v/>
      </c>
      <c r="E23" s="511" t="str">
        <f t="array" ref="E23">INDEX('Point Data'!$AS$2:$AS$225,MATCH(1,($A$2='Point Data'!$D$2:$D$225)*($B23='Point Data'!$B$2:$B$225),0))</f>
        <v/>
      </c>
      <c r="F23" s="17"/>
      <c r="N23" s="141"/>
    </row>
    <row r="24" spans="1:14">
      <c r="B24" s="506" t="str">
        <f>'Point Data'!$B$16</f>
        <v>Team 2</v>
      </c>
      <c r="C24" s="512" t="str">
        <f t="array" ref="C24">INDEX('Point Data'!$G$2:$G$225,MATCH(1,($A$2='Point Data'!$D$2:$D$225)*($B24='Point Data'!$B$2:$B$225),0))</f>
        <v/>
      </c>
      <c r="D24" s="1" t="str">
        <f t="array" ref="D24">INDEX('Point Data'!$AQ$2:$AQ$225,MATCH(1,($A$2='Point Data'!$D$2:$D$225)*($B24='Point Data'!$B$2:$B$225),0))</f>
        <v/>
      </c>
      <c r="E24" s="513" t="str">
        <f t="array" ref="E24">INDEX('Point Data'!$AS$2:$AS$225,MATCH(1,($A$2='Point Data'!$D$2:$D$225)*($B24='Point Data'!$B$2:$B$225),0))</f>
        <v/>
      </c>
      <c r="F24" s="17"/>
      <c r="N24" s="141"/>
    </row>
    <row r="25" spans="1:14">
      <c r="B25" s="506" t="str">
        <f>'Point Data'!$B$30</f>
        <v>Team 3</v>
      </c>
      <c r="C25" s="512" t="str">
        <f t="array" ref="C25">INDEX('Point Data'!$G$2:$G$225,MATCH(1,($A$2='Point Data'!$D$2:$D$225)*($B25='Point Data'!$B$2:$B$225),0))</f>
        <v/>
      </c>
      <c r="D25" s="1" t="str">
        <f t="array" ref="D25">INDEX('Point Data'!$AQ$2:$AQ$225,MATCH(1,($A$2='Point Data'!$D$2:$D$225)*($B25='Point Data'!$B$2:$B$225),0))</f>
        <v/>
      </c>
      <c r="E25" s="513" t="str">
        <f t="array" ref="E25">INDEX('Point Data'!$AS$2:$AS$225,MATCH(1,($A$2='Point Data'!$D$2:$D$225)*($B25='Point Data'!$B$2:$B$225),0))</f>
        <v/>
      </c>
      <c r="F25" s="92"/>
      <c r="K25" s="141"/>
      <c r="N25" s="141"/>
    </row>
    <row r="26" spans="1:14">
      <c r="B26" s="506" t="str">
        <f>'Point Data'!$B$44</f>
        <v>Team 4</v>
      </c>
      <c r="C26" s="512" t="str">
        <f t="array" ref="C26">INDEX('Point Data'!$G$2:$G$225,MATCH(1,($A$2='Point Data'!$D$2:$D$225)*($B26='Point Data'!$B$2:$B$225),0))</f>
        <v/>
      </c>
      <c r="D26" s="1" t="str">
        <f t="array" ref="D26">INDEX('Point Data'!$AQ$2:$AQ$225,MATCH(1,($A$2='Point Data'!$D$2:$D$225)*($B26='Point Data'!$B$2:$B$225),0))</f>
        <v/>
      </c>
      <c r="E26" s="513" t="str">
        <f t="array" ref="E26">INDEX('Point Data'!$AS$2:$AS$225,MATCH(1,($A$2='Point Data'!$D$2:$D$225)*($B26='Point Data'!$B$2:$B$225),0))</f>
        <v/>
      </c>
      <c r="F26" s="92"/>
      <c r="K26" s="141"/>
    </row>
    <row r="27" spans="1:14">
      <c r="B27" s="506" t="str">
        <f>'Point Data'!$B$58</f>
        <v>Team 5</v>
      </c>
      <c r="C27" s="512" t="str">
        <f t="array" ref="C27">INDEX('Point Data'!$G$2:$G$225,MATCH(1,($A$2='Point Data'!$D$2:$D$225)*($B27='Point Data'!$B$2:$B$225),0))</f>
        <v/>
      </c>
      <c r="D27" s="1" t="str">
        <f t="array" ref="D27">INDEX('Point Data'!$AQ$2:$AQ$225,MATCH(1,($A$2='Point Data'!$D$2:$D$225)*($B27='Point Data'!$B$2:$B$225),0))</f>
        <v/>
      </c>
      <c r="E27" s="513" t="str">
        <f t="array" ref="E27">INDEX('Point Data'!$AS$2:$AS$225,MATCH(1,($A$2='Point Data'!$D$2:$D$225)*($B27='Point Data'!$B$2:$B$225),0))</f>
        <v/>
      </c>
      <c r="F27" s="92"/>
      <c r="K27" s="141"/>
      <c r="N27" s="141"/>
    </row>
    <row r="28" spans="1:14">
      <c r="B28" s="506" t="str">
        <f>'Point Data'!$B$72</f>
        <v>Team 6</v>
      </c>
      <c r="C28" s="512" t="str">
        <f t="array" ref="C28">INDEX('Point Data'!$G$2:$G$225,MATCH(1,($A$2='Point Data'!$D$2:$D$225)*($B28='Point Data'!$B$2:$B$225),0))</f>
        <v/>
      </c>
      <c r="D28" s="1" t="str">
        <f t="array" ref="D28">INDEX('Point Data'!$AQ$2:$AQ$225,MATCH(1,($A$2='Point Data'!$D$2:$D$225)*($B28='Point Data'!$B$2:$B$225),0))</f>
        <v/>
      </c>
      <c r="E28" s="513" t="str">
        <f t="array" ref="E28">INDEX('Point Data'!$AS$2:$AS$225,MATCH(1,($A$2='Point Data'!$D$2:$D$225)*($B28='Point Data'!$B$2:$B$225),0))</f>
        <v/>
      </c>
      <c r="F28" s="92"/>
      <c r="K28" s="141"/>
      <c r="N28" s="141"/>
    </row>
    <row r="29" spans="1:14">
      <c r="B29" s="506" t="str">
        <f>'Point Data'!$B$86</f>
        <v>Team 7</v>
      </c>
      <c r="C29" s="512" t="str">
        <f t="array" ref="C29">INDEX('Point Data'!$G$2:$G$225,MATCH(1,($A$2='Point Data'!$D$2:$D$225)*($B29='Point Data'!$B$2:$B$225),0))</f>
        <v/>
      </c>
      <c r="D29" s="1" t="str">
        <f t="array" ref="D29">INDEX('Point Data'!$AQ$2:$AQ$225,MATCH(1,($A$2='Point Data'!$D$2:$D$225)*($B29='Point Data'!$B$2:$B$225),0))</f>
        <v/>
      </c>
      <c r="E29" s="513" t="str">
        <f t="array" ref="E29">INDEX('Point Data'!$AS$2:$AS$225,MATCH(1,($A$2='Point Data'!$D$2:$D$225)*($B29='Point Data'!$B$2:$B$225),0))</f>
        <v/>
      </c>
      <c r="F29" s="92"/>
      <c r="K29" s="141"/>
      <c r="N29" s="141"/>
    </row>
    <row r="30" spans="1:14">
      <c r="B30" s="506" t="str">
        <f>'Point Data'!$B$100</f>
        <v>Team 8</v>
      </c>
      <c r="C30" s="512" t="str">
        <f t="array" ref="C30">INDEX('Point Data'!$G$2:$G$225,MATCH(1,($A$2='Point Data'!$D$2:$D$225)*($B30='Point Data'!$B$2:$B$225),0))</f>
        <v/>
      </c>
      <c r="D30" s="1" t="str">
        <f t="array" ref="D30">INDEX('Point Data'!$AQ$2:$AQ$225,MATCH(1,($A$2='Point Data'!$D$2:$D$225)*($B30='Point Data'!$B$2:$B$225),0))</f>
        <v/>
      </c>
      <c r="E30" s="513" t="str">
        <f t="array" ref="E30">INDEX('Point Data'!$AS$2:$AS$225,MATCH(1,($A$2='Point Data'!$D$2:$D$225)*($B30='Point Data'!$B$2:$B$225),0))</f>
        <v/>
      </c>
      <c r="F30" s="92"/>
      <c r="K30" s="141"/>
    </row>
    <row r="31" spans="1:14">
      <c r="B31" s="507" t="str">
        <f>'Point Data'!$B$114</f>
        <v>Team 9</v>
      </c>
      <c r="C31" s="512" t="str">
        <f t="array" ref="C31">INDEX('Point Data'!$G$2:$G$225,MATCH(1,($A$2='Point Data'!$D$2:$D$225)*($B31='Point Data'!$B$2:$B$225),0))</f>
        <v/>
      </c>
      <c r="D31" s="1" t="str">
        <f t="array" ref="D31">INDEX('Point Data'!$AQ$2:$AQ$225,MATCH(1,($A$2='Point Data'!$D$2:$D$225)*($B31='Point Data'!$B$2:$B$225),0))</f>
        <v/>
      </c>
      <c r="E31" s="513" t="str">
        <f t="array" ref="E31">INDEX('Point Data'!$AS$2:$AS$225,MATCH(1,($A$2='Point Data'!$D$2:$D$225)*($B31='Point Data'!$B$2:$B$225),0))</f>
        <v/>
      </c>
      <c r="F31" s="92"/>
      <c r="K31" s="141"/>
    </row>
    <row r="32" spans="1:14">
      <c r="B32" s="507" t="str">
        <f>'Point Data'!$B$128</f>
        <v>Team 10</v>
      </c>
      <c r="C32" s="512" t="str">
        <f t="array" ref="C32">INDEX('Point Data'!$G$2:$G$225,MATCH(1,($A$2='Point Data'!$D$2:$D$225)*($B32='Point Data'!$B$2:$B$225),0))</f>
        <v/>
      </c>
      <c r="D32" s="1" t="str">
        <f t="array" ref="D32">INDEX('Point Data'!$AQ$2:$AQ$225,MATCH(1,($A$2='Point Data'!$D$2:$D$225)*($B32='Point Data'!$B$2:$B$225),0))</f>
        <v/>
      </c>
      <c r="E32" s="513" t="str">
        <f t="array" ref="E32">INDEX('Point Data'!$AS$2:$AS$225,MATCH(1,($A$2='Point Data'!$D$2:$D$225)*($B32='Point Data'!$B$2:$B$225),0))</f>
        <v/>
      </c>
      <c r="F32" s="92"/>
      <c r="K32" s="141"/>
    </row>
    <row r="33" spans="2:11" ht="16">
      <c r="B33" s="507" t="str">
        <f>'Point Data'!$B$142</f>
        <v>Team 11</v>
      </c>
      <c r="C33" s="512" t="str">
        <f t="array" ref="C33">INDEX('Point Data'!$G$2:$G$225,MATCH(1,($A$2='Point Data'!$D$2:$D$225)*($B33='Point Data'!$B$2:$B$225),0))</f>
        <v/>
      </c>
      <c r="D33" s="1" t="str">
        <f t="array" ref="D33">INDEX('Point Data'!$AQ$2:$AQ$225,MATCH(1,($A$2='Point Data'!$D$2:$D$225)*($B33='Point Data'!$B$2:$B$225),0))</f>
        <v/>
      </c>
      <c r="E33" s="513" t="str">
        <f t="array" ref="E33">INDEX('Point Data'!$AS$2:$AS$225,MATCH(1,($A$2='Point Data'!$D$2:$D$225)*($B33='Point Data'!$B$2:$B$225),0))</f>
        <v/>
      </c>
      <c r="F33" s="153"/>
      <c r="K33" s="141"/>
    </row>
    <row r="34" spans="2:11">
      <c r="B34" s="507" t="str">
        <f>'Point Data'!$B$156</f>
        <v>Team 12</v>
      </c>
      <c r="C34" s="512" t="str">
        <f t="array" ref="C34">INDEX('Point Data'!$G$2:$G$225,MATCH(1,($A$2='Point Data'!$D$2:$D$225)*($B34='Point Data'!$B$2:$B$225),0))</f>
        <v/>
      </c>
      <c r="D34" s="1" t="str">
        <f t="array" ref="D34">INDEX('Point Data'!$AQ$2:$AQ$225,MATCH(1,($A$2='Point Data'!$D$2:$D$225)*($B34='Point Data'!$B$2:$B$225),0))</f>
        <v/>
      </c>
      <c r="E34" s="513" t="str">
        <f t="array" ref="E34">INDEX('Point Data'!$AS$2:$AS$225,MATCH(1,($A$2='Point Data'!$D$2:$D$225)*($B34='Point Data'!$B$2:$B$225),0))</f>
        <v/>
      </c>
      <c r="F34" s="92"/>
      <c r="K34" s="141">
        <f t="array" aca="1" ref="K34" ca="1">IF(A14&gt;=$A$2,"",IF(F14=B14,INDEX('Point Data'!$U$2:$U$225,MATCH(1,(B14='Point Data'!$B$2:$B$225)*($A14='Point Data'!$D$2:$D$225),0)),IF(C14=G14,0.5,IF(C14&gt;G14,1,0))))</f>
        <v>1</v>
      </c>
    </row>
    <row r="35" spans="2:11">
      <c r="B35" s="507" t="str">
        <f>'Point Data'!$B$170</f>
        <v>Team 13</v>
      </c>
      <c r="C35" s="512" t="str">
        <f t="array" ref="C35">INDEX('Point Data'!$G$2:$G$225,MATCH(1,($A$2='Point Data'!$D$2:$D$225)*($B35='Point Data'!$B$2:$B$225),0))</f>
        <v/>
      </c>
      <c r="D35" s="1" t="str">
        <f t="array" ref="D35">INDEX('Point Data'!$AQ$2:$AQ$225,MATCH(1,($A$2='Point Data'!$D$2:$D$225)*($B35='Point Data'!$B$2:$B$225),0))</f>
        <v/>
      </c>
      <c r="E35" s="513" t="str">
        <f t="array" ref="E35">INDEX('Point Data'!$AS$2:$AS$225,MATCH(1,($A$2='Point Data'!$D$2:$D$225)*($B35='Point Data'!$B$2:$B$225),0))</f>
        <v/>
      </c>
      <c r="F35" s="92"/>
      <c r="K35" s="141">
        <f t="array" aca="1" ref="K35" ca="1">IF(A15&gt;=$A$2,"",IF(F15=B15,INDEX('Point Data'!$U$2:$U$225,MATCH(1,(B15='Point Data'!$B$2:$B$225)*($A15='Point Data'!$D$2:$D$225),0)),IF(C15=G15,0.5,IF(C15&gt;G15,1,0))))</f>
        <v>0</v>
      </c>
    </row>
    <row r="36" spans="2:11">
      <c r="B36" s="507" t="str">
        <f>'Point Data'!$B$184</f>
        <v>Team 14</v>
      </c>
      <c r="C36" s="512" t="str">
        <f t="array" ref="C36">INDEX('Point Data'!$G$2:$G$225,MATCH(1,($A$2='Point Data'!$D$2:$D$225)*($B36='Point Data'!$B$2:$B$225),0))</f>
        <v/>
      </c>
      <c r="D36" s="1" t="str">
        <f t="array" ref="D36">INDEX('Point Data'!$AQ$2:$AQ$225,MATCH(1,($A$2='Point Data'!$D$2:$D$225)*($B36='Point Data'!$B$2:$B$225),0))</f>
        <v/>
      </c>
      <c r="E36" s="513" t="str">
        <f t="array" ref="E36">INDEX('Point Data'!$AS$2:$AS$225,MATCH(1,($A$2='Point Data'!$D$2:$D$225)*($B36='Point Data'!$B$2:$B$225),0))</f>
        <v/>
      </c>
      <c r="F36" s="92"/>
      <c r="K36" s="141">
        <f t="array" aca="1" ref="K36" ca="1">IF(A16&gt;=$A$2,"",IF(F16=B16,INDEX('Point Data'!$U$2:$U$225,MATCH(1,(B16='Point Data'!$B$2:$B$225)*($A16='Point Data'!$D$2:$D$225),0)),IF(C16=G16,0.5,IF(C16&gt;G16,1,0))))</f>
        <v>0</v>
      </c>
    </row>
    <row r="37" spans="2:11">
      <c r="B37" s="507" t="str">
        <f>'Point Data'!$B$198</f>
        <v>Team 15</v>
      </c>
      <c r="C37" s="512" t="str">
        <f t="array" ref="C37">INDEX('Point Data'!$G$2:$G$225,MATCH(1,($A$2='Point Data'!$D$2:$D$225)*($B37='Point Data'!$B$2:$B$225),0))</f>
        <v/>
      </c>
      <c r="D37" s="1" t="str">
        <f t="array" ref="D37">INDEX('Point Data'!$AQ$2:$AQ$225,MATCH(1,($A$2='Point Data'!$D$2:$D$225)*($B37='Point Data'!$B$2:$B$225),0))</f>
        <v/>
      </c>
      <c r="E37" s="513" t="str">
        <f t="array" ref="E37">INDEX('Point Data'!$AS$2:$AS$225,MATCH(1,($A$2='Point Data'!$D$2:$D$225)*($B37='Point Data'!$B$2:$B$225),0))</f>
        <v/>
      </c>
      <c r="F37" s="92"/>
      <c r="K37" s="141" t="str">
        <f t="array" ref="K37">IF(A18&gt;=$A$2,"",IF(F18=B18,INDEX('Point Data'!$U$2:$U$225,MATCH(1,(B18='Point Data'!$B$2:$B$225)*($A18='Point Data'!$D$2:$D$225),0)),IF(C18=G18,0.5,IF(C18&gt;G18,1,0))))</f>
        <v/>
      </c>
    </row>
    <row r="38" spans="2:11" ht="16" thickBot="1">
      <c r="B38" s="508" t="str">
        <f>'Point Data'!$B$212</f>
        <v>Team 16</v>
      </c>
      <c r="C38" s="514" t="str">
        <f t="array" ref="C38">INDEX('Point Data'!$G$2:$G$225,MATCH(1,($A$2='Point Data'!$D$2:$D$225)*($B38='Point Data'!$B$2:$B$225),0))</f>
        <v/>
      </c>
      <c r="D38" s="515" t="str">
        <f t="array" ref="D38">INDEX('Point Data'!$AQ$2:$AQ$225,MATCH(1,($A$2='Point Data'!$D$2:$D$225)*($B38='Point Data'!$B$2:$B$225),0))</f>
        <v/>
      </c>
      <c r="E38" s="516" t="str">
        <f t="array" ref="E38">INDEX('Point Data'!$AS$2:$AS$225,MATCH(1,($A$2='Point Data'!$D$2:$D$225)*($B38='Point Data'!$B$2:$B$225),0))</f>
        <v/>
      </c>
      <c r="F38" s="92"/>
      <c r="K38" s="141"/>
    </row>
    <row r="39" spans="2:11">
      <c r="B39" s="17"/>
      <c r="C39" s="17"/>
      <c r="D39" s="17"/>
      <c r="E39" s="17"/>
      <c r="F39" s="92"/>
    </row>
    <row r="40" spans="2:11">
      <c r="B40" s="17"/>
      <c r="C40" s="17"/>
      <c r="D40" s="17"/>
      <c r="E40" s="17"/>
      <c r="F40" s="92"/>
    </row>
    <row r="41" spans="2:11">
      <c r="B41" s="17"/>
      <c r="C41" s="17"/>
      <c r="D41" s="17"/>
      <c r="E41" s="17"/>
      <c r="F41" s="17"/>
    </row>
    <row r="42" spans="2:11">
      <c r="B42" s="17"/>
      <c r="C42" s="17"/>
      <c r="D42" s="17"/>
      <c r="E42" s="17"/>
      <c r="F42" s="17"/>
    </row>
  </sheetData>
  <dataConsolidate function="countNums">
    <dataRefs count="1">
      <dataRef ref="A4:A16" sheet="Record Comparison"/>
    </dataRefs>
  </dataConsolidate>
  <mergeCells count="6">
    <mergeCell ref="A19:L19"/>
    <mergeCell ref="J2:K2"/>
    <mergeCell ref="L2:L3"/>
    <mergeCell ref="A18:B18"/>
    <mergeCell ref="D2:E2"/>
    <mergeCell ref="H2:I2"/>
  </mergeCells>
  <conditionalFormatting sqref="C23:C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3:D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:E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C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E1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:G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2" xr:uid="{096EC952-BBB8-A44E-A7E2-24D78B683635}">
      <formula1>"1,2,3,4,5,6,7,8,9,10,11,12,13,14,15,16"</formula1>
    </dataValidation>
  </dataValidations>
  <pageMargins left="0.7" right="0.7" top="0.75" bottom="0.75" header="0.3" footer="0.3"/>
  <pageSetup orientation="landscape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29A20-870A-DA45-A174-322295D340E1}">
          <x14:formula1>
            <xm:f>Ranks!$B$2:$B$17</xm:f>
          </x14:formula1>
          <xm:sqref>B2</xm:sqref>
        </x14:dataValidation>
        <x14:dataValidation type="list" allowBlank="1" showInputMessage="1" showErrorMessage="1" xr:uid="{83402A7D-4F92-304B-B85B-6E97C1C62A98}">
          <x14:formula1>
            <xm:f>'ESPN Data'!$L$4:$L$19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4D96A-84B5-4A41-B71E-6ED07C3A1E01}">
  <sheetPr codeName="Sheet4">
    <pageSetUpPr fitToPage="1"/>
  </sheetPr>
  <dimension ref="A1:T226"/>
  <sheetViews>
    <sheetView topLeftCell="D2" zoomScaleNormal="100" workbookViewId="0">
      <pane ySplit="1" topLeftCell="A3" activePane="bottomLeft" state="frozen"/>
      <selection activeCell="A2" sqref="A2"/>
      <selection pane="bottomLeft" activeCell="F3" sqref="F3"/>
    </sheetView>
  </sheetViews>
  <sheetFormatPr baseColWidth="10" defaultRowHeight="15"/>
  <cols>
    <col min="1" max="1" width="6.33203125" style="287" bestFit="1" customWidth="1"/>
    <col min="2" max="2" width="10.1640625" style="287" bestFit="1" customWidth="1"/>
    <col min="3" max="3" width="13.83203125" style="287" bestFit="1" customWidth="1"/>
    <col min="4" max="4" width="10.83203125" style="287"/>
    <col min="5" max="5" width="19" style="287" bestFit="1" customWidth="1"/>
    <col min="6" max="6" width="18" style="287" customWidth="1"/>
    <col min="7" max="7" width="16.83203125" style="287" customWidth="1"/>
    <col min="8" max="8" width="13.83203125" style="287" customWidth="1"/>
    <col min="9" max="9" width="14.33203125" style="287" customWidth="1"/>
    <col min="10" max="10" width="27.83203125" style="287" bestFit="1" customWidth="1"/>
    <col min="11" max="11" width="10.83203125" style="287"/>
    <col min="12" max="13" width="21.5" style="287" bestFit="1" customWidth="1"/>
    <col min="14" max="15" width="15" style="287" bestFit="1" customWidth="1"/>
    <col min="16" max="16384" width="10.83203125" style="287"/>
  </cols>
  <sheetData>
    <row r="1" spans="1:19" ht="16" hidden="1" thickBot="1">
      <c r="A1" s="285">
        <v>2</v>
      </c>
      <c r="B1" s="285">
        <v>1</v>
      </c>
      <c r="C1" s="419"/>
      <c r="D1" s="285">
        <v>3</v>
      </c>
      <c r="E1" s="285">
        <v>4</v>
      </c>
      <c r="F1" s="286">
        <v>9</v>
      </c>
      <c r="G1" s="286"/>
      <c r="H1" s="286">
        <v>8</v>
      </c>
      <c r="I1" s="286">
        <v>10</v>
      </c>
      <c r="K1" s="288"/>
      <c r="L1" s="289"/>
      <c r="M1" s="289"/>
      <c r="N1" s="289"/>
      <c r="O1" s="290"/>
      <c r="P1" s="290"/>
    </row>
    <row r="2" spans="1:19" ht="16" thickBot="1">
      <c r="A2" s="418" t="s">
        <v>33</v>
      </c>
      <c r="B2" s="413" t="s">
        <v>9</v>
      </c>
      <c r="C2" s="420" t="s">
        <v>20</v>
      </c>
      <c r="D2" s="291" t="s">
        <v>49</v>
      </c>
      <c r="E2" s="291" t="s">
        <v>50</v>
      </c>
      <c r="F2" s="292" t="s">
        <v>188</v>
      </c>
      <c r="G2" s="292" t="s">
        <v>187</v>
      </c>
      <c r="H2" s="291" t="s">
        <v>106</v>
      </c>
      <c r="I2" s="292" t="s">
        <v>107</v>
      </c>
      <c r="K2" s="293"/>
      <c r="L2" s="294"/>
    </row>
    <row r="3" spans="1:19">
      <c r="A3" s="277">
        <v>1</v>
      </c>
      <c r="B3" s="414" t="str">
        <f>$L$4</f>
        <v>Team 1</v>
      </c>
      <c r="C3" s="276" t="str">
        <f t="array" ref="C3">IFERROR(INDEX([1]Sheet1!$D$2:$D$113,MATCH(1,($B3= [1]Sheet1!$C$2:$C$113)*($A3=[1]Sheet1!$B$2:$B$113),0)),INDEX([1]Sheet1!$C$2:$C$113,MATCH(1,($B3= [1]Sheet1!$D$2:$D$113)*($A3=[1]Sheet1!$B$2:$B$113),0)))</f>
        <v>Team 6</v>
      </c>
      <c r="D3" s="295">
        <f t="array" ref="D3">IFERROR(INDEX([1]Sheet1!$E$2:$E$113,MATCH(1,($B3= [1]Sheet1!$C$2:$C$113)*($A3=[1]Sheet1!$B$2:$B$113),0)),INDEX([1]Sheet1!$F$2:$F$113,MATCH(1,($B3= [1]Sheet1!$D$2:$D$113)*($A3=[1]Sheet1!$B$2:$B$113),0)))</f>
        <v>106.84</v>
      </c>
      <c r="E3" s="295">
        <f t="array" ref="E3">IF($A3&gt;Standings!$Q$27,"",INDEX($D$3:$D$226,(MATCH(1,($B$3:$B$226=$C3)*($A$3:$A$226=$A3),0))))</f>
        <v>111.33</v>
      </c>
      <c r="F3" s="296">
        <f>IF(A3&gt;Standings!$Q$27,"",IFERROR(VLOOKUP($B3,'[2]Week 1 '!B$2:C$17,2,0),"No FAAB Entered"))</f>
        <v>3</v>
      </c>
      <c r="G3" s="296">
        <f>IF(A3&gt;Standings!$Q$27,"",H3-I3)</f>
        <v>3</v>
      </c>
      <c r="H3" s="296">
        <v>100</v>
      </c>
      <c r="I3" s="297">
        <f>IF(A3&gt;Standings!$Q$27,"",100-F3)</f>
        <v>97</v>
      </c>
      <c r="K3" s="298" t="s">
        <v>70</v>
      </c>
      <c r="L3" s="299" t="s">
        <v>51</v>
      </c>
      <c r="M3" s="344" t="s">
        <v>116</v>
      </c>
      <c r="N3" s="300" t="s">
        <v>86</v>
      </c>
      <c r="O3" s="409" t="s">
        <v>132</v>
      </c>
      <c r="P3" s="300"/>
      <c r="Q3" s="300"/>
      <c r="R3" s="301"/>
      <c r="S3" s="301"/>
    </row>
    <row r="4" spans="1:19" ht="16">
      <c r="A4" s="279">
        <v>1</v>
      </c>
      <c r="B4" s="415" t="str">
        <f>$L$5</f>
        <v>Team 2</v>
      </c>
      <c r="C4" s="278" t="str">
        <f t="array" ref="C4">IFERROR(INDEX([1]Sheet1!$D$2:$D$113,MATCH(1,($B4= [1]Sheet1!$C$2:$C$113)*($A4=[1]Sheet1!$B$2:$B$113),0)),INDEX([1]Sheet1!$C$2:$C$113,MATCH(1,($B4= [1]Sheet1!$D$2:$D$113)*($A4=[1]Sheet1!$B$2:$B$113),0)))</f>
        <v>Team 10</v>
      </c>
      <c r="D4" s="302">
        <f t="array" ref="D4">IFERROR(INDEX([1]Sheet1!$E$2:$E$113,MATCH(1,($B4= [1]Sheet1!$C$2:$C$113)*($A4=[1]Sheet1!$B$2:$B$113),0)),INDEX([1]Sheet1!$F$2:$F$113,MATCH(1,($B4= [1]Sheet1!$D$2:$D$113)*($A4=[1]Sheet1!$B$2:$B$113),0)))</f>
        <v>101.04</v>
      </c>
      <c r="E4" s="302">
        <f t="array" ref="E4">IF($A4&gt;Standings!$Q$27,"",INDEX($D$3:$D$226,(MATCH(1,($B$3:$B$226=$C4)*($A$3:$A$226=$A4),0))))</f>
        <v>95.97</v>
      </c>
      <c r="F4" s="303">
        <f>IF(A4&gt;Standings!$Q$27,"",IFERROR(VLOOKUP($B4,'[2]Week 1 '!B$2:C$17,2,0),"No FAAB Entered"))</f>
        <v>0</v>
      </c>
      <c r="G4" s="303">
        <f>IF(A4&gt;Standings!$Q$27,"",H4-I4)</f>
        <v>0</v>
      </c>
      <c r="H4" s="303">
        <v>100</v>
      </c>
      <c r="I4" s="304">
        <f>IF(A4&gt;Standings!$Q$27,"",100-F4)</f>
        <v>100</v>
      </c>
      <c r="K4" s="298">
        <v>1</v>
      </c>
      <c r="L4" s="402" t="s">
        <v>23</v>
      </c>
      <c r="M4" s="303" t="s">
        <v>108</v>
      </c>
      <c r="N4" s="555">
        <v>3</v>
      </c>
      <c r="O4" s="403">
        <v>13</v>
      </c>
      <c r="P4" s="306"/>
      <c r="Q4" s="306"/>
      <c r="R4" s="305"/>
      <c r="S4" s="305"/>
    </row>
    <row r="5" spans="1:19" ht="16">
      <c r="A5" s="279">
        <v>1</v>
      </c>
      <c r="B5" s="415" t="str">
        <f>$L$6</f>
        <v>Team 3</v>
      </c>
      <c r="C5" s="278" t="str">
        <f t="array" ref="C5">IFERROR(INDEX([1]Sheet1!$D$2:$D$113,MATCH(1,($B5= [1]Sheet1!$C$2:$C$113)*($A5=[1]Sheet1!$B$2:$B$113),0)),INDEX([1]Sheet1!$C$2:$C$113,MATCH(1,($B5= [1]Sheet1!$D$2:$D$113)*($A5=[1]Sheet1!$B$2:$B$113),0)))</f>
        <v>Team 8</v>
      </c>
      <c r="D5" s="302">
        <f t="array" ref="D5">IFERROR(INDEX([1]Sheet1!$E$2:$E$113,MATCH(1,($B5= [1]Sheet1!$C$2:$C$113)*($A5=[1]Sheet1!$B$2:$B$113),0)),INDEX([1]Sheet1!$F$2:$F$113,MATCH(1,($B5= [1]Sheet1!$D$2:$D$113)*($A5=[1]Sheet1!$B$2:$B$113),0)))</f>
        <v>103.84</v>
      </c>
      <c r="E5" s="302">
        <f t="array" ref="E5">IF($A5&gt;Standings!$Q$27,"",INDEX($D$3:$D$226,(MATCH(1,($B$3:$B$226=$C5)*($A$3:$A$226=$A5),0))))</f>
        <v>115.37</v>
      </c>
      <c r="F5" s="303">
        <f>IF(A5&gt;Standings!$Q$27,"",IFERROR(VLOOKUP($B5,'[2]Week 1 '!B$2:C$17,2,0),"No FAAB Entered"))</f>
        <v>0</v>
      </c>
      <c r="G5" s="303">
        <f>IF(A5&gt;Standings!$Q$27,"",H5-I5)</f>
        <v>0</v>
      </c>
      <c r="H5" s="303">
        <v>100</v>
      </c>
      <c r="I5" s="304">
        <f>IF(A5&gt;Standings!$Q$27,"",100-F5)</f>
        <v>100</v>
      </c>
      <c r="K5" s="298">
        <v>2</v>
      </c>
      <c r="L5" s="404" t="s">
        <v>24</v>
      </c>
      <c r="M5" s="303" t="s">
        <v>108</v>
      </c>
      <c r="N5" s="556">
        <v>10</v>
      </c>
      <c r="O5" s="303">
        <v>11</v>
      </c>
      <c r="P5" s="308"/>
      <c r="Q5" s="308"/>
      <c r="R5" s="307"/>
      <c r="S5" s="307"/>
    </row>
    <row r="6" spans="1:19" ht="16">
      <c r="A6" s="279">
        <v>1</v>
      </c>
      <c r="B6" s="415" t="str">
        <f>$L$7</f>
        <v>Team 4</v>
      </c>
      <c r="C6" s="278" t="str">
        <f t="array" ref="C6">IFERROR(INDEX([1]Sheet1!$D$2:$D$113,MATCH(1,($B6= [1]Sheet1!$C$2:$C$113)*($A6=[1]Sheet1!$B$2:$B$113),0)),INDEX([1]Sheet1!$C$2:$C$113,MATCH(1,($B6= [1]Sheet1!$D$2:$D$113)*($A6=[1]Sheet1!$B$2:$B$113),0)))</f>
        <v>Team 16</v>
      </c>
      <c r="D6" s="302">
        <f t="array" ref="D6">IFERROR(INDEX([1]Sheet1!$E$2:$E$113,MATCH(1,($B6= [1]Sheet1!$C$2:$C$113)*($A6=[1]Sheet1!$B$2:$B$113),0)),INDEX([1]Sheet1!$F$2:$F$113,MATCH(1,($B6= [1]Sheet1!$D$2:$D$113)*($A6=[1]Sheet1!$B$2:$B$113),0)))</f>
        <v>88.33</v>
      </c>
      <c r="E6" s="302">
        <f t="array" ref="E6">IF($A6&gt;Standings!$Q$27,"",INDEX($D$3:$D$226,(MATCH(1,($B$3:$B$226=$C6)*($A$3:$A$226=$A6),0))))</f>
        <v>84.93</v>
      </c>
      <c r="F6" s="303">
        <f>IF(A6&gt;Standings!$Q$27,"",IFERROR(VLOOKUP($B6,'[2]Week 1 '!B$2:C$17,2,0),"No FAAB Entered"))</f>
        <v>0</v>
      </c>
      <c r="G6" s="303">
        <f>IF(A6&gt;Standings!$Q$27,"",H6-I6)</f>
        <v>0</v>
      </c>
      <c r="H6" s="303">
        <v>100</v>
      </c>
      <c r="I6" s="304">
        <f>IF(A6&gt;Standings!$Q$27,"",100-F6)</f>
        <v>100</v>
      </c>
      <c r="K6" s="298">
        <v>3</v>
      </c>
      <c r="L6" s="402" t="s">
        <v>166</v>
      </c>
      <c r="M6" s="303" t="s">
        <v>108</v>
      </c>
      <c r="N6" s="555">
        <v>5</v>
      </c>
      <c r="O6" s="403">
        <v>1</v>
      </c>
      <c r="P6" s="308"/>
      <c r="Q6" s="308"/>
      <c r="R6" s="305"/>
      <c r="S6" s="305"/>
    </row>
    <row r="7" spans="1:19" ht="16">
      <c r="A7" s="279">
        <v>1</v>
      </c>
      <c r="B7" s="415" t="str">
        <f>$L$8</f>
        <v>Team 5</v>
      </c>
      <c r="C7" s="278" t="str">
        <f t="array" ref="C7">IFERROR(INDEX([1]Sheet1!$D$2:$D$113,MATCH(1,($B7= [1]Sheet1!$C$2:$C$113)*($A7=[1]Sheet1!$B$2:$B$113),0)),INDEX([1]Sheet1!$C$2:$C$113,MATCH(1,($B7= [1]Sheet1!$D$2:$D$113)*($A7=[1]Sheet1!$B$2:$B$113),0)))</f>
        <v>Team 11</v>
      </c>
      <c r="D7" s="302">
        <f t="array" ref="D7">IFERROR(INDEX([1]Sheet1!$E$2:$E$113,MATCH(1,($B7= [1]Sheet1!$C$2:$C$113)*($A7=[1]Sheet1!$B$2:$B$113),0)),INDEX([1]Sheet1!$F$2:$F$113,MATCH(1,($B7= [1]Sheet1!$D$2:$D$113)*($A7=[1]Sheet1!$B$2:$B$113),0)))</f>
        <v>96.78</v>
      </c>
      <c r="E7" s="302">
        <f t="array" ref="E7">IF($A7&gt;Standings!$Q$27,"",INDEX($D$3:$D$226,(MATCH(1,($B$3:$B$226=$C7)*($A$3:$A$226=$A7),0))))</f>
        <v>123.72</v>
      </c>
      <c r="F7" s="303">
        <f>IF(A7&gt;Standings!$Q$27,"",IFERROR(VLOOKUP($B7,'[2]Week 1 '!B$2:C$17,2,0),"No FAAB Entered"))</f>
        <v>0</v>
      </c>
      <c r="G7" s="303">
        <f>IF(A7&gt;Standings!$Q$27,"",H7-I7)</f>
        <v>0</v>
      </c>
      <c r="H7" s="303">
        <v>100</v>
      </c>
      <c r="I7" s="304">
        <f>IF(A7&gt;Standings!$Q$27,"",100-F7)</f>
        <v>100</v>
      </c>
      <c r="K7" s="298">
        <v>4</v>
      </c>
      <c r="L7" s="402" t="s">
        <v>167</v>
      </c>
      <c r="M7" s="303" t="s">
        <v>108</v>
      </c>
      <c r="N7" s="555">
        <v>9</v>
      </c>
      <c r="O7" s="410" t="s">
        <v>67</v>
      </c>
      <c r="P7" s="308"/>
      <c r="Q7" s="308"/>
      <c r="R7" s="305"/>
      <c r="S7" s="305"/>
    </row>
    <row r="8" spans="1:19" ht="16">
      <c r="A8" s="279">
        <v>1</v>
      </c>
      <c r="B8" s="415" t="str">
        <f>$L$9</f>
        <v>Team 6</v>
      </c>
      <c r="C8" s="278" t="str">
        <f t="array" ref="C8">IFERROR(INDEX([1]Sheet1!$D$2:$D$113,MATCH(1,($B8= [1]Sheet1!$C$2:$C$113)*($A8=[1]Sheet1!$B$2:$B$113),0)),INDEX([1]Sheet1!$C$2:$C$113,MATCH(1,($B8= [1]Sheet1!$D$2:$D$113)*($A8=[1]Sheet1!$B$2:$B$113),0)))</f>
        <v>Team 1</v>
      </c>
      <c r="D8" s="302">
        <f t="array" ref="D8">IFERROR(INDEX([1]Sheet1!$E$2:$E$113,MATCH(1,($B8= [1]Sheet1!$C$2:$C$113)*($A8=[1]Sheet1!$B$2:$B$113),0)),INDEX([1]Sheet1!$F$2:$F$113,MATCH(1,($B8= [1]Sheet1!$D$2:$D$113)*($A8=[1]Sheet1!$B$2:$B$113),0)))</f>
        <v>111.33</v>
      </c>
      <c r="E8" s="302">
        <f t="array" ref="E8">IF($A8&gt;Standings!$Q$27,"",INDEX($D$3:$D$226,(MATCH(1,($B$3:$B$226=$C8)*($A$3:$A$226=$A8),0))))</f>
        <v>106.84</v>
      </c>
      <c r="F8" s="303">
        <f>IF(A8&gt;Standings!$Q$27,"",IFERROR(VLOOKUP($B8,'[2]Week 1 '!B$2:C$17,2,0),"No FAAB Entered"))</f>
        <v>0</v>
      </c>
      <c r="G8" s="303">
        <f>IF(A8&gt;Standings!$Q$27,"",H8-I8)</f>
        <v>0</v>
      </c>
      <c r="H8" s="303">
        <v>100</v>
      </c>
      <c r="I8" s="304">
        <f>IF(A8&gt;Standings!$Q$27,"",100-F8)</f>
        <v>100</v>
      </c>
      <c r="K8" s="298">
        <v>5</v>
      </c>
      <c r="L8" s="402" t="s">
        <v>168</v>
      </c>
      <c r="M8" s="303" t="s">
        <v>108</v>
      </c>
      <c r="N8" s="555">
        <v>15</v>
      </c>
      <c r="O8" s="403">
        <v>7</v>
      </c>
      <c r="P8" s="308"/>
      <c r="Q8" s="308"/>
      <c r="R8" s="305"/>
      <c r="S8" s="305"/>
    </row>
    <row r="9" spans="1:19" ht="16">
      <c r="A9" s="279">
        <v>1</v>
      </c>
      <c r="B9" s="415" t="str">
        <f>$L$10</f>
        <v>Team 7</v>
      </c>
      <c r="C9" s="278" t="str">
        <f t="array" ref="C9">IFERROR(INDEX([1]Sheet1!$D$2:$D$113,MATCH(1,($B9= [1]Sheet1!$C$2:$C$113)*($A9=[1]Sheet1!$B$2:$B$113),0)),INDEX([1]Sheet1!$C$2:$C$113,MATCH(1,($B9= [1]Sheet1!$D$2:$D$113)*($A9=[1]Sheet1!$B$2:$B$113),0)))</f>
        <v>Team 12</v>
      </c>
      <c r="D9" s="302">
        <f t="array" ref="D9">IFERROR(INDEX([1]Sheet1!$E$2:$E$113,MATCH(1,($B9= [1]Sheet1!$C$2:$C$113)*($A9=[1]Sheet1!$B$2:$B$113),0)),INDEX([1]Sheet1!$F$2:$F$113,MATCH(1,($B9= [1]Sheet1!$D$2:$D$113)*($A9=[1]Sheet1!$B$2:$B$113),0)))</f>
        <v>103.56</v>
      </c>
      <c r="E9" s="302">
        <f t="array" ref="E9">IF($A9&gt;Standings!$Q$27,"",INDEX($D$3:$D$226,(MATCH(1,($B$3:$B$226=$C9)*($A$3:$A$226=$A9),0))))</f>
        <v>97.6</v>
      </c>
      <c r="F9" s="303">
        <f>IF(A9&gt;Standings!$Q$27,"",IFERROR(VLOOKUP($B9,'[2]Week 1 '!B$2:C$17,2,0),"No FAAB Entered"))</f>
        <v>0</v>
      </c>
      <c r="G9" s="303">
        <f>IF(A9&gt;Standings!$Q$27,"",H9-I9)</f>
        <v>0</v>
      </c>
      <c r="H9" s="303">
        <v>100</v>
      </c>
      <c r="I9" s="304">
        <f>IF(A9&gt;Standings!$Q$27,"",100-F9)</f>
        <v>100</v>
      </c>
      <c r="K9" s="298">
        <v>6</v>
      </c>
      <c r="L9" s="402" t="s">
        <v>169</v>
      </c>
      <c r="M9" s="303" t="s">
        <v>108</v>
      </c>
      <c r="N9" s="555">
        <v>16</v>
      </c>
      <c r="O9" s="403">
        <v>5</v>
      </c>
      <c r="P9" s="308"/>
      <c r="Q9" s="308"/>
      <c r="R9" s="305"/>
      <c r="S9" s="305"/>
    </row>
    <row r="10" spans="1:19" ht="16">
      <c r="A10" s="279">
        <v>1</v>
      </c>
      <c r="B10" s="415" t="str">
        <f>$L$11</f>
        <v>Team 8</v>
      </c>
      <c r="C10" s="278" t="str">
        <f t="array" ref="C10">IFERROR(INDEX([1]Sheet1!$D$2:$D$113,MATCH(1,($B10= [1]Sheet1!$C$2:$C$113)*($A10=[1]Sheet1!$B$2:$B$113),0)),INDEX([1]Sheet1!$C$2:$C$113,MATCH(1,($B10= [1]Sheet1!$D$2:$D$113)*($A10=[1]Sheet1!$B$2:$B$113),0)))</f>
        <v>Team 3</v>
      </c>
      <c r="D10" s="302">
        <f t="array" ref="D10">IFERROR(INDEX([1]Sheet1!$E$2:$E$113,MATCH(1,($B10= [1]Sheet1!$C$2:$C$113)*($A10=[1]Sheet1!$B$2:$B$113),0)),INDEX([1]Sheet1!$F$2:$F$113,MATCH(1,($B10= [1]Sheet1!$D$2:$D$113)*($A10=[1]Sheet1!$B$2:$B$113),0)))</f>
        <v>115.37</v>
      </c>
      <c r="E10" s="302">
        <f t="array" ref="E10">IF($A10&gt;Standings!$Q$27,"",INDEX($D$3:$D$226,(MATCH(1,($B$3:$B$226=$C10)*($A$3:$A$226=$A10),0))))</f>
        <v>103.84</v>
      </c>
      <c r="F10" s="303">
        <f>IF(A10&gt;Standings!$Q$27,"",IFERROR(VLOOKUP($B10,'[2]Week 1 '!B$2:C$17,2,0),"No FAAB Entered"))</f>
        <v>0</v>
      </c>
      <c r="G10" s="303">
        <f>IF(A10&gt;Standings!$Q$27,"",H10-I10)</f>
        <v>0</v>
      </c>
      <c r="H10" s="303">
        <v>100</v>
      </c>
      <c r="I10" s="304">
        <f>IF(A10&gt;Standings!$Q$27,"",100-F10)</f>
        <v>100</v>
      </c>
      <c r="K10" s="298">
        <v>7</v>
      </c>
      <c r="L10" s="402" t="s">
        <v>170</v>
      </c>
      <c r="M10" s="303" t="s">
        <v>108</v>
      </c>
      <c r="N10" s="555">
        <v>2</v>
      </c>
      <c r="O10" s="403">
        <v>9</v>
      </c>
      <c r="P10" s="308"/>
      <c r="Q10" s="308"/>
      <c r="R10" s="305"/>
      <c r="S10" s="305"/>
    </row>
    <row r="11" spans="1:19" ht="16">
      <c r="A11" s="281">
        <v>1</v>
      </c>
      <c r="B11" s="416" t="str">
        <f>$L$12</f>
        <v>Team 9</v>
      </c>
      <c r="C11" s="280" t="str">
        <f t="array" ref="C11">IFERROR(INDEX([1]Sheet1!$D$2:$D$113,MATCH(1,($B11= [1]Sheet1!$C$2:$C$113)*($A11=[1]Sheet1!$B$2:$B$113),0)),INDEX([1]Sheet1!$C$2:$C$113,MATCH(1,($B11= [1]Sheet1!$D$2:$D$113)*($A11=[1]Sheet1!$B$2:$B$113),0)))</f>
        <v>Team 15</v>
      </c>
      <c r="D11" s="309">
        <f t="array" ref="D11">IFERROR(INDEX([1]Sheet1!$E$2:$E$113,MATCH(1,($B11= [1]Sheet1!$C$2:$C$113)*($A11=[1]Sheet1!$B$2:$B$113),0)),INDEX([1]Sheet1!$F$2:$F$113,MATCH(1,($B11= [1]Sheet1!$D$2:$D$113)*($A11=[1]Sheet1!$B$2:$B$113),0)))</f>
        <v>150.91999999999999</v>
      </c>
      <c r="E11" s="309">
        <f t="array" ref="E11">IF($A11&gt;Standings!$Q$27,"",INDEX($D$3:$D$226,(MATCH(1,($B$3:$B$226=$C11)*($A$3:$A$226=$A11),0))))</f>
        <v>114.82</v>
      </c>
      <c r="F11" s="310">
        <f>IF(A11&gt;Standings!$Q$27,"",IFERROR(VLOOKUP($B11,'[2]Week 1 '!B$2:C$17,2,0),"No FAAB Entered"))</f>
        <v>0</v>
      </c>
      <c r="G11" s="310">
        <f>IF(A11&gt;Standings!$Q$27,"",H11-I11)</f>
        <v>0</v>
      </c>
      <c r="H11" s="310">
        <v>100</v>
      </c>
      <c r="I11" s="311">
        <f>IF(A11&gt;Standings!$Q$27,"",100-F11)</f>
        <v>100</v>
      </c>
      <c r="K11" s="298">
        <v>8</v>
      </c>
      <c r="L11" s="408" t="s">
        <v>171</v>
      </c>
      <c r="M11" s="303" t="s">
        <v>108</v>
      </c>
      <c r="N11" s="557">
        <v>11</v>
      </c>
      <c r="O11" s="403">
        <v>3</v>
      </c>
      <c r="P11" s="308"/>
      <c r="Q11" s="308"/>
      <c r="R11" s="305"/>
      <c r="S11" s="305"/>
    </row>
    <row r="12" spans="1:19" ht="16">
      <c r="A12" s="281">
        <v>1</v>
      </c>
      <c r="B12" s="416" t="str">
        <f>$L$13</f>
        <v>Team 10</v>
      </c>
      <c r="C12" s="280" t="str">
        <f t="array" ref="C12">IFERROR(INDEX([1]Sheet1!$D$2:$D$113,MATCH(1,($B12= [1]Sheet1!$C$2:$C$113)*($A12=[1]Sheet1!$B$2:$B$113),0)),INDEX([1]Sheet1!$C$2:$C$113,MATCH(1,($B12= [1]Sheet1!$D$2:$D$113)*($A12=[1]Sheet1!$B$2:$B$113),0)))</f>
        <v>Team 2</v>
      </c>
      <c r="D12" s="309">
        <f t="array" ref="D12">IFERROR(INDEX([1]Sheet1!$E$2:$E$113,MATCH(1,($B12= [1]Sheet1!$C$2:$C$113)*($A12=[1]Sheet1!$B$2:$B$113),0)),INDEX([1]Sheet1!$F$2:$F$113,MATCH(1,($B12= [1]Sheet1!$D$2:$D$113)*($A12=[1]Sheet1!$B$2:$B$113),0)))</f>
        <v>95.97</v>
      </c>
      <c r="E12" s="309">
        <f t="array" ref="E12">IF($A12&gt;Standings!$Q$27,"",INDEX($D$3:$D$226,(MATCH(1,($B$3:$B$226=$C12)*($A$3:$A$226=$A12),0))))</f>
        <v>101.04</v>
      </c>
      <c r="F12" s="310">
        <f>IF(A12&gt;Standings!$Q$27,"",IFERROR(VLOOKUP($B12,'[2]Week 1 '!B$2:C$17,2,0),"No FAAB Entered"))</f>
        <v>0</v>
      </c>
      <c r="G12" s="310">
        <f>IF(A12&gt;Standings!$Q$27,"",H12-I12)</f>
        <v>0</v>
      </c>
      <c r="H12" s="310">
        <v>100</v>
      </c>
      <c r="I12" s="311">
        <f>IF(A12&gt;Standings!$Q$27,"",100-F12)</f>
        <v>100</v>
      </c>
      <c r="K12" s="298">
        <v>9</v>
      </c>
      <c r="L12" s="405" t="s">
        <v>172</v>
      </c>
      <c r="M12" s="310" t="s">
        <v>109</v>
      </c>
      <c r="N12" s="558">
        <v>1</v>
      </c>
      <c r="O12" s="406">
        <v>4</v>
      </c>
      <c r="P12" s="308"/>
      <c r="Q12" s="308"/>
      <c r="R12" s="305"/>
      <c r="S12" s="305"/>
    </row>
    <row r="13" spans="1:19" ht="16">
      <c r="A13" s="281">
        <v>1</v>
      </c>
      <c r="B13" s="416" t="str">
        <f>$L$14</f>
        <v>Team 11</v>
      </c>
      <c r="C13" s="280" t="str">
        <f t="array" ref="C13">IFERROR(INDEX([1]Sheet1!$D$2:$D$113,MATCH(1,($B13= [1]Sheet1!$C$2:$C$113)*($A13=[1]Sheet1!$B$2:$B$113),0)),INDEX([1]Sheet1!$C$2:$C$113,MATCH(1,($B13= [1]Sheet1!$D$2:$D$113)*($A13=[1]Sheet1!$B$2:$B$113),0)))</f>
        <v>Team 5</v>
      </c>
      <c r="D13" s="309">
        <f t="array" ref="D13">IFERROR(INDEX([1]Sheet1!$E$2:$E$113,MATCH(1,($B13= [1]Sheet1!$C$2:$C$113)*($A13=[1]Sheet1!$B$2:$B$113),0)),INDEX([1]Sheet1!$F$2:$F$113,MATCH(1,($B13= [1]Sheet1!$D$2:$D$113)*($A13=[1]Sheet1!$B$2:$B$113),0)))</f>
        <v>123.72</v>
      </c>
      <c r="E13" s="309">
        <f t="array" ref="E13">IF($A13&gt;Standings!$Q$27,"",INDEX($D$3:$D$226,(MATCH(1,($B$3:$B$226=$C13)*($A$3:$A$226=$A13),0))))</f>
        <v>96.78</v>
      </c>
      <c r="F13" s="310">
        <f>IF(A13&gt;Standings!$Q$27,"",IFERROR(VLOOKUP($B13,'[2]Week 1 '!B$2:C$17,2,0),"No FAAB Entered"))</f>
        <v>0</v>
      </c>
      <c r="G13" s="310">
        <f>IF(A13&gt;Standings!$Q$27,"",H13-I13)</f>
        <v>0</v>
      </c>
      <c r="H13" s="310">
        <v>100</v>
      </c>
      <c r="I13" s="311">
        <f>IF(A13&gt;Standings!$Q$27,"",100-F13)</f>
        <v>100</v>
      </c>
      <c r="K13" s="298">
        <v>10</v>
      </c>
      <c r="L13" s="407" t="s">
        <v>173</v>
      </c>
      <c r="M13" s="310" t="s">
        <v>109</v>
      </c>
      <c r="N13" s="558">
        <v>8</v>
      </c>
      <c r="O13" s="411" t="s">
        <v>67</v>
      </c>
      <c r="P13" s="308"/>
      <c r="Q13" s="308"/>
      <c r="R13" s="305"/>
      <c r="S13" s="305"/>
    </row>
    <row r="14" spans="1:19" ht="16">
      <c r="A14" s="281">
        <v>1</v>
      </c>
      <c r="B14" s="416" t="str">
        <f>$L$15</f>
        <v>Team 12</v>
      </c>
      <c r="C14" s="280" t="str">
        <f t="array" ref="C14">IFERROR(INDEX([1]Sheet1!$D$2:$D$113,MATCH(1,($B14= [1]Sheet1!$C$2:$C$113)*($A14=[1]Sheet1!$B$2:$B$113),0)),INDEX([1]Sheet1!$C$2:$C$113,MATCH(1,($B14= [1]Sheet1!$D$2:$D$113)*($A14=[1]Sheet1!$B$2:$B$113),0)))</f>
        <v>Team 7</v>
      </c>
      <c r="D14" s="309">
        <f t="array" ref="D14">IFERROR(INDEX([1]Sheet1!$E$2:$E$113,MATCH(1,($B14= [1]Sheet1!$C$2:$C$113)*($A14=[1]Sheet1!$B$2:$B$113),0)),INDEX([1]Sheet1!$F$2:$F$113,MATCH(1,($B14= [1]Sheet1!$D$2:$D$113)*($A14=[1]Sheet1!$B$2:$B$113),0)))</f>
        <v>97.6</v>
      </c>
      <c r="E14" s="309">
        <f t="array" ref="E14">IF($A14&gt;Standings!$Q$27,"",INDEX($D$3:$D$226,(MATCH(1,($B$3:$B$226=$C14)*($A$3:$A$226=$A14),0))))</f>
        <v>103.56</v>
      </c>
      <c r="F14" s="310">
        <f>IF(A14&gt;Standings!$Q$27,"",IFERROR(VLOOKUP($B14,'[2]Week 1 '!B$2:C$17,2,0),"No FAAB Entered"))</f>
        <v>0</v>
      </c>
      <c r="G14" s="310">
        <f>IF(A14&gt;Standings!$Q$27,"",H14-I14)</f>
        <v>0</v>
      </c>
      <c r="H14" s="310">
        <v>100</v>
      </c>
      <c r="I14" s="311">
        <f>IF(A14&gt;Standings!$Q$27,"",100-F14)</f>
        <v>100</v>
      </c>
      <c r="K14" s="298">
        <v>11</v>
      </c>
      <c r="L14" s="405" t="s">
        <v>174</v>
      </c>
      <c r="M14" s="310" t="s">
        <v>109</v>
      </c>
      <c r="N14" s="558">
        <v>4</v>
      </c>
      <c r="O14" s="406">
        <v>2</v>
      </c>
      <c r="P14" s="308"/>
      <c r="Q14" s="308"/>
      <c r="R14" s="305"/>
      <c r="S14" s="305"/>
    </row>
    <row r="15" spans="1:19" ht="16">
      <c r="A15" s="281">
        <v>1</v>
      </c>
      <c r="B15" s="416" t="str">
        <f>$L$16</f>
        <v>Team 13</v>
      </c>
      <c r="C15" s="280" t="str">
        <f t="array" ref="C15">IFERROR(INDEX([1]Sheet1!$D$2:$D$113,MATCH(1,($B15= [1]Sheet1!$C$2:$C$113)*($A15=[1]Sheet1!$B$2:$B$113),0)),INDEX([1]Sheet1!$C$2:$C$113,MATCH(1,($B15= [1]Sheet1!$D$2:$D$113)*($A15=[1]Sheet1!$B$2:$B$113),0)))</f>
        <v>Team 14</v>
      </c>
      <c r="D15" s="309">
        <f t="array" ref="D15">IFERROR(INDEX([1]Sheet1!$E$2:$E$113,MATCH(1,($B15= [1]Sheet1!$C$2:$C$113)*($A15=[1]Sheet1!$B$2:$B$113),0)),INDEX([1]Sheet1!$F$2:$F$113,MATCH(1,($B15= [1]Sheet1!$D$2:$D$113)*($A15=[1]Sheet1!$B$2:$B$113),0)))</f>
        <v>90.29</v>
      </c>
      <c r="E15" s="309">
        <f t="array" ref="E15">IF($A15&gt;Standings!$Q$27,"",INDEX($D$3:$D$226,(MATCH(1,($B$3:$B$226=$C15)*($A$3:$A$226=$A15),0))))</f>
        <v>114.11</v>
      </c>
      <c r="F15" s="310">
        <f>IF(A15&gt;Standings!$Q$27,"",IFERROR(VLOOKUP($B15,'[2]Week 1 '!B$2:C$17,2,0),"No FAAB Entered"))</f>
        <v>0</v>
      </c>
      <c r="G15" s="310">
        <f>IF(A15&gt;Standings!$Q$27,"",H15-I15)</f>
        <v>0</v>
      </c>
      <c r="H15" s="310">
        <v>100</v>
      </c>
      <c r="I15" s="311">
        <f>IF(A15&gt;Standings!$Q$27,"",100-F15)</f>
        <v>100</v>
      </c>
      <c r="K15" s="298">
        <v>12</v>
      </c>
      <c r="L15" s="405" t="s">
        <v>175</v>
      </c>
      <c r="M15" s="310" t="s">
        <v>109</v>
      </c>
      <c r="N15" s="558">
        <v>12</v>
      </c>
      <c r="O15" s="406">
        <v>14</v>
      </c>
      <c r="P15" s="308"/>
      <c r="Q15" s="308"/>
      <c r="R15" s="305"/>
      <c r="S15" s="305"/>
    </row>
    <row r="16" spans="1:19" ht="16">
      <c r="A16" s="281">
        <v>1</v>
      </c>
      <c r="B16" s="416" t="str">
        <f>$L$17</f>
        <v>Team 14</v>
      </c>
      <c r="C16" s="280" t="str">
        <f t="array" ref="C16">IFERROR(INDEX([1]Sheet1!$D$2:$D$113,MATCH(1,($B16= [1]Sheet1!$C$2:$C$113)*($A16=[1]Sheet1!$B$2:$B$113),0)),INDEX([1]Sheet1!$C$2:$C$113,MATCH(1,($B16= [1]Sheet1!$D$2:$D$113)*($A16=[1]Sheet1!$B$2:$B$113),0)))</f>
        <v>Team 13</v>
      </c>
      <c r="D16" s="309">
        <f t="array" ref="D16">IFERROR(INDEX([1]Sheet1!$E$2:$E$113,MATCH(1,($B16= [1]Sheet1!$C$2:$C$113)*($A16=[1]Sheet1!$B$2:$B$113),0)),INDEX([1]Sheet1!$F$2:$F$113,MATCH(1,($B16= [1]Sheet1!$D$2:$D$113)*($A16=[1]Sheet1!$B$2:$B$113),0)))</f>
        <v>114.11</v>
      </c>
      <c r="E16" s="309">
        <f t="array" ref="E16">IF($A16&gt;Standings!$Q$27,"",INDEX($D$3:$D$226,(MATCH(1,($B$3:$B$226=$C16)*($A$3:$A$226=$A16),0))))</f>
        <v>90.29</v>
      </c>
      <c r="F16" s="310">
        <f>IF(A16&gt;Standings!$Q$27,"",IFERROR(VLOOKUP($B16,'[2]Week 1 '!B$2:C$17,2,0),"No FAAB Entered"))</f>
        <v>0</v>
      </c>
      <c r="G16" s="310">
        <f>IF(A16&gt;Standings!$Q$27,"",H16-I16)</f>
        <v>0</v>
      </c>
      <c r="H16" s="310">
        <v>100</v>
      </c>
      <c r="I16" s="311">
        <f>IF(A16&gt;Standings!$Q$27,"",100-F16)</f>
        <v>100</v>
      </c>
      <c r="K16" s="298">
        <v>13</v>
      </c>
      <c r="L16" s="405" t="s">
        <v>176</v>
      </c>
      <c r="M16" s="310" t="s">
        <v>109</v>
      </c>
      <c r="N16" s="558">
        <v>7</v>
      </c>
      <c r="O16" s="406">
        <v>8</v>
      </c>
      <c r="P16" s="308"/>
      <c r="Q16" s="308"/>
      <c r="R16" s="305"/>
      <c r="S16" s="305"/>
    </row>
    <row r="17" spans="1:20" ht="16">
      <c r="A17" s="281">
        <v>1</v>
      </c>
      <c r="B17" s="416" t="str">
        <f>$L$18</f>
        <v>Team 15</v>
      </c>
      <c r="C17" s="280" t="str">
        <f t="array" ref="C17">IFERROR(INDEX([1]Sheet1!$D$2:$D$113,MATCH(1,($B17= [1]Sheet1!$C$2:$C$113)*($A17=[1]Sheet1!$B$2:$B$113),0)),INDEX([1]Sheet1!$C$2:$C$113,MATCH(1,($B17= [1]Sheet1!$D$2:$D$113)*($A17=[1]Sheet1!$B$2:$B$113),0)))</f>
        <v>Team 9</v>
      </c>
      <c r="D17" s="309">
        <f t="array" ref="D17">IFERROR(INDEX([1]Sheet1!$E$2:$E$113,MATCH(1,($B17= [1]Sheet1!$C$2:$C$113)*($A17=[1]Sheet1!$B$2:$B$113),0)),INDEX([1]Sheet1!$F$2:$F$113,MATCH(1,($B17= [1]Sheet1!$D$2:$D$113)*($A17=[1]Sheet1!$B$2:$B$113),0)))</f>
        <v>114.82</v>
      </c>
      <c r="E17" s="309">
        <f t="array" ref="E17">IF($A17&gt;Standings!$Q$27,"",INDEX($D$3:$D$226,(MATCH(1,($B$3:$B$226=$C17)*($A$3:$A$226=$A17),0))))</f>
        <v>150.91999999999999</v>
      </c>
      <c r="F17" s="310">
        <f>IF(A17&gt;Standings!$Q$27,"",IFERROR(VLOOKUP($B17,'[2]Week 1 '!B$2:C$17,2,0),"No FAAB Entered"))</f>
        <v>0</v>
      </c>
      <c r="G17" s="310">
        <f>IF(A17&gt;Standings!$Q$27,"",H17-I17)</f>
        <v>0</v>
      </c>
      <c r="H17" s="310">
        <v>100</v>
      </c>
      <c r="I17" s="311">
        <f>IF(A17&gt;Standings!$Q$27,"",100-F17)</f>
        <v>100</v>
      </c>
      <c r="K17" s="298">
        <v>14</v>
      </c>
      <c r="L17" s="405" t="s">
        <v>177</v>
      </c>
      <c r="M17" s="310" t="s">
        <v>109</v>
      </c>
      <c r="N17" s="558">
        <v>14</v>
      </c>
      <c r="O17" s="406">
        <v>6</v>
      </c>
      <c r="P17" s="308"/>
      <c r="Q17" s="308"/>
      <c r="R17" s="305"/>
      <c r="S17" s="305"/>
    </row>
    <row r="18" spans="1:20" ht="17" thickBot="1">
      <c r="A18" s="283">
        <v>1</v>
      </c>
      <c r="B18" s="417" t="str">
        <f>$L$19</f>
        <v>Team 16</v>
      </c>
      <c r="C18" s="282" t="str">
        <f t="array" ref="C18">IFERROR(INDEX([1]Sheet1!$D$2:$D$113,MATCH(1,($B18= [1]Sheet1!$C$2:$C$113)*($A18=[1]Sheet1!$B$2:$B$113),0)),INDEX([1]Sheet1!$C$2:$C$113,MATCH(1,($B18= [1]Sheet1!$D$2:$D$113)*($A18=[1]Sheet1!$B$2:$B$113),0)))</f>
        <v>Team 4</v>
      </c>
      <c r="D18" s="312">
        <f t="array" ref="D18">IFERROR(INDEX([1]Sheet1!$E$2:$E$113,MATCH(1,($B18= [1]Sheet1!$C$2:$C$113)*($A18=[1]Sheet1!$B$2:$B$113),0)),INDEX([1]Sheet1!$F$2:$F$113,MATCH(1,($B18= [1]Sheet1!$D$2:$D$113)*($A18=[1]Sheet1!$B$2:$B$113),0)))</f>
        <v>84.93</v>
      </c>
      <c r="E18" s="312">
        <f t="array" ref="E18">IF($A18&gt;Standings!$Q$27,"",INDEX($D$3:$D$226,(MATCH(1,($B$3:$B$226=$C18)*($A$3:$A$226=$A18),0))))</f>
        <v>88.33</v>
      </c>
      <c r="F18" s="313">
        <f>IF(A18&gt;Standings!$Q$27,"",IFERROR(VLOOKUP($B18,'[2]Week 1 '!B$2:C$17,2,0),"No FAAB Entered"))</f>
        <v>0</v>
      </c>
      <c r="G18" s="313">
        <f>IF(A18&gt;Standings!$Q$27,"",H18-I18)</f>
        <v>0</v>
      </c>
      <c r="H18" s="313">
        <v>100</v>
      </c>
      <c r="I18" s="314">
        <f>IF(A18&gt;Standings!$Q$27,"",100-F18)</f>
        <v>100</v>
      </c>
      <c r="K18" s="298">
        <v>15</v>
      </c>
      <c r="L18" s="407" t="s">
        <v>178</v>
      </c>
      <c r="M18" s="310" t="s">
        <v>109</v>
      </c>
      <c r="N18" s="558">
        <v>13</v>
      </c>
      <c r="O18" s="406">
        <v>10</v>
      </c>
      <c r="P18" s="308"/>
      <c r="Q18" s="308"/>
      <c r="R18" s="305"/>
      <c r="S18" s="305"/>
    </row>
    <row r="19" spans="1:20" ht="16">
      <c r="A19" s="277">
        <v>2</v>
      </c>
      <c r="B19" s="414" t="str">
        <f>$L$4</f>
        <v>Team 1</v>
      </c>
      <c r="C19" s="276" t="str">
        <f t="array" ref="C19">IFERROR(INDEX([1]Sheet1!$D$2:$D$113,MATCH(1,($B19= [1]Sheet1!$C$2:$C$113)*($A19=[1]Sheet1!$B$2:$B$113),0)),INDEX([1]Sheet1!$C$2:$C$113,MATCH(1,($B19= [1]Sheet1!$D$2:$D$113)*($A19=[1]Sheet1!$B$2:$B$113),0)))</f>
        <v>Team 11</v>
      </c>
      <c r="D19" s="295">
        <f t="array" ref="D19">IFERROR(INDEX([1]Sheet1!$E$2:$E$113,MATCH(1,($B19= [1]Sheet1!$C$2:$C$113)*($A19=[1]Sheet1!$B$2:$B$113),0)),INDEX([1]Sheet1!$F$2:$F$113,MATCH(1,($B19= [1]Sheet1!$D$2:$D$113)*($A19=[1]Sheet1!$B$2:$B$113),0)))</f>
        <v>94.86</v>
      </c>
      <c r="E19" s="295">
        <f t="array" ref="E19">IF($A19&gt;Standings!$Q$27,"",INDEX($D$3:$D$226,(MATCH(1,($B$3:$B$226=$C19)*($A$3:$A$226=$A19),0))))</f>
        <v>101.32</v>
      </c>
      <c r="F19" s="296">
        <f>IF(A19&gt;Standings!$Q$27,"",IFERROR(VLOOKUP($B19,'[2]Week 2'!B$2:C$17,2,0),"No FAAB Entered"))</f>
        <v>9</v>
      </c>
      <c r="G19" s="296">
        <f>IF(A19&gt;Standings!$Q$27,"",H19-I19)</f>
        <v>6</v>
      </c>
      <c r="H19" s="296">
        <f>IF(A19&gt;Standings!$Q$27,"",I3)</f>
        <v>97</v>
      </c>
      <c r="I19" s="297">
        <f>IF(A19&gt;Standings!$Q$27,"",100-F19)</f>
        <v>91</v>
      </c>
      <c r="J19" s="315"/>
      <c r="K19" s="298">
        <v>16</v>
      </c>
      <c r="L19" s="405" t="s">
        <v>179</v>
      </c>
      <c r="M19" s="310" t="s">
        <v>109</v>
      </c>
      <c r="N19" s="559">
        <v>6</v>
      </c>
      <c r="O19" s="310">
        <v>12</v>
      </c>
      <c r="P19" s="308"/>
      <c r="Q19" s="308"/>
      <c r="R19" s="307"/>
      <c r="S19" s="307"/>
    </row>
    <row r="20" spans="1:20">
      <c r="A20" s="279">
        <f>K5</f>
        <v>2</v>
      </c>
      <c r="B20" s="415" t="str">
        <f>L5</f>
        <v>Team 2</v>
      </c>
      <c r="C20" s="278" t="str">
        <f t="array" ref="C20">IFERROR(INDEX([1]Sheet1!$D$2:$D$113,MATCH(1,($B20= [1]Sheet1!$C$2:$C$113)*($A20=[1]Sheet1!$B$2:$B$113),0)),INDEX([1]Sheet1!$C$2:$C$113,MATCH(1,($B20= [1]Sheet1!$D$2:$D$113)*($A20=[1]Sheet1!$B$2:$B$113),0)))</f>
        <v>Team 6</v>
      </c>
      <c r="D20" s="302">
        <f t="array" ref="D20">IFERROR(INDEX([1]Sheet1!$E$2:$E$113,MATCH(1,($B20= [1]Sheet1!$C$2:$C$113)*($A20=[1]Sheet1!$B$2:$B$113),0)),INDEX([1]Sheet1!$F$2:$F$113,MATCH(1,($B20= [1]Sheet1!$D$2:$D$113)*($A20=[1]Sheet1!$B$2:$B$113),0)))</f>
        <v>116.04</v>
      </c>
      <c r="E20" s="302">
        <f t="array" ref="E20">IF($A20&gt;Standings!$Q$27,"",INDEX($D$3:$D$226,(MATCH(1,($B$3:$B$226=$C20)*($A$3:$A$226=$A20),0))))</f>
        <v>111.23</v>
      </c>
      <c r="F20" s="303">
        <f>IF(A20&gt;Standings!$Q$27,"",IFERROR(VLOOKUP($B20,'[2]Week 2'!B$2:C$17,2,0),"No FAAB Entered"))</f>
        <v>9</v>
      </c>
      <c r="G20" s="303">
        <f>IF(A20&gt;Standings!$Q$27,"",H20-I20)</f>
        <v>9</v>
      </c>
      <c r="H20" s="303">
        <f>IF(A20&gt;Standings!$Q$27,"",I4)</f>
        <v>100</v>
      </c>
      <c r="I20" s="304">
        <f>IF(A20&gt;Standings!$Q$27,"",100-F20)</f>
        <v>91</v>
      </c>
      <c r="J20" s="137"/>
      <c r="O20" s="316"/>
      <c r="P20" s="316"/>
      <c r="Q20" s="316"/>
    </row>
    <row r="21" spans="1:20" ht="16">
      <c r="A21" s="279">
        <v>2</v>
      </c>
      <c r="B21" s="415" t="str">
        <f>$L$6</f>
        <v>Team 3</v>
      </c>
      <c r="C21" s="278" t="str">
        <f t="array" ref="C21">IFERROR(INDEX([1]Sheet1!$D$2:$D$113,MATCH(1,($B21= [1]Sheet1!$C$2:$C$113)*($A21=[1]Sheet1!$B$2:$B$113),0)),INDEX([1]Sheet1!$C$2:$C$113,MATCH(1,($B21= [1]Sheet1!$D$2:$D$113)*($A21=[1]Sheet1!$B$2:$B$113),0)))</f>
        <v>Team 7</v>
      </c>
      <c r="D21" s="302">
        <f t="array" ref="D21">IFERROR(INDEX([1]Sheet1!$E$2:$E$113,MATCH(1,($B21= [1]Sheet1!$C$2:$C$113)*($A21=[1]Sheet1!$B$2:$B$113),0)),INDEX([1]Sheet1!$F$2:$F$113,MATCH(1,($B21= [1]Sheet1!$D$2:$D$113)*($A21=[1]Sheet1!$B$2:$B$113),0)))</f>
        <v>110.03</v>
      </c>
      <c r="E21" s="302">
        <f t="array" ref="E21">IF($A21&gt;Standings!$Q$27,"",INDEX($D$3:$D$226,(MATCH(1,($B$3:$B$226=$C21)*($A$3:$A$226=$A21),0))))</f>
        <v>117.67</v>
      </c>
      <c r="F21" s="303">
        <f>IF(A21&gt;Standings!$Q$27,"",IFERROR(VLOOKUP($B21,'[2]Week 2'!B$2:C$17,2,0),"No FAAB Entered"))</f>
        <v>0</v>
      </c>
      <c r="G21" s="303">
        <f>IF(A21&gt;Standings!$Q$27,"",H21-I21)</f>
        <v>0</v>
      </c>
      <c r="H21" s="303">
        <f>IF(A21&gt;Standings!$Q$27,"",I5)</f>
        <v>100</v>
      </c>
      <c r="I21" s="304">
        <f>IF(A21&gt;Standings!$Q$27,"",100-F21)</f>
        <v>100</v>
      </c>
      <c r="J21" s="137"/>
      <c r="K21" s="317"/>
      <c r="L21" s="318"/>
      <c r="M21" s="299" t="s">
        <v>51</v>
      </c>
      <c r="N21" s="409" t="s">
        <v>132</v>
      </c>
      <c r="P21" s="316"/>
      <c r="Q21" s="316"/>
    </row>
    <row r="22" spans="1:20" ht="16">
      <c r="A22" s="279">
        <v>2</v>
      </c>
      <c r="B22" s="415" t="str">
        <f>$L$7</f>
        <v>Team 4</v>
      </c>
      <c r="C22" s="278" t="str">
        <f t="array" ref="C22">IFERROR(INDEX([1]Sheet1!$D$2:$D$113,MATCH(1,($B22= [1]Sheet1!$C$2:$C$113)*($A22=[1]Sheet1!$B$2:$B$113),0)),INDEX([1]Sheet1!$C$2:$C$113,MATCH(1,($B22= [1]Sheet1!$D$2:$D$113)*($A22=[1]Sheet1!$B$2:$B$113),0)))</f>
        <v>Team 5</v>
      </c>
      <c r="D22" s="302">
        <f t="array" ref="D22">IFERROR(INDEX([1]Sheet1!$E$2:$E$113,MATCH(1,($B22= [1]Sheet1!$C$2:$C$113)*($A22=[1]Sheet1!$B$2:$B$113),0)),INDEX([1]Sheet1!$F$2:$F$113,MATCH(1,($B22= [1]Sheet1!$D$2:$D$113)*($A22=[1]Sheet1!$B$2:$B$113),0)))</f>
        <v>89.02</v>
      </c>
      <c r="E22" s="302">
        <f t="array" ref="E22">IF($A22&gt;Standings!$Q$27,"",INDEX($D$3:$D$226,(MATCH(1,($B$3:$B$226=$C22)*($A$3:$A$226=$A22),0))))</f>
        <v>98.65</v>
      </c>
      <c r="F22" s="303">
        <f>IF(A22&gt;Standings!$Q$27,"",IFERROR(VLOOKUP($B22,'[2]Week 2'!B$2:C$17,2,0),"No FAAB Entered"))</f>
        <v>0</v>
      </c>
      <c r="G22" s="303">
        <f>IF(A22&gt;Standings!$Q$27,"",H22-I22)</f>
        <v>0</v>
      </c>
      <c r="H22" s="303">
        <f>IF(A22&gt;Standings!$Q$27,"",I6)</f>
        <v>100</v>
      </c>
      <c r="I22" s="304">
        <f>IF(A22&gt;Standings!$Q$27,"",100-F22)</f>
        <v>100</v>
      </c>
      <c r="J22" s="137"/>
      <c r="M22" s="402" t="str">
        <f>L4</f>
        <v>Team 1</v>
      </c>
      <c r="N22" s="403">
        <v>13</v>
      </c>
      <c r="P22" s="137"/>
      <c r="R22" s="316"/>
      <c r="S22" s="316"/>
    </row>
    <row r="23" spans="1:20">
      <c r="A23" s="279">
        <v>2</v>
      </c>
      <c r="B23" s="415" t="str">
        <f>$L$8</f>
        <v>Team 5</v>
      </c>
      <c r="C23" s="278" t="str">
        <f t="array" ref="C23">IFERROR(INDEX([1]Sheet1!$D$2:$D$113,MATCH(1,($B23= [1]Sheet1!$C$2:$C$113)*($A23=[1]Sheet1!$B$2:$B$113),0)),INDEX([1]Sheet1!$C$2:$C$113,MATCH(1,($B23= [1]Sheet1!$D$2:$D$113)*($A23=[1]Sheet1!$B$2:$B$113),0)))</f>
        <v>Team 4</v>
      </c>
      <c r="D23" s="302">
        <f t="array" ref="D23">IFERROR(INDEX([1]Sheet1!$E$2:$E$113,MATCH(1,($B23= [1]Sheet1!$C$2:$C$113)*($A23=[1]Sheet1!$B$2:$B$113),0)),INDEX([1]Sheet1!$F$2:$F$113,MATCH(1,($B23= [1]Sheet1!$D$2:$D$113)*($A23=[1]Sheet1!$B$2:$B$113),0)))</f>
        <v>98.65</v>
      </c>
      <c r="E23" s="302">
        <f t="array" ref="E23">IF($A23&gt;Standings!$Q$27,"",INDEX($D$3:$D$226,(MATCH(1,($B$3:$B$226=$C23)*($A$3:$A$226=$A23),0))))</f>
        <v>89.02</v>
      </c>
      <c r="F23" s="303">
        <f>IF(A23&gt;Standings!$Q$27,"",IFERROR(VLOOKUP($B23,'[2]Week 2'!B$2:C$17,2,0),"No FAAB Entered"))</f>
        <v>25</v>
      </c>
      <c r="G23" s="303">
        <f>IF(A23&gt;Standings!$Q$27,"",H23-I23)</f>
        <v>25</v>
      </c>
      <c r="H23" s="303">
        <f>IF(A23&gt;Standings!$Q$27,"",I7)</f>
        <v>100</v>
      </c>
      <c r="I23" s="304">
        <f>IF(A23&gt;Standings!$Q$27,"",100-F23)</f>
        <v>75</v>
      </c>
      <c r="J23" s="137"/>
      <c r="M23" s="404" t="str">
        <f t="shared" ref="M23:M37" si="0">L5</f>
        <v>Team 2</v>
      </c>
      <c r="N23" s="303">
        <v>11</v>
      </c>
      <c r="P23" s="137"/>
    </row>
    <row r="24" spans="1:20" ht="16">
      <c r="A24" s="279">
        <v>2</v>
      </c>
      <c r="B24" s="415" t="str">
        <f>$L$9</f>
        <v>Team 6</v>
      </c>
      <c r="C24" s="278" t="str">
        <f t="array" ref="C24">IFERROR(INDEX([1]Sheet1!$D$2:$D$113,MATCH(1,($B24= [1]Sheet1!$C$2:$C$113)*($A24=[1]Sheet1!$B$2:$B$113),0)),INDEX([1]Sheet1!$C$2:$C$113,MATCH(1,($B24= [1]Sheet1!$D$2:$D$113)*($A24=[1]Sheet1!$B$2:$B$113),0)))</f>
        <v>Team 2</v>
      </c>
      <c r="D24" s="302">
        <f t="array" ref="D24">IFERROR(INDEX([1]Sheet1!$E$2:$E$113,MATCH(1,($B24= [1]Sheet1!$C$2:$C$113)*($A24=[1]Sheet1!$B$2:$B$113),0)),INDEX([1]Sheet1!$F$2:$F$113,MATCH(1,($B24= [1]Sheet1!$D$2:$D$113)*($A24=[1]Sheet1!$B$2:$B$113),0)))</f>
        <v>111.23</v>
      </c>
      <c r="E24" s="302">
        <f t="array" ref="E24">IF($A24&gt;Standings!$Q$27,"",INDEX($D$3:$D$226,(MATCH(1,($B$3:$B$226=$C24)*($A$3:$A$226=$A24),0))))</f>
        <v>116.04</v>
      </c>
      <c r="F24" s="303">
        <f>IF(A24&gt;Standings!$Q$27,"",IFERROR(VLOOKUP($B24,'[2]Week 2'!B$2:C$17,2,0),"No FAAB Entered"))</f>
        <v>0</v>
      </c>
      <c r="G24" s="303">
        <f>IF(A24&gt;Standings!$Q$27,"",H24-I24)</f>
        <v>0</v>
      </c>
      <c r="H24" s="303">
        <f>IF(A24&gt;Standings!$Q$27,"",I8)</f>
        <v>100</v>
      </c>
      <c r="I24" s="304">
        <f>IF(A24&gt;Standings!$Q$27,"",100-F24)</f>
        <v>100</v>
      </c>
      <c r="J24" s="137"/>
      <c r="L24" s="318"/>
      <c r="M24" s="402" t="str">
        <f t="shared" si="0"/>
        <v>Team 3</v>
      </c>
      <c r="N24" s="403">
        <v>1</v>
      </c>
      <c r="P24" s="137"/>
    </row>
    <row r="25" spans="1:20" ht="16">
      <c r="A25" s="279">
        <v>2</v>
      </c>
      <c r="B25" s="415" t="str">
        <f>$L$10</f>
        <v>Team 7</v>
      </c>
      <c r="C25" s="278" t="str">
        <f t="array" ref="C25">IFERROR(INDEX([1]Sheet1!$D$2:$D$113,MATCH(1,($B25= [1]Sheet1!$C$2:$C$113)*($A25=[1]Sheet1!$B$2:$B$113),0)),INDEX([1]Sheet1!$C$2:$C$113,MATCH(1,($B25= [1]Sheet1!$D$2:$D$113)*($A25=[1]Sheet1!$B$2:$B$113),0)))</f>
        <v>Team 3</v>
      </c>
      <c r="D25" s="302">
        <f t="array" ref="D25">IFERROR(INDEX([1]Sheet1!$E$2:$E$113,MATCH(1,($B25= [1]Sheet1!$C$2:$C$113)*($A25=[1]Sheet1!$B$2:$B$113),0)),INDEX([1]Sheet1!$F$2:$F$113,MATCH(1,($B25= [1]Sheet1!$D$2:$D$113)*($A25=[1]Sheet1!$B$2:$B$113),0)))</f>
        <v>117.67</v>
      </c>
      <c r="E25" s="302">
        <f t="array" ref="E25">IF($A25&gt;Standings!$Q$27,"",INDEX($D$3:$D$226,(MATCH(1,($B$3:$B$226=$C25)*($A$3:$A$226=$A25),0))))</f>
        <v>110.03</v>
      </c>
      <c r="F25" s="303">
        <f>IF(A25&gt;Standings!$Q$27,"",IFERROR(VLOOKUP($B25,'[2]Week 2'!B$2:C$17,2,0),"No FAAB Entered"))</f>
        <v>0</v>
      </c>
      <c r="G25" s="303">
        <f>IF(A25&gt;Standings!$Q$27,"",H25-I25)</f>
        <v>0</v>
      </c>
      <c r="H25" s="303">
        <f>IF(A25&gt;Standings!$Q$27,"",I9)</f>
        <v>100</v>
      </c>
      <c r="I25" s="304">
        <f>IF(A25&gt;Standings!$Q$27,"",100-F25)</f>
        <v>100</v>
      </c>
      <c r="J25" s="137"/>
      <c r="L25" s="318"/>
      <c r="M25" s="402" t="str">
        <f t="shared" si="0"/>
        <v>Team 4</v>
      </c>
      <c r="N25" s="410" t="s">
        <v>67</v>
      </c>
      <c r="P25" s="137"/>
    </row>
    <row r="26" spans="1:20" ht="16">
      <c r="A26" s="279">
        <v>2</v>
      </c>
      <c r="B26" s="415" t="str">
        <f>$L$11</f>
        <v>Team 8</v>
      </c>
      <c r="C26" s="278" t="str">
        <f t="array" ref="C26">IFERROR(INDEX([1]Sheet1!$D$2:$D$113,MATCH(1,($B26= [1]Sheet1!$C$2:$C$113)*($A26=[1]Sheet1!$B$2:$B$113),0)),INDEX([1]Sheet1!$C$2:$C$113,MATCH(1,($B26= [1]Sheet1!$D$2:$D$113)*($A26=[1]Sheet1!$B$2:$B$113),0)))</f>
        <v>Team 9</v>
      </c>
      <c r="D26" s="302">
        <f t="array" ref="D26">IFERROR(INDEX([1]Sheet1!$E$2:$E$113,MATCH(1,($B26= [1]Sheet1!$C$2:$C$113)*($A26=[1]Sheet1!$B$2:$B$113),0)),INDEX([1]Sheet1!$F$2:$F$113,MATCH(1,($B26= [1]Sheet1!$D$2:$D$113)*($A26=[1]Sheet1!$B$2:$B$113),0)))</f>
        <v>111.67</v>
      </c>
      <c r="E26" s="302">
        <f t="array" ref="E26">IF($A26&gt;Standings!$Q$27,"",INDEX($D$3:$D$226,(MATCH(1,($B$3:$B$226=$C26)*($A$3:$A$226=$A26),0))))</f>
        <v>144.41999999999999</v>
      </c>
      <c r="F26" s="303">
        <f>IF(A26&gt;Standings!$Q$27,"",IFERROR(VLOOKUP($B26,'[2]Week 2'!B$2:C$17,2,0),"No FAAB Entered"))</f>
        <v>4</v>
      </c>
      <c r="G26" s="303">
        <f>IF(A26&gt;Standings!$Q$27,"",H26-I26)</f>
        <v>4</v>
      </c>
      <c r="H26" s="303">
        <f>IF(A26&gt;Standings!$Q$27,"",I10)</f>
        <v>100</v>
      </c>
      <c r="I26" s="304">
        <f>IF(A26&gt;Standings!$Q$27,"",100-F26)</f>
        <v>96</v>
      </c>
      <c r="J26" s="137"/>
      <c r="L26" s="321"/>
      <c r="M26" s="402" t="str">
        <f t="shared" si="0"/>
        <v>Team 5</v>
      </c>
      <c r="N26" s="403">
        <v>7</v>
      </c>
      <c r="P26" s="137"/>
      <c r="R26" s="322"/>
    </row>
    <row r="27" spans="1:20" ht="16">
      <c r="A27" s="281">
        <v>2</v>
      </c>
      <c r="B27" s="416" t="str">
        <f>$L$12</f>
        <v>Team 9</v>
      </c>
      <c r="C27" s="280" t="str">
        <f t="array" ref="C27">IFERROR(INDEX([1]Sheet1!$D$2:$D$113,MATCH(1,($B27= [1]Sheet1!$C$2:$C$113)*($A27=[1]Sheet1!$B$2:$B$113),0)),INDEX([1]Sheet1!$C$2:$C$113,MATCH(1,($B27= [1]Sheet1!$D$2:$D$113)*($A27=[1]Sheet1!$B$2:$B$113),0)))</f>
        <v>Team 8</v>
      </c>
      <c r="D27" s="309">
        <f t="array" ref="D27">IFERROR(INDEX([1]Sheet1!$E$2:$E$113,MATCH(1,($B27= [1]Sheet1!$C$2:$C$113)*($A27=[1]Sheet1!$B$2:$B$113),0)),INDEX([1]Sheet1!$F$2:$F$113,MATCH(1,($B27= [1]Sheet1!$D$2:$D$113)*($A27=[1]Sheet1!$B$2:$B$113),0)))</f>
        <v>144.41999999999999</v>
      </c>
      <c r="E27" s="309">
        <f t="array" ref="E27">IF($A27&gt;Standings!$Q$27,"",INDEX($D$3:$D$226,(MATCH(1,($B$3:$B$226=$C27)*($A$3:$A$226=$A27),0))))</f>
        <v>111.67</v>
      </c>
      <c r="F27" s="310">
        <f>IF(A27&gt;Standings!$Q$27,"",IFERROR(VLOOKUP($B27,'[2]Week 2'!B$2:C$17,2,0),"No FAAB Entered"))</f>
        <v>0</v>
      </c>
      <c r="G27" s="310">
        <f>IF(A27&gt;Standings!$Q$27,"",H27-I27)</f>
        <v>0</v>
      </c>
      <c r="H27" s="310">
        <f>IF(A27&gt;Standings!$Q$27,"",I11)</f>
        <v>100</v>
      </c>
      <c r="I27" s="311">
        <f>IF(A27&gt;Standings!$Q$27,"",100-F27)</f>
        <v>100</v>
      </c>
      <c r="J27" s="137"/>
      <c r="L27" s="321"/>
      <c r="M27" s="402" t="str">
        <f t="shared" si="0"/>
        <v>Team 6</v>
      </c>
      <c r="N27" s="403">
        <v>5</v>
      </c>
      <c r="P27" s="137"/>
      <c r="R27" s="294"/>
      <c r="S27" s="323"/>
      <c r="T27" s="323"/>
    </row>
    <row r="28" spans="1:20" ht="16">
      <c r="A28" s="281">
        <v>2</v>
      </c>
      <c r="B28" s="416" t="str">
        <f>$L$13</f>
        <v>Team 10</v>
      </c>
      <c r="C28" s="280" t="str">
        <f t="array" ref="C28">IFERROR(INDEX([1]Sheet1!$D$2:$D$113,MATCH(1,($B28= [1]Sheet1!$C$2:$C$113)*($A28=[1]Sheet1!$B$2:$B$113),0)),INDEX([1]Sheet1!$C$2:$C$113,MATCH(1,($B28= [1]Sheet1!$D$2:$D$113)*($A28=[1]Sheet1!$B$2:$B$113),0)))</f>
        <v>Team 12</v>
      </c>
      <c r="D28" s="309">
        <f t="array" ref="D28">IFERROR(INDEX([1]Sheet1!$E$2:$E$113,MATCH(1,($B28= [1]Sheet1!$C$2:$C$113)*($A28=[1]Sheet1!$B$2:$B$113),0)),INDEX([1]Sheet1!$F$2:$F$113,MATCH(1,($B28= [1]Sheet1!$D$2:$D$113)*($A28=[1]Sheet1!$B$2:$B$113),0)))</f>
        <v>100.51</v>
      </c>
      <c r="E28" s="309">
        <f t="array" ref="E28">IF($A28&gt;Standings!$Q$27,"",INDEX($D$3:$D$226,(MATCH(1,($B$3:$B$226=$C28)*($A$3:$A$226=$A28),0))))</f>
        <v>123.72</v>
      </c>
      <c r="F28" s="310">
        <f>IF(A28&gt;Standings!$Q$27,"",IFERROR(VLOOKUP($B28,'[2]Week 2'!B$2:C$17,2,0),"No FAAB Entered"))</f>
        <v>0</v>
      </c>
      <c r="G28" s="310">
        <f>IF(A28&gt;Standings!$Q$27,"",H28-I28)</f>
        <v>0</v>
      </c>
      <c r="H28" s="310">
        <f>IF(A28&gt;Standings!$Q$27,"",I12)</f>
        <v>100</v>
      </c>
      <c r="I28" s="311">
        <f>IF(A28&gt;Standings!$Q$27,"",100-F28)</f>
        <v>100</v>
      </c>
      <c r="J28" s="137"/>
      <c r="L28" s="318"/>
      <c r="M28" s="402" t="str">
        <f t="shared" si="0"/>
        <v>Team 7</v>
      </c>
      <c r="N28" s="403">
        <v>9</v>
      </c>
      <c r="P28" s="137"/>
      <c r="R28" s="324"/>
      <c r="S28" s="318"/>
      <c r="T28" s="318"/>
    </row>
    <row r="29" spans="1:20" ht="16">
      <c r="A29" s="281">
        <v>2</v>
      </c>
      <c r="B29" s="416" t="str">
        <f>$L$14</f>
        <v>Team 11</v>
      </c>
      <c r="C29" s="280" t="str">
        <f t="array" ref="C29">IFERROR(INDEX([1]Sheet1!$D$2:$D$113,MATCH(1,($B29= [1]Sheet1!$C$2:$C$113)*($A29=[1]Sheet1!$B$2:$B$113),0)),INDEX([1]Sheet1!$C$2:$C$113,MATCH(1,($B29= [1]Sheet1!$D$2:$D$113)*($A29=[1]Sheet1!$B$2:$B$113),0)))</f>
        <v>Team 1</v>
      </c>
      <c r="D29" s="309">
        <f t="array" ref="D29">IFERROR(INDEX([1]Sheet1!$E$2:$E$113,MATCH(1,($B29= [1]Sheet1!$C$2:$C$113)*($A29=[1]Sheet1!$B$2:$B$113),0)),INDEX([1]Sheet1!$F$2:$F$113,MATCH(1,($B29= [1]Sheet1!$D$2:$D$113)*($A29=[1]Sheet1!$B$2:$B$113),0)))</f>
        <v>101.32</v>
      </c>
      <c r="E29" s="309">
        <f t="array" ref="E29">IF($A29&gt;Standings!$Q$27,"",INDEX($D$3:$D$226,(MATCH(1,($B$3:$B$226=$C29)*($A$3:$A$226=$A29),0))))</f>
        <v>94.86</v>
      </c>
      <c r="F29" s="310">
        <f>IF(A29&gt;Standings!$Q$27,"",IFERROR(VLOOKUP($B29,'[2]Week 2'!B$2:C$17,2,0),"No FAAB Entered"))</f>
        <v>20</v>
      </c>
      <c r="G29" s="310">
        <f>IF(A29&gt;Standings!$Q$27,"",H29-I29)</f>
        <v>20</v>
      </c>
      <c r="H29" s="310">
        <f>IF(A29&gt;Standings!$Q$27,"",I13)</f>
        <v>100</v>
      </c>
      <c r="I29" s="311">
        <f>IF(A29&gt;Standings!$Q$27,"",100-F29)</f>
        <v>80</v>
      </c>
      <c r="J29" s="137"/>
      <c r="L29" s="318"/>
      <c r="M29" s="404" t="str">
        <f t="shared" si="0"/>
        <v>Team 8</v>
      </c>
      <c r="N29" s="403">
        <v>3</v>
      </c>
      <c r="R29" s="324"/>
      <c r="S29" s="318"/>
      <c r="T29" s="318"/>
    </row>
    <row r="30" spans="1:20" ht="16">
      <c r="A30" s="281">
        <v>2</v>
      </c>
      <c r="B30" s="416" t="str">
        <f>$L$15</f>
        <v>Team 12</v>
      </c>
      <c r="C30" s="280" t="str">
        <f t="array" ref="C30">IFERROR(INDEX([1]Sheet1!$D$2:$D$113,MATCH(1,($B30= [1]Sheet1!$C$2:$C$113)*($A30=[1]Sheet1!$B$2:$B$113),0)),INDEX([1]Sheet1!$C$2:$C$113,MATCH(1,($B30= [1]Sheet1!$D$2:$D$113)*($A30=[1]Sheet1!$B$2:$B$113),0)))</f>
        <v>Team 10</v>
      </c>
      <c r="D30" s="309">
        <f t="array" ref="D30">IFERROR(INDEX([1]Sheet1!$E$2:$E$113,MATCH(1,($B30= [1]Sheet1!$C$2:$C$113)*($A30=[1]Sheet1!$B$2:$B$113),0)),INDEX([1]Sheet1!$F$2:$F$113,MATCH(1,($B30= [1]Sheet1!$D$2:$D$113)*($A30=[1]Sheet1!$B$2:$B$113),0)))</f>
        <v>123.72</v>
      </c>
      <c r="E30" s="309">
        <f t="array" ref="E30">IF($A30&gt;Standings!$Q$27,"",INDEX($D$3:$D$226,(MATCH(1,($B$3:$B$226=$C30)*($A$3:$A$226=$A30),0))))</f>
        <v>100.51</v>
      </c>
      <c r="F30" s="310">
        <f>IF(A30&gt;Standings!$Q$27,"",IFERROR(VLOOKUP($B30,'[2]Week 2'!B$2:C$17,2,0),"No FAAB Entered"))</f>
        <v>9</v>
      </c>
      <c r="G30" s="310">
        <f>IF(A30&gt;Standings!$Q$27,"",H30-I30)</f>
        <v>9</v>
      </c>
      <c r="H30" s="310">
        <f>IF(A30&gt;Standings!$Q$27,"",I14)</f>
        <v>100</v>
      </c>
      <c r="I30" s="311">
        <f>IF(A30&gt;Standings!$Q$27,"",100-F30)</f>
        <v>91</v>
      </c>
      <c r="J30" s="137"/>
      <c r="L30" s="318"/>
      <c r="M30" s="405" t="str">
        <f t="shared" si="0"/>
        <v>Team 9</v>
      </c>
      <c r="N30" s="406">
        <v>4</v>
      </c>
      <c r="R30" s="318"/>
      <c r="S30" s="318"/>
      <c r="T30" s="318"/>
    </row>
    <row r="31" spans="1:20" ht="16">
      <c r="A31" s="281">
        <v>2</v>
      </c>
      <c r="B31" s="416" t="str">
        <f>$L$16</f>
        <v>Team 13</v>
      </c>
      <c r="C31" s="280" t="str">
        <f t="array" ref="C31">IFERROR(INDEX([1]Sheet1!$D$2:$D$113,MATCH(1,($B31= [1]Sheet1!$C$2:$C$113)*($A31=[1]Sheet1!$B$2:$B$113),0)),INDEX([1]Sheet1!$C$2:$C$113,MATCH(1,($B31= [1]Sheet1!$D$2:$D$113)*($A31=[1]Sheet1!$B$2:$B$113),0)))</f>
        <v>Team 15</v>
      </c>
      <c r="D31" s="309">
        <f t="array" ref="D31">IFERROR(INDEX([1]Sheet1!$E$2:$E$113,MATCH(1,($B31= [1]Sheet1!$C$2:$C$113)*($A31=[1]Sheet1!$B$2:$B$113),0)),INDEX([1]Sheet1!$F$2:$F$113,MATCH(1,($B31= [1]Sheet1!$D$2:$D$113)*($A31=[1]Sheet1!$B$2:$B$113),0)))</f>
        <v>79.11</v>
      </c>
      <c r="E31" s="309">
        <f t="array" ref="E31">IF($A31&gt;Standings!$Q$27,"",INDEX($D$3:$D$226,(MATCH(1,($B$3:$B$226=$C31)*($A$3:$A$226=$A31),0))))</f>
        <v>148.19</v>
      </c>
      <c r="F31" s="310">
        <f>IF(A31&gt;Standings!$Q$27,"",IFERROR(VLOOKUP($B31,'[2]Week 2'!B$2:C$17,2,0),"No FAAB Entered"))</f>
        <v>0</v>
      </c>
      <c r="G31" s="310">
        <f>IF(A31&gt;Standings!$Q$27,"",H31-I31)</f>
        <v>0</v>
      </c>
      <c r="H31" s="310">
        <f>IF(A31&gt;Standings!$Q$27,"",I15)</f>
        <v>100</v>
      </c>
      <c r="I31" s="311">
        <f>IF(A31&gt;Standings!$Q$27,"",100-F31)</f>
        <v>100</v>
      </c>
      <c r="J31" s="137"/>
      <c r="L31" s="318"/>
      <c r="M31" s="407" t="str">
        <f t="shared" si="0"/>
        <v>Team 10</v>
      </c>
      <c r="N31" s="411" t="s">
        <v>67</v>
      </c>
      <c r="R31" s="318"/>
      <c r="S31" s="318"/>
      <c r="T31" s="318"/>
    </row>
    <row r="32" spans="1:20" ht="16">
      <c r="A32" s="281">
        <v>2</v>
      </c>
      <c r="B32" s="416" t="str">
        <f>$L$17</f>
        <v>Team 14</v>
      </c>
      <c r="C32" s="280" t="str">
        <f t="array" ref="C32">IFERROR(INDEX([1]Sheet1!$D$2:$D$113,MATCH(1,($B32= [1]Sheet1!$C$2:$C$113)*($A32=[1]Sheet1!$B$2:$B$113),0)),INDEX([1]Sheet1!$C$2:$C$113,MATCH(1,($B32= [1]Sheet1!$D$2:$D$113)*($A32=[1]Sheet1!$B$2:$B$113),0)))</f>
        <v>Team 16</v>
      </c>
      <c r="D32" s="309">
        <f t="array" ref="D32">IFERROR(INDEX([1]Sheet1!$E$2:$E$113,MATCH(1,($B32= [1]Sheet1!$C$2:$C$113)*($A32=[1]Sheet1!$B$2:$B$113),0)),INDEX([1]Sheet1!$F$2:$F$113,MATCH(1,($B32= [1]Sheet1!$D$2:$D$113)*($A32=[1]Sheet1!$B$2:$B$113),0)))</f>
        <v>131.12</v>
      </c>
      <c r="E32" s="309">
        <f t="array" ref="E32">IF($A32&gt;Standings!$Q$27,"",INDEX($D$3:$D$226,(MATCH(1,($B$3:$B$226=$C32)*($A$3:$A$226=$A32),0))))</f>
        <v>108.89</v>
      </c>
      <c r="F32" s="310">
        <f>IF(A32&gt;Standings!$Q$27,"",IFERROR(VLOOKUP($B32,'[2]Week 2'!B$2:C$17,2,0),"No FAAB Entered"))</f>
        <v>0</v>
      </c>
      <c r="G32" s="310">
        <f>IF(A32&gt;Standings!$Q$27,"",H32-I32)</f>
        <v>0</v>
      </c>
      <c r="H32" s="310">
        <f>IF(A32&gt;Standings!$Q$27,"",I16)</f>
        <v>100</v>
      </c>
      <c r="I32" s="311">
        <f>IF(A32&gt;Standings!$Q$27,"",100-F32)</f>
        <v>100</v>
      </c>
      <c r="J32" s="137"/>
      <c r="L32" s="318"/>
      <c r="M32" s="405" t="str">
        <f t="shared" si="0"/>
        <v>Team 11</v>
      </c>
      <c r="N32" s="406">
        <v>2</v>
      </c>
      <c r="R32" s="318"/>
      <c r="S32" s="318"/>
      <c r="T32" s="318"/>
    </row>
    <row r="33" spans="1:20" ht="16">
      <c r="A33" s="281">
        <v>2</v>
      </c>
      <c r="B33" s="416" t="str">
        <f>$L$18</f>
        <v>Team 15</v>
      </c>
      <c r="C33" s="280" t="str">
        <f t="array" ref="C33">IFERROR(INDEX([1]Sheet1!$D$2:$D$113,MATCH(1,($B33= [1]Sheet1!$C$2:$C$113)*($A33=[1]Sheet1!$B$2:$B$113),0)),INDEX([1]Sheet1!$C$2:$C$113,MATCH(1,($B33= [1]Sheet1!$D$2:$D$113)*($A33=[1]Sheet1!$B$2:$B$113),0)))</f>
        <v>Team 13</v>
      </c>
      <c r="D33" s="309">
        <f t="array" ref="D33">IFERROR(INDEX([1]Sheet1!$E$2:$E$113,MATCH(1,($B33= [1]Sheet1!$C$2:$C$113)*($A33=[1]Sheet1!$B$2:$B$113),0)),INDEX([1]Sheet1!$F$2:$F$113,MATCH(1,($B33= [1]Sheet1!$D$2:$D$113)*($A33=[1]Sheet1!$B$2:$B$113),0)))</f>
        <v>148.19</v>
      </c>
      <c r="E33" s="309">
        <f t="array" ref="E33">IF($A33&gt;Standings!$Q$27,"",INDEX($D$3:$D$226,(MATCH(1,($B$3:$B$226=$C33)*($A$3:$A$226=$A33),0))))</f>
        <v>79.11</v>
      </c>
      <c r="F33" s="310">
        <f>IF(A33&gt;Standings!$Q$27,"",IFERROR(VLOOKUP($B33,'[2]Week 2'!B$2:C$17,2,0),"No FAAB Entered"))</f>
        <v>0</v>
      </c>
      <c r="G33" s="310">
        <f>IF(A33&gt;Standings!$Q$27,"",H33-I33)</f>
        <v>0</v>
      </c>
      <c r="H33" s="310">
        <f>IF(A33&gt;Standings!$Q$27,"",I17)</f>
        <v>100</v>
      </c>
      <c r="I33" s="311">
        <f>IF(A33&gt;Standings!$Q$27,"",100-F33)</f>
        <v>100</v>
      </c>
      <c r="J33" s="137"/>
      <c r="L33" s="318"/>
      <c r="M33" s="405" t="str">
        <f t="shared" si="0"/>
        <v>Team 12</v>
      </c>
      <c r="N33" s="406">
        <v>14</v>
      </c>
      <c r="R33" s="321"/>
      <c r="S33" s="318"/>
      <c r="T33" s="318"/>
    </row>
    <row r="34" spans="1:20" ht="17" thickBot="1">
      <c r="A34" s="283">
        <v>2</v>
      </c>
      <c r="B34" s="417" t="str">
        <f>$L$19</f>
        <v>Team 16</v>
      </c>
      <c r="C34" s="282" t="str">
        <f t="array" ref="C34">IFERROR(INDEX([1]Sheet1!$D$2:$D$113,MATCH(1,($B34= [1]Sheet1!$C$2:$C$113)*($A34=[1]Sheet1!$B$2:$B$113),0)),INDEX([1]Sheet1!$C$2:$C$113,MATCH(1,($B34= [1]Sheet1!$D$2:$D$113)*($A34=[1]Sheet1!$B$2:$B$113),0)))</f>
        <v>Team 14</v>
      </c>
      <c r="D34" s="312">
        <f t="array" ref="D34">IFERROR(INDEX([1]Sheet1!$E$2:$E$113,MATCH(1,($B34= [1]Sheet1!$C$2:$C$113)*($A34=[1]Sheet1!$B$2:$B$113),0)),INDEX([1]Sheet1!$F$2:$F$113,MATCH(1,($B34= [1]Sheet1!$D$2:$D$113)*($A34=[1]Sheet1!$B$2:$B$113),0)))</f>
        <v>108.89</v>
      </c>
      <c r="E34" s="312">
        <f t="array" ref="E34">IF($A34&gt;Standings!$Q$27,"",INDEX($D$3:$D$226,(MATCH(1,($B$3:$B$226=$C34)*($A$3:$A$226=$A34),0))))</f>
        <v>131.12</v>
      </c>
      <c r="F34" s="313">
        <f>IF(A34&gt;Standings!$Q$27,"",IFERROR(VLOOKUP($B34,'[2]Week 2'!B$2:C$17,2,0),"No FAAB Entered"))</f>
        <v>0</v>
      </c>
      <c r="G34" s="313">
        <f>IF(A34&gt;Standings!$Q$27,"",H34-I34)</f>
        <v>0</v>
      </c>
      <c r="H34" s="313">
        <f>IF(A34&gt;Standings!$Q$27,"",I18)</f>
        <v>100</v>
      </c>
      <c r="I34" s="314">
        <f>IF(A34&gt;Standings!$Q$27,"",100-F34)</f>
        <v>100</v>
      </c>
      <c r="J34" s="137"/>
      <c r="L34" s="318"/>
      <c r="M34" s="405" t="str">
        <f t="shared" si="0"/>
        <v>Team 13</v>
      </c>
      <c r="N34" s="406">
        <v>8</v>
      </c>
      <c r="R34" s="318"/>
      <c r="S34" s="318"/>
      <c r="T34" s="318"/>
    </row>
    <row r="35" spans="1:20" ht="16">
      <c r="A35" s="277">
        <f t="shared" ref="A35:A83" si="1">A19+1</f>
        <v>3</v>
      </c>
      <c r="B35" s="414" t="str">
        <f>$L$4</f>
        <v>Team 1</v>
      </c>
      <c r="C35" s="276" t="str">
        <f t="array" ref="C35">IFERROR(INDEX([1]Sheet1!$D$2:$D$113,MATCH(1,($B35= [1]Sheet1!$C$2:$C$113)*($A35=[1]Sheet1!$B$2:$B$113),0)),INDEX([1]Sheet1!$C$2:$C$113,MATCH(1,($B35= [1]Sheet1!$D$2:$D$113)*($A35=[1]Sheet1!$B$2:$B$113),0)))</f>
        <v>Team 15</v>
      </c>
      <c r="D35" s="295">
        <f t="array" ref="D35">IFERROR(INDEX([1]Sheet1!$E$2:$E$113,MATCH(1,($B35= [1]Sheet1!$C$2:$C$113)*($A35=[1]Sheet1!$B$2:$B$113),0)),INDEX([1]Sheet1!$F$2:$F$113,MATCH(1,($B35= [1]Sheet1!$D$2:$D$113)*($A35=[1]Sheet1!$B$2:$B$113),0)))</f>
        <v>113.11</v>
      </c>
      <c r="E35" s="295">
        <f t="array" ref="E35">IF($A35&gt;Standings!$Q$27,"",INDEX($D$3:$D$226,(MATCH(1,($B$3:$B$226=$C35)*($A$3:$A$226=$A35),0))))</f>
        <v>108.7</v>
      </c>
      <c r="F35" s="296">
        <f>IF(A35&gt;Standings!$Q$27,"",IFERROR(VLOOKUP($B35,'[2]Week 3 '!B$2:C$17,2,0),"No FAAB Entered"))</f>
        <v>9</v>
      </c>
      <c r="G35" s="296">
        <f>IF(A35&gt;Standings!$Q$27,"",H35-I35)</f>
        <v>0</v>
      </c>
      <c r="H35" s="296">
        <f>IF(A35&gt;Standings!$Q$27,"",I19)</f>
        <v>91</v>
      </c>
      <c r="I35" s="297">
        <f>IF(A35&gt;Standings!$Q$27,"",100-F35)</f>
        <v>91</v>
      </c>
      <c r="J35" s="137"/>
      <c r="L35" s="318"/>
      <c r="M35" s="405" t="str">
        <f t="shared" si="0"/>
        <v>Team 14</v>
      </c>
      <c r="N35" s="406">
        <v>6</v>
      </c>
      <c r="R35" s="321"/>
      <c r="S35" s="318"/>
      <c r="T35" s="318"/>
    </row>
    <row r="36" spans="1:20" ht="16">
      <c r="A36" s="279">
        <f t="shared" si="1"/>
        <v>3</v>
      </c>
      <c r="B36" s="415" t="str">
        <f>$L$5</f>
        <v>Team 2</v>
      </c>
      <c r="C36" s="278" t="str">
        <f t="array" ref="C36">IFERROR(INDEX([1]Sheet1!$D$2:$D$113,MATCH(1,($B36= [1]Sheet1!$C$2:$C$113)*($A36=[1]Sheet1!$B$2:$B$113),0)),INDEX([1]Sheet1!$C$2:$C$113,MATCH(1,($B36= [1]Sheet1!$D$2:$D$113)*($A36=[1]Sheet1!$B$2:$B$113),0)))</f>
        <v>Team 14</v>
      </c>
      <c r="D36" s="302">
        <f t="array" ref="D36">IFERROR(INDEX([1]Sheet1!$E$2:$E$113,MATCH(1,($B36= [1]Sheet1!$C$2:$C$113)*($A36=[1]Sheet1!$B$2:$B$113),0)),INDEX([1]Sheet1!$F$2:$F$113,MATCH(1,($B36= [1]Sheet1!$D$2:$D$113)*($A36=[1]Sheet1!$B$2:$B$113),0)))</f>
        <v>86.82</v>
      </c>
      <c r="E36" s="302">
        <f t="array" ref="E36">IF($A36&gt;Standings!$Q$27,"",INDEX($D$3:$D$226,(MATCH(1,($B$3:$B$226=$C36)*($A$3:$A$226=$A36),0))))</f>
        <v>120.14</v>
      </c>
      <c r="F36" s="303">
        <f>IF(A36&gt;Standings!$Q$27,"",IFERROR(VLOOKUP($B36,'[2]Week 3 '!B$2:C$17,2,0),"No FAAB Entered"))</f>
        <v>9</v>
      </c>
      <c r="G36" s="303">
        <f>IF(A36&gt;Standings!$Q$27,"",H36-I36)</f>
        <v>0</v>
      </c>
      <c r="H36" s="303">
        <f>IF(A36&gt;Standings!$Q$27,"",I20)</f>
        <v>91</v>
      </c>
      <c r="I36" s="304">
        <f>IF(A36&gt;Standings!$Q$27,"",100-F36)</f>
        <v>91</v>
      </c>
      <c r="J36" s="137"/>
      <c r="L36" s="318"/>
      <c r="M36" s="407" t="str">
        <f t="shared" si="0"/>
        <v>Team 15</v>
      </c>
      <c r="N36" s="406">
        <v>10</v>
      </c>
      <c r="R36" s="318"/>
      <c r="S36" s="318"/>
      <c r="T36" s="318"/>
    </row>
    <row r="37" spans="1:20" ht="16">
      <c r="A37" s="279">
        <f t="shared" si="1"/>
        <v>3</v>
      </c>
      <c r="B37" s="415" t="str">
        <f>$L$6</f>
        <v>Team 3</v>
      </c>
      <c r="C37" s="278" t="str">
        <f t="array" ref="C37">IFERROR(INDEX([1]Sheet1!$D$2:$D$113,MATCH(1,($B37= [1]Sheet1!$C$2:$C$113)*($A37=[1]Sheet1!$B$2:$B$113),0)),INDEX([1]Sheet1!$C$2:$C$113,MATCH(1,($B37= [1]Sheet1!$D$2:$D$113)*($A37=[1]Sheet1!$B$2:$B$113),0)))</f>
        <v>Team 11</v>
      </c>
      <c r="D37" s="302">
        <f t="array" ref="D37">IFERROR(INDEX([1]Sheet1!$E$2:$E$113,MATCH(1,($B37= [1]Sheet1!$C$2:$C$113)*($A37=[1]Sheet1!$B$2:$B$113),0)),INDEX([1]Sheet1!$F$2:$F$113,MATCH(1,($B37= [1]Sheet1!$D$2:$D$113)*($A37=[1]Sheet1!$B$2:$B$113),0)))</f>
        <v>75.260000000000005</v>
      </c>
      <c r="E37" s="302">
        <f t="array" ref="E37">IF($A37&gt;Standings!$Q$27,"",INDEX($D$3:$D$226,(MATCH(1,($B$3:$B$226=$C37)*($A$3:$A$226=$A37),0))))</f>
        <v>107.92</v>
      </c>
      <c r="F37" s="303">
        <f>IF(A37&gt;Standings!$Q$27,"",IFERROR(VLOOKUP($B37,'[2]Week 3 '!B$2:C$17,2,0),"No FAAB Entered"))</f>
        <v>0</v>
      </c>
      <c r="G37" s="303">
        <f>IF(A37&gt;Standings!$Q$27,"",H37-I37)</f>
        <v>0</v>
      </c>
      <c r="H37" s="303">
        <f>IF(A37&gt;Standings!$Q$27,"",I21)</f>
        <v>100</v>
      </c>
      <c r="I37" s="304">
        <f>IF(A37&gt;Standings!$Q$27,"",100-F37)</f>
        <v>100</v>
      </c>
      <c r="J37" s="137"/>
      <c r="L37" s="318"/>
      <c r="M37" s="412" t="str">
        <f t="shared" si="0"/>
        <v>Team 16</v>
      </c>
      <c r="N37" s="310">
        <v>12</v>
      </c>
      <c r="R37" s="318"/>
      <c r="S37" s="318"/>
      <c r="T37" s="318"/>
    </row>
    <row r="38" spans="1:20" ht="16">
      <c r="A38" s="279">
        <f t="shared" si="1"/>
        <v>3</v>
      </c>
      <c r="B38" s="415" t="str">
        <f>$L$7</f>
        <v>Team 4</v>
      </c>
      <c r="C38" s="278" t="str">
        <f t="array" ref="C38">IFERROR(INDEX([1]Sheet1!$D$2:$D$113,MATCH(1,($B38= [1]Sheet1!$C$2:$C$113)*($A38=[1]Sheet1!$B$2:$B$113),0)),INDEX([1]Sheet1!$C$2:$C$113,MATCH(1,($B38= [1]Sheet1!$D$2:$D$113)*($A38=[1]Sheet1!$B$2:$B$113),0)))</f>
        <v>Team 12</v>
      </c>
      <c r="D38" s="302">
        <f t="array" ref="D38">IFERROR(INDEX([1]Sheet1!$E$2:$E$113,MATCH(1,($B38= [1]Sheet1!$C$2:$C$113)*($A38=[1]Sheet1!$B$2:$B$113),0)),INDEX([1]Sheet1!$F$2:$F$113,MATCH(1,($B38= [1]Sheet1!$D$2:$D$113)*($A38=[1]Sheet1!$B$2:$B$113),0)))</f>
        <v>121.5</v>
      </c>
      <c r="E38" s="302">
        <f t="array" ref="E38">IF($A38&gt;Standings!$Q$27,"",INDEX($D$3:$D$226,(MATCH(1,($B$3:$B$226=$C38)*($A$3:$A$226=$A38),0))))</f>
        <v>84.94</v>
      </c>
      <c r="F38" s="303">
        <f>IF(A38&gt;Standings!$Q$27,"",IFERROR(VLOOKUP($B38,'[2]Week 3 '!B$2:C$17,2,0),"No FAAB Entered"))</f>
        <v>9</v>
      </c>
      <c r="G38" s="303">
        <f>IF(A38&gt;Standings!$Q$27,"",H38-I38)</f>
        <v>9</v>
      </c>
      <c r="H38" s="303">
        <f>IF(A38&gt;Standings!$Q$27,"",I22)</f>
        <v>100</v>
      </c>
      <c r="I38" s="304">
        <f>IF(A38&gt;Standings!$Q$27,"",100-F38)</f>
        <v>91</v>
      </c>
      <c r="J38" s="315"/>
      <c r="L38" s="318"/>
      <c r="R38" s="318"/>
      <c r="S38" s="318"/>
      <c r="T38" s="318"/>
    </row>
    <row r="39" spans="1:20" ht="15" customHeight="1">
      <c r="A39" s="279">
        <f t="shared" si="1"/>
        <v>3</v>
      </c>
      <c r="B39" s="415" t="str">
        <f>$L$8</f>
        <v>Team 5</v>
      </c>
      <c r="C39" s="278" t="str">
        <f t="array" ref="C39">IFERROR(INDEX([1]Sheet1!$D$2:$D$113,MATCH(1,($B39= [1]Sheet1!$C$2:$C$113)*($A39=[1]Sheet1!$B$2:$B$113),0)),INDEX([1]Sheet1!$C$2:$C$113,MATCH(1,($B39= [1]Sheet1!$D$2:$D$113)*($A39=[1]Sheet1!$B$2:$B$113),0)))</f>
        <v>Team 8</v>
      </c>
      <c r="D39" s="302">
        <f t="array" ref="D39">IFERROR(INDEX([1]Sheet1!$E$2:$E$113,MATCH(1,($B39= [1]Sheet1!$C$2:$C$113)*($A39=[1]Sheet1!$B$2:$B$113),0)),INDEX([1]Sheet1!$F$2:$F$113,MATCH(1,($B39= [1]Sheet1!$D$2:$D$113)*($A39=[1]Sheet1!$B$2:$B$113),0)))</f>
        <v>155.85</v>
      </c>
      <c r="E39" s="302">
        <f t="array" ref="E39">IF($A39&gt;Standings!$Q$27,"",INDEX($D$3:$D$226,(MATCH(1,($B$3:$B$226=$C39)*($A$3:$A$226=$A39),0))))</f>
        <v>133.66</v>
      </c>
      <c r="F39" s="303">
        <f>IF(A39&gt;Standings!$Q$27,"",IFERROR(VLOOKUP($B39,'[2]Week 3 '!B$2:C$17,2,0),"No FAAB Entered"))</f>
        <v>36</v>
      </c>
      <c r="G39" s="303">
        <f>IF(A39&gt;Standings!$Q$27,"",H39-I39)</f>
        <v>11</v>
      </c>
      <c r="H39" s="303">
        <f>IF(A39&gt;Standings!$Q$27,"",I23)</f>
        <v>75</v>
      </c>
      <c r="I39" s="304">
        <f>IF(A39&gt;Standings!$Q$27,"",100-F39)</f>
        <v>64</v>
      </c>
      <c r="J39" s="327"/>
      <c r="L39" s="318"/>
      <c r="O39" s="137"/>
      <c r="R39" s="318"/>
      <c r="S39" s="318"/>
      <c r="T39" s="318"/>
    </row>
    <row r="40" spans="1:20" ht="16">
      <c r="A40" s="279">
        <f t="shared" si="1"/>
        <v>3</v>
      </c>
      <c r="B40" s="415" t="str">
        <f>$L$9</f>
        <v>Team 6</v>
      </c>
      <c r="C40" s="278" t="str">
        <f t="array" ref="C40">IFERROR(INDEX([1]Sheet1!$D$2:$D$113,MATCH(1,($B40= [1]Sheet1!$C$2:$C$113)*($A40=[1]Sheet1!$B$2:$B$113),0)),INDEX([1]Sheet1!$C$2:$C$113,MATCH(1,($B40= [1]Sheet1!$D$2:$D$113)*($A40=[1]Sheet1!$B$2:$B$113),0)))</f>
        <v>Team 9</v>
      </c>
      <c r="D40" s="302">
        <f t="array" ref="D40">IFERROR(INDEX([1]Sheet1!$E$2:$E$113,MATCH(1,($B40= [1]Sheet1!$C$2:$C$113)*($A40=[1]Sheet1!$B$2:$B$113),0)),INDEX([1]Sheet1!$F$2:$F$113,MATCH(1,($B40= [1]Sheet1!$D$2:$D$113)*($A40=[1]Sheet1!$B$2:$B$113),0)))</f>
        <v>101.93</v>
      </c>
      <c r="E40" s="302">
        <f t="array" ref="E40">IF($A40&gt;Standings!$Q$27,"",INDEX($D$3:$D$226,(MATCH(1,($B$3:$B$226=$C40)*($A$3:$A$226=$A40),0))))</f>
        <v>96.08</v>
      </c>
      <c r="F40" s="303">
        <f>IF(A40&gt;Standings!$Q$27,"",IFERROR(VLOOKUP($B40,'[2]Week 3 '!B$2:C$17,2,0),"No FAAB Entered"))</f>
        <v>5</v>
      </c>
      <c r="G40" s="303">
        <f>IF(A40&gt;Standings!$Q$27,"",H40-I40)</f>
        <v>5</v>
      </c>
      <c r="H40" s="303">
        <f>IF(A40&gt;Standings!$Q$27,"",I24)</f>
        <v>100</v>
      </c>
      <c r="I40" s="304">
        <f>IF(A40&gt;Standings!$Q$27,"",100-F40)</f>
        <v>95</v>
      </c>
      <c r="J40" s="118"/>
      <c r="L40" s="318"/>
      <c r="O40" s="137"/>
      <c r="R40" s="318"/>
      <c r="S40" s="318"/>
      <c r="T40" s="318"/>
    </row>
    <row r="41" spans="1:20" ht="16">
      <c r="A41" s="279">
        <f t="shared" si="1"/>
        <v>3</v>
      </c>
      <c r="B41" s="415" t="str">
        <f>$L$10</f>
        <v>Team 7</v>
      </c>
      <c r="C41" s="278" t="str">
        <f t="array" ref="C41">IFERROR(INDEX([1]Sheet1!$D$2:$D$113,MATCH(1,($B41= [1]Sheet1!$C$2:$C$113)*($A41=[1]Sheet1!$B$2:$B$113),0)),INDEX([1]Sheet1!$C$2:$C$113,MATCH(1,($B41= [1]Sheet1!$D$2:$D$113)*($A41=[1]Sheet1!$B$2:$B$113),0)))</f>
        <v>Team 16</v>
      </c>
      <c r="D41" s="302">
        <f t="array" ref="D41">IFERROR(INDEX([1]Sheet1!$E$2:$E$113,MATCH(1,($B41= [1]Sheet1!$C$2:$C$113)*($A41=[1]Sheet1!$B$2:$B$113),0)),INDEX([1]Sheet1!$F$2:$F$113,MATCH(1,($B41= [1]Sheet1!$D$2:$D$113)*($A41=[1]Sheet1!$B$2:$B$113),0)))</f>
        <v>139.19</v>
      </c>
      <c r="E41" s="302">
        <f t="array" ref="E41">IF($A41&gt;Standings!$Q$27,"",INDEX($D$3:$D$226,(MATCH(1,($B$3:$B$226=$C41)*($A$3:$A$226=$A41),0))))</f>
        <v>102.88</v>
      </c>
      <c r="F41" s="303">
        <f>IF(A41&gt;Standings!$Q$27,"",IFERROR(VLOOKUP($B41,'[2]Week 3 '!B$2:C$17,2,0),"No FAAB Entered"))</f>
        <v>0</v>
      </c>
      <c r="G41" s="303">
        <f>IF(A41&gt;Standings!$Q$27,"",H41-I41)</f>
        <v>0</v>
      </c>
      <c r="H41" s="303">
        <f>IF(A41&gt;Standings!$Q$27,"",I25)</f>
        <v>100</v>
      </c>
      <c r="I41" s="304">
        <f>IF(A41&gt;Standings!$Q$27,"",100-F41)</f>
        <v>100</v>
      </c>
      <c r="J41" s="137"/>
      <c r="O41" s="137"/>
      <c r="R41" s="318"/>
      <c r="S41" s="318"/>
      <c r="T41" s="318"/>
    </row>
    <row r="42" spans="1:20" ht="16">
      <c r="A42" s="279">
        <f t="shared" si="1"/>
        <v>3</v>
      </c>
      <c r="B42" s="415" t="str">
        <f>$L$11</f>
        <v>Team 8</v>
      </c>
      <c r="C42" s="278" t="str">
        <f t="array" ref="C42">IFERROR(INDEX([1]Sheet1!$D$2:$D$113,MATCH(1,($B42= [1]Sheet1!$C$2:$C$113)*($A42=[1]Sheet1!$B$2:$B$113),0)),INDEX([1]Sheet1!$C$2:$C$113,MATCH(1,($B42= [1]Sheet1!$D$2:$D$113)*($A42=[1]Sheet1!$B$2:$B$113),0)))</f>
        <v>Team 5</v>
      </c>
      <c r="D42" s="302">
        <f t="array" ref="D42">IFERROR(INDEX([1]Sheet1!$E$2:$E$113,MATCH(1,($B42= [1]Sheet1!$C$2:$C$113)*($A42=[1]Sheet1!$B$2:$B$113),0)),INDEX([1]Sheet1!$F$2:$F$113,MATCH(1,($B42= [1]Sheet1!$D$2:$D$113)*($A42=[1]Sheet1!$B$2:$B$113),0)))</f>
        <v>133.66</v>
      </c>
      <c r="E42" s="302">
        <f t="array" ref="E42">IF($A42&gt;Standings!$Q$27,"",INDEX($D$3:$D$226,(MATCH(1,($B$3:$B$226=$C42)*($A$3:$A$226=$A42),0))))</f>
        <v>155.85</v>
      </c>
      <c r="F42" s="303">
        <f>IF(A42&gt;Standings!$Q$27,"",IFERROR(VLOOKUP($B42,'[2]Week 3 '!B$2:C$17,2,0),"No FAAB Entered"))</f>
        <v>4</v>
      </c>
      <c r="G42" s="303">
        <f>IF(A42&gt;Standings!$Q$27,"",H42-I42)</f>
        <v>0</v>
      </c>
      <c r="H42" s="303">
        <f>IF(A42&gt;Standings!$Q$27,"",I26)</f>
        <v>96</v>
      </c>
      <c r="I42" s="304">
        <f>IF(A42&gt;Standings!$Q$27,"",100-F42)</f>
        <v>96</v>
      </c>
      <c r="J42" s="137"/>
      <c r="K42" s="318"/>
      <c r="O42" s="137"/>
      <c r="R42" s="318"/>
      <c r="S42" s="318"/>
      <c r="T42" s="318"/>
    </row>
    <row r="43" spans="1:20" ht="16">
      <c r="A43" s="281">
        <f t="shared" si="1"/>
        <v>3</v>
      </c>
      <c r="B43" s="416" t="str">
        <f>$L$12</f>
        <v>Team 9</v>
      </c>
      <c r="C43" s="280" t="str">
        <f t="array" ref="C43">IFERROR(INDEX([1]Sheet1!$D$2:$D$113,MATCH(1,($B43= [1]Sheet1!$C$2:$C$113)*($A43=[1]Sheet1!$B$2:$B$113),0)),INDEX([1]Sheet1!$C$2:$C$113,MATCH(1,($B43= [1]Sheet1!$D$2:$D$113)*($A43=[1]Sheet1!$B$2:$B$113),0)))</f>
        <v>Team 6</v>
      </c>
      <c r="D43" s="309">
        <f t="array" ref="D43">IFERROR(INDEX([1]Sheet1!$E$2:$E$113,MATCH(1,($B43= [1]Sheet1!$C$2:$C$113)*($A43=[1]Sheet1!$B$2:$B$113),0)),INDEX([1]Sheet1!$F$2:$F$113,MATCH(1,($B43= [1]Sheet1!$D$2:$D$113)*($A43=[1]Sheet1!$B$2:$B$113),0)))</f>
        <v>96.08</v>
      </c>
      <c r="E43" s="309">
        <f t="array" ref="E43">IF($A43&gt;Standings!$Q$27,"",INDEX($D$3:$D$226,(MATCH(1,($B$3:$B$226=$C43)*($A$3:$A$226=$A43),0))))</f>
        <v>101.93</v>
      </c>
      <c r="F43" s="310">
        <f>IF(A43&gt;Standings!$Q$27,"",IFERROR(VLOOKUP($B43,'[2]Week 3 '!B$2:C$17,2,0),"No FAAB Entered"))</f>
        <v>0</v>
      </c>
      <c r="G43" s="310">
        <f>IF(A43&gt;Standings!$Q$27,"",H43-I43)</f>
        <v>0</v>
      </c>
      <c r="H43" s="310">
        <f>IF(A43&gt;Standings!$Q$27,"",I27)</f>
        <v>100</v>
      </c>
      <c r="I43" s="311">
        <f>IF(A43&gt;Standings!$Q$27,"",100-F43)</f>
        <v>100</v>
      </c>
      <c r="J43" s="137"/>
      <c r="K43" s="318"/>
      <c r="O43" s="137"/>
      <c r="R43" s="318"/>
      <c r="S43" s="318"/>
      <c r="T43" s="318"/>
    </row>
    <row r="44" spans="1:20" ht="16">
      <c r="A44" s="281">
        <f t="shared" si="1"/>
        <v>3</v>
      </c>
      <c r="B44" s="416" t="str">
        <f>$L$13</f>
        <v>Team 10</v>
      </c>
      <c r="C44" s="280" t="str">
        <f t="array" ref="C44">IFERROR(INDEX([1]Sheet1!$D$2:$D$113,MATCH(1,($B44= [1]Sheet1!$C$2:$C$113)*($A44=[1]Sheet1!$B$2:$B$113),0)),INDEX([1]Sheet1!$C$2:$C$113,MATCH(1,($B44= [1]Sheet1!$D$2:$D$113)*($A44=[1]Sheet1!$B$2:$B$113),0)))</f>
        <v>Team 13</v>
      </c>
      <c r="D44" s="309">
        <f t="array" ref="D44">IFERROR(INDEX([1]Sheet1!$E$2:$E$113,MATCH(1,($B44= [1]Sheet1!$C$2:$C$113)*($A44=[1]Sheet1!$B$2:$B$113),0)),INDEX([1]Sheet1!$F$2:$F$113,MATCH(1,($B44= [1]Sheet1!$D$2:$D$113)*($A44=[1]Sheet1!$B$2:$B$113),0)))</f>
        <v>122.66</v>
      </c>
      <c r="E44" s="309">
        <f t="array" ref="E44">IF($A44&gt;Standings!$Q$27,"",INDEX($D$3:$D$226,(MATCH(1,($B$3:$B$226=$C44)*($A$3:$A$226=$A44),0))))</f>
        <v>88.72</v>
      </c>
      <c r="F44" s="310">
        <f>IF(A44&gt;Standings!$Q$27,"",IFERROR(VLOOKUP($B44,'[2]Week 3 '!B$2:C$17,2,0),"No FAAB Entered"))</f>
        <v>0</v>
      </c>
      <c r="G44" s="310">
        <f>IF(A44&gt;Standings!$Q$27,"",H44-I44)</f>
        <v>0</v>
      </c>
      <c r="H44" s="310">
        <f>IF(A44&gt;Standings!$Q$27,"",I28)</f>
        <v>100</v>
      </c>
      <c r="I44" s="311">
        <f>IF(A44&gt;Standings!$Q$27,"",100-F44)</f>
        <v>100</v>
      </c>
      <c r="J44" s="137"/>
      <c r="K44" s="318"/>
      <c r="O44" s="137"/>
    </row>
    <row r="45" spans="1:20" ht="16">
      <c r="A45" s="281">
        <f t="shared" si="1"/>
        <v>3</v>
      </c>
      <c r="B45" s="416" t="str">
        <f>$L$14</f>
        <v>Team 11</v>
      </c>
      <c r="C45" s="280" t="str">
        <f t="array" ref="C45">IFERROR(INDEX([1]Sheet1!$D$2:$D$113,MATCH(1,($B45= [1]Sheet1!$C$2:$C$113)*($A45=[1]Sheet1!$B$2:$B$113),0)),INDEX([1]Sheet1!$C$2:$C$113,MATCH(1,($B45= [1]Sheet1!$D$2:$D$113)*($A45=[1]Sheet1!$B$2:$B$113),0)))</f>
        <v>Team 3</v>
      </c>
      <c r="D45" s="309">
        <f t="array" ref="D45">IFERROR(INDEX([1]Sheet1!$E$2:$E$113,MATCH(1,($B45= [1]Sheet1!$C$2:$C$113)*($A45=[1]Sheet1!$B$2:$B$113),0)),INDEX([1]Sheet1!$F$2:$F$113,MATCH(1,($B45= [1]Sheet1!$D$2:$D$113)*($A45=[1]Sheet1!$B$2:$B$113),0)))</f>
        <v>107.92</v>
      </c>
      <c r="E45" s="309">
        <f t="array" ref="E45">IF($A45&gt;Standings!$Q$27,"",INDEX($D$3:$D$226,(MATCH(1,($B$3:$B$226=$C45)*($A$3:$A$226=$A45),0))))</f>
        <v>75.260000000000005</v>
      </c>
      <c r="F45" s="310">
        <f>IF(A45&gt;Standings!$Q$27,"",IFERROR(VLOOKUP($B45,'[2]Week 3 '!B$2:C$17,2,0),"No FAAB Entered"))</f>
        <v>26</v>
      </c>
      <c r="G45" s="310">
        <f>IF(A45&gt;Standings!$Q$27,"",H45-I45)</f>
        <v>6</v>
      </c>
      <c r="H45" s="310">
        <f>IF(A45&gt;Standings!$Q$27,"",I29)</f>
        <v>80</v>
      </c>
      <c r="I45" s="311">
        <f>IF(A45&gt;Standings!$Q$27,"",100-F45)</f>
        <v>74</v>
      </c>
      <c r="J45" s="137"/>
      <c r="K45" s="318"/>
      <c r="M45" s="319"/>
      <c r="N45" s="136"/>
      <c r="O45" s="137"/>
    </row>
    <row r="46" spans="1:20" ht="16">
      <c r="A46" s="281">
        <f t="shared" si="1"/>
        <v>3</v>
      </c>
      <c r="B46" s="416" t="str">
        <f>$L$15</f>
        <v>Team 12</v>
      </c>
      <c r="C46" s="280" t="str">
        <f t="array" ref="C46">IFERROR(INDEX([1]Sheet1!$D$2:$D$113,MATCH(1,($B46= [1]Sheet1!$C$2:$C$113)*($A46=[1]Sheet1!$B$2:$B$113),0)),INDEX([1]Sheet1!$C$2:$C$113,MATCH(1,($B46= [1]Sheet1!$D$2:$D$113)*($A46=[1]Sheet1!$B$2:$B$113),0)))</f>
        <v>Team 4</v>
      </c>
      <c r="D46" s="309">
        <f t="array" ref="D46">IFERROR(INDEX([1]Sheet1!$E$2:$E$113,MATCH(1,($B46= [1]Sheet1!$C$2:$C$113)*($A46=[1]Sheet1!$B$2:$B$113),0)),INDEX([1]Sheet1!$F$2:$F$113,MATCH(1,($B46= [1]Sheet1!$D$2:$D$113)*($A46=[1]Sheet1!$B$2:$B$113),0)))</f>
        <v>84.94</v>
      </c>
      <c r="E46" s="309">
        <f t="array" ref="E46">IF($A46&gt;Standings!$Q$27,"",INDEX($D$3:$D$226,(MATCH(1,($B$3:$B$226=$C46)*($A$3:$A$226=$A46),0))))</f>
        <v>121.5</v>
      </c>
      <c r="F46" s="310">
        <f>IF(A46&gt;Standings!$Q$27,"",IFERROR(VLOOKUP($B46,'[2]Week 3 '!B$2:C$17,2,0),"No FAAB Entered"))</f>
        <v>49</v>
      </c>
      <c r="G46" s="310">
        <f>IF(A46&gt;Standings!$Q$27,"",H46-I46)</f>
        <v>40</v>
      </c>
      <c r="H46" s="310">
        <f>IF(A46&gt;Standings!$Q$27,"",I30)</f>
        <v>91</v>
      </c>
      <c r="I46" s="311">
        <f>IF(A46&gt;Standings!$Q$27,"",100-F46)</f>
        <v>51</v>
      </c>
      <c r="J46" s="137"/>
      <c r="K46" s="318"/>
      <c r="M46" s="319"/>
      <c r="N46" s="136"/>
      <c r="O46" s="137"/>
    </row>
    <row r="47" spans="1:20" ht="16">
      <c r="A47" s="281">
        <f t="shared" si="1"/>
        <v>3</v>
      </c>
      <c r="B47" s="416" t="str">
        <f>$L$16</f>
        <v>Team 13</v>
      </c>
      <c r="C47" s="280" t="str">
        <f t="array" ref="C47">IFERROR(INDEX([1]Sheet1!$D$2:$D$113,MATCH(1,($B47= [1]Sheet1!$C$2:$C$113)*($A47=[1]Sheet1!$B$2:$B$113),0)),INDEX([1]Sheet1!$C$2:$C$113,MATCH(1,($B47= [1]Sheet1!$D$2:$D$113)*($A47=[1]Sheet1!$B$2:$B$113),0)))</f>
        <v>Team 10</v>
      </c>
      <c r="D47" s="309">
        <f t="array" ref="D47">IFERROR(INDEX([1]Sheet1!$E$2:$E$113,MATCH(1,($B47= [1]Sheet1!$C$2:$C$113)*($A47=[1]Sheet1!$B$2:$B$113),0)),INDEX([1]Sheet1!$F$2:$F$113,MATCH(1,($B47= [1]Sheet1!$D$2:$D$113)*($A47=[1]Sheet1!$B$2:$B$113),0)))</f>
        <v>88.72</v>
      </c>
      <c r="E47" s="309">
        <f t="array" ref="E47">IF($A47&gt;Standings!$Q$27,"",INDEX($D$3:$D$226,(MATCH(1,($B$3:$B$226=$C47)*($A$3:$A$226=$A47),0))))</f>
        <v>122.66</v>
      </c>
      <c r="F47" s="310">
        <f>IF(A47&gt;Standings!$Q$27,"",IFERROR(VLOOKUP($B47,'[2]Week 3 '!B$2:C$17,2,0),"No FAAB Entered"))</f>
        <v>0</v>
      </c>
      <c r="G47" s="310">
        <f>IF(A47&gt;Standings!$Q$27,"",H47-I47)</f>
        <v>0</v>
      </c>
      <c r="H47" s="310">
        <f>IF(A47&gt;Standings!$Q$27,"",I31)</f>
        <v>100</v>
      </c>
      <c r="I47" s="311">
        <f>IF(A47&gt;Standings!$Q$27,"",100-F47)</f>
        <v>100</v>
      </c>
      <c r="J47" s="137"/>
      <c r="K47" s="318"/>
      <c r="M47" s="319"/>
      <c r="N47" s="136"/>
    </row>
    <row r="48" spans="1:20" ht="16">
      <c r="A48" s="281">
        <f t="shared" si="1"/>
        <v>3</v>
      </c>
      <c r="B48" s="416" t="str">
        <f>$L$17</f>
        <v>Team 14</v>
      </c>
      <c r="C48" s="280" t="str">
        <f t="array" ref="C48">IFERROR(INDEX([1]Sheet1!$D$2:$D$113,MATCH(1,($B48= [1]Sheet1!$C$2:$C$113)*($A48=[1]Sheet1!$B$2:$B$113),0)),INDEX([1]Sheet1!$C$2:$C$113,MATCH(1,($B48= [1]Sheet1!$D$2:$D$113)*($A48=[1]Sheet1!$B$2:$B$113),0)))</f>
        <v>Team 2</v>
      </c>
      <c r="D48" s="309">
        <f t="array" ref="D48">IFERROR(INDEX([1]Sheet1!$E$2:$E$113,MATCH(1,($B48= [1]Sheet1!$C$2:$C$113)*($A48=[1]Sheet1!$B$2:$B$113),0)),INDEX([1]Sheet1!$F$2:$F$113,MATCH(1,($B48= [1]Sheet1!$D$2:$D$113)*($A48=[1]Sheet1!$B$2:$B$113),0)))</f>
        <v>120.14</v>
      </c>
      <c r="E48" s="309">
        <f t="array" ref="E48">IF($A48&gt;Standings!$Q$27,"",INDEX($D$3:$D$226,(MATCH(1,($B$3:$B$226=$C48)*($A$3:$A$226=$A48),0))))</f>
        <v>86.82</v>
      </c>
      <c r="F48" s="310">
        <f>IF(A48&gt;Standings!$Q$27,"",IFERROR(VLOOKUP($B48,'[2]Week 3 '!B$2:C$17,2,0),"No FAAB Entered"))</f>
        <v>0</v>
      </c>
      <c r="G48" s="310">
        <f>IF(A48&gt;Standings!$Q$27,"",H48-I48)</f>
        <v>0</v>
      </c>
      <c r="H48" s="310">
        <f>IF(A48&gt;Standings!$Q$27,"",I32)</f>
        <v>100</v>
      </c>
      <c r="I48" s="311">
        <f>IF(A48&gt;Standings!$Q$27,"",100-F48)</f>
        <v>100</v>
      </c>
      <c r="J48" s="137"/>
      <c r="K48" s="318"/>
      <c r="M48" s="319"/>
      <c r="N48" s="136"/>
    </row>
    <row r="49" spans="1:14" ht="16">
      <c r="A49" s="281">
        <f t="shared" si="1"/>
        <v>3</v>
      </c>
      <c r="B49" s="416" t="str">
        <f>$L$18</f>
        <v>Team 15</v>
      </c>
      <c r="C49" s="280" t="str">
        <f t="array" ref="C49">IFERROR(INDEX([1]Sheet1!$D$2:$D$113,MATCH(1,($B49= [1]Sheet1!$C$2:$C$113)*($A49=[1]Sheet1!$B$2:$B$113),0)),INDEX([1]Sheet1!$C$2:$C$113,MATCH(1,($B49= [1]Sheet1!$D$2:$D$113)*($A49=[1]Sheet1!$B$2:$B$113),0)))</f>
        <v>Team 1</v>
      </c>
      <c r="D49" s="309">
        <f t="array" ref="D49">IFERROR(INDEX([1]Sheet1!$E$2:$E$113,MATCH(1,($B49= [1]Sheet1!$C$2:$C$113)*($A49=[1]Sheet1!$B$2:$B$113),0)),INDEX([1]Sheet1!$F$2:$F$113,MATCH(1,($B49= [1]Sheet1!$D$2:$D$113)*($A49=[1]Sheet1!$B$2:$B$113),0)))</f>
        <v>108.7</v>
      </c>
      <c r="E49" s="309">
        <f t="array" ref="E49">IF($A49&gt;Standings!$Q$27,"",INDEX($D$3:$D$226,(MATCH(1,($B$3:$B$226=$C49)*($A$3:$A$226=$A49),0))))</f>
        <v>113.11</v>
      </c>
      <c r="F49" s="310">
        <f>IF(A49&gt;Standings!$Q$27,"",IFERROR(VLOOKUP($B49,'[2]Week 3 '!B$2:C$17,2,0),"No FAAB Entered"))</f>
        <v>39</v>
      </c>
      <c r="G49" s="310">
        <f>IF(A49&gt;Standings!$Q$27,"",H49-I49)</f>
        <v>39</v>
      </c>
      <c r="H49" s="310">
        <f>IF(A49&gt;Standings!$Q$27,"",I33)</f>
        <v>100</v>
      </c>
      <c r="I49" s="311">
        <f>IF(A49&gt;Standings!$Q$27,"",100-F49)</f>
        <v>61</v>
      </c>
      <c r="J49" s="137"/>
      <c r="K49" s="318"/>
      <c r="M49" s="319"/>
      <c r="N49" s="136"/>
    </row>
    <row r="50" spans="1:14" ht="17" thickBot="1">
      <c r="A50" s="283">
        <f t="shared" si="1"/>
        <v>3</v>
      </c>
      <c r="B50" s="417" t="str">
        <f>$L$19</f>
        <v>Team 16</v>
      </c>
      <c r="C50" s="282" t="str">
        <f t="array" ref="C50">IFERROR(INDEX([1]Sheet1!$D$2:$D$113,MATCH(1,($B50= [1]Sheet1!$C$2:$C$113)*($A50=[1]Sheet1!$B$2:$B$113),0)),INDEX([1]Sheet1!$C$2:$C$113,MATCH(1,($B50= [1]Sheet1!$D$2:$D$113)*($A50=[1]Sheet1!$B$2:$B$113),0)))</f>
        <v>Team 7</v>
      </c>
      <c r="D50" s="312">
        <f t="array" ref="D50">IFERROR(INDEX([1]Sheet1!$E$2:$E$113,MATCH(1,($B50= [1]Sheet1!$C$2:$C$113)*($A50=[1]Sheet1!$B$2:$B$113),0)),INDEX([1]Sheet1!$F$2:$F$113,MATCH(1,($B50= [1]Sheet1!$D$2:$D$113)*($A50=[1]Sheet1!$B$2:$B$113),0)))</f>
        <v>102.88</v>
      </c>
      <c r="E50" s="312">
        <f t="array" ref="E50">IF($A50&gt;Standings!$Q$27,"",INDEX($D$3:$D$226,(MATCH(1,($B$3:$B$226=$C50)*($A$3:$A$226=$A50),0))))</f>
        <v>139.19</v>
      </c>
      <c r="F50" s="313">
        <f>IF(A50&gt;Standings!$Q$27,"",IFERROR(VLOOKUP($B50,'[2]Week 3 '!B$2:C$17,2,0),"No FAAB Entered"))</f>
        <v>100</v>
      </c>
      <c r="G50" s="313">
        <f>IF(A50&gt;Standings!$Q$27,"",H50-I50)</f>
        <v>100</v>
      </c>
      <c r="H50" s="313">
        <f>IF(A50&gt;Standings!$Q$27,"",I34)</f>
        <v>100</v>
      </c>
      <c r="I50" s="314">
        <f>IF(A50&gt;Standings!$Q$27,"",100-F50)</f>
        <v>0</v>
      </c>
      <c r="J50" s="137"/>
      <c r="K50" s="318"/>
      <c r="M50" s="319"/>
      <c r="N50" s="136"/>
    </row>
    <row r="51" spans="1:14" ht="16">
      <c r="A51" s="277">
        <f t="shared" si="1"/>
        <v>4</v>
      </c>
      <c r="B51" s="414" t="str">
        <f>$L$4</f>
        <v>Team 1</v>
      </c>
      <c r="C51" s="276" t="str">
        <f t="array" ref="C51">IFERROR(INDEX([1]Sheet1!$D$2:$D$113,MATCH(1,($B51= [1]Sheet1!$C$2:$C$113)*($A51=[1]Sheet1!$B$2:$B$113),0)),INDEX([1]Sheet1!$C$2:$C$113,MATCH(1,($B51= [1]Sheet1!$D$2:$D$113)*($A51=[1]Sheet1!$B$2:$B$113),0)))</f>
        <v>Team 10</v>
      </c>
      <c r="D51" s="295">
        <f t="array" ref="D51">IFERROR(INDEX([1]Sheet1!$E$2:$E$113,MATCH(1,($B51= [1]Sheet1!$C$2:$C$113)*($A51=[1]Sheet1!$B$2:$B$113),0)),INDEX([1]Sheet1!$F$2:$F$113,MATCH(1,($B51= [1]Sheet1!$D$2:$D$113)*($A51=[1]Sheet1!$B$2:$B$113),0)))</f>
        <v>97.92</v>
      </c>
      <c r="E51" s="295">
        <f t="array" ref="E51">IF($A51&gt;Standings!$Q$27,"",INDEX($D$3:$D$226,(MATCH(1,($B$3:$B$226=$C51)*($A$3:$A$226=$A51),0))))</f>
        <v>121.55</v>
      </c>
      <c r="F51" s="296">
        <f>IF(A51&gt;Standings!$Q$27,"",IFERROR(VLOOKUP($B51,'[2]Week 4 '!B$2:C$17,2,0),"No FAAB Entered"))</f>
        <v>66</v>
      </c>
      <c r="G51" s="296">
        <f>IF(A51&gt;Standings!$Q$27,"",H51-I51)</f>
        <v>57</v>
      </c>
      <c r="H51" s="296">
        <f>IF(A51&gt;Standings!$Q$27,"",I35)</f>
        <v>91</v>
      </c>
      <c r="I51" s="297">
        <f>IF(A51&gt;Standings!$Q$27,"",100-F51)</f>
        <v>34</v>
      </c>
      <c r="J51" s="137"/>
      <c r="K51" s="318"/>
      <c r="M51" s="319"/>
      <c r="N51" s="136"/>
    </row>
    <row r="52" spans="1:14" ht="16">
      <c r="A52" s="279">
        <f t="shared" si="1"/>
        <v>4</v>
      </c>
      <c r="B52" s="415" t="str">
        <f>$L$5</f>
        <v>Team 2</v>
      </c>
      <c r="C52" s="278" t="str">
        <f t="array" ref="C52">IFERROR(INDEX([1]Sheet1!$D$2:$D$113,MATCH(1,($B52= [1]Sheet1!$C$2:$C$113)*($A52=[1]Sheet1!$B$2:$B$113),0)),INDEX([1]Sheet1!$C$2:$C$113,MATCH(1,($B52= [1]Sheet1!$D$2:$D$113)*($A52=[1]Sheet1!$B$2:$B$113),0)))</f>
        <v>Team 7</v>
      </c>
      <c r="D52" s="302">
        <f t="array" ref="D52">IFERROR(INDEX([1]Sheet1!$E$2:$E$113,MATCH(1,($B52= [1]Sheet1!$C$2:$C$113)*($A52=[1]Sheet1!$B$2:$B$113),0)),INDEX([1]Sheet1!$F$2:$F$113,MATCH(1,($B52= [1]Sheet1!$D$2:$D$113)*($A52=[1]Sheet1!$B$2:$B$113),0)))</f>
        <v>121.29</v>
      </c>
      <c r="E52" s="302">
        <f t="array" ref="E52">IF($A52&gt;Standings!$Q$27,"",INDEX($D$3:$D$226,(MATCH(1,($B$3:$B$226=$C52)*($A$3:$A$226=$A52),0))))</f>
        <v>87.35</v>
      </c>
      <c r="F52" s="303">
        <f>IF(A52&gt;Standings!$Q$27,"",IFERROR(VLOOKUP($B52,'[2]Week 4 '!B$2:C$17,2,0),"No FAAB Entered"))</f>
        <v>60</v>
      </c>
      <c r="G52" s="303">
        <f>IF(A52&gt;Standings!$Q$27,"",H52-I52)</f>
        <v>51</v>
      </c>
      <c r="H52" s="303">
        <f>IF(A52&gt;Standings!$Q$27,"",I36)</f>
        <v>91</v>
      </c>
      <c r="I52" s="304">
        <f>IF(A52&gt;Standings!$Q$27,"",100-F52)</f>
        <v>40</v>
      </c>
      <c r="J52" s="137"/>
      <c r="K52" s="318"/>
      <c r="M52" s="137"/>
      <c r="N52" s="136"/>
    </row>
    <row r="53" spans="1:14" ht="16">
      <c r="A53" s="279">
        <f t="shared" si="1"/>
        <v>4</v>
      </c>
      <c r="B53" s="415" t="str">
        <f>$L$6</f>
        <v>Team 3</v>
      </c>
      <c r="C53" s="278" t="str">
        <f t="array" ref="C53">IFERROR(INDEX([1]Sheet1!$D$2:$D$113,MATCH(1,($B53= [1]Sheet1!$C$2:$C$113)*($A53=[1]Sheet1!$B$2:$B$113),0)),INDEX([1]Sheet1!$C$2:$C$113,MATCH(1,($B53= [1]Sheet1!$D$2:$D$113)*($A53=[1]Sheet1!$B$2:$B$113),0)))</f>
        <v>Team 15</v>
      </c>
      <c r="D53" s="302">
        <f t="array" ref="D53">IFERROR(INDEX([1]Sheet1!$E$2:$E$113,MATCH(1,($B53= [1]Sheet1!$C$2:$C$113)*($A53=[1]Sheet1!$B$2:$B$113),0)),INDEX([1]Sheet1!$F$2:$F$113,MATCH(1,($B53= [1]Sheet1!$D$2:$D$113)*($A53=[1]Sheet1!$B$2:$B$113),0)))</f>
        <v>92.02</v>
      </c>
      <c r="E53" s="302">
        <f t="array" ref="E53">IF($A53&gt;Standings!$Q$27,"",INDEX($D$3:$D$226,(MATCH(1,($B$3:$B$226=$C53)*($A$3:$A$226=$A53),0))))</f>
        <v>109.16</v>
      </c>
      <c r="F53" s="303">
        <f>IF(A53&gt;Standings!$Q$27,"",IFERROR(VLOOKUP($B53,'[2]Week 4 '!B$2:C$17,2,0),"No FAAB Entered"))</f>
        <v>0</v>
      </c>
      <c r="G53" s="303">
        <f>IF(A53&gt;Standings!$Q$27,"",H53-I53)</f>
        <v>0</v>
      </c>
      <c r="H53" s="303">
        <f>IF(A53&gt;Standings!$Q$27,"",I37)</f>
        <v>100</v>
      </c>
      <c r="I53" s="304">
        <f>IF(A53&gt;Standings!$Q$27,"",100-F53)</f>
        <v>100</v>
      </c>
      <c r="J53" s="137"/>
      <c r="K53" s="318"/>
      <c r="M53" s="319"/>
      <c r="N53" s="136"/>
    </row>
    <row r="54" spans="1:14" ht="16">
      <c r="A54" s="279">
        <f t="shared" si="1"/>
        <v>4</v>
      </c>
      <c r="B54" s="415" t="str">
        <f>$L$7</f>
        <v>Team 4</v>
      </c>
      <c r="C54" s="278" t="str">
        <f t="array" ref="C54">IFERROR(INDEX([1]Sheet1!$D$2:$D$113,MATCH(1,($B54= [1]Sheet1!$C$2:$C$113)*($A54=[1]Sheet1!$B$2:$B$113),0)),INDEX([1]Sheet1!$C$2:$C$113,MATCH(1,($B54= [1]Sheet1!$D$2:$D$113)*($A54=[1]Sheet1!$B$2:$B$113),0)))</f>
        <v>Team 13</v>
      </c>
      <c r="D54" s="302">
        <f t="array" ref="D54">IFERROR(INDEX([1]Sheet1!$E$2:$E$113,MATCH(1,($B54= [1]Sheet1!$C$2:$C$113)*($A54=[1]Sheet1!$B$2:$B$113),0)),INDEX([1]Sheet1!$F$2:$F$113,MATCH(1,($B54= [1]Sheet1!$D$2:$D$113)*($A54=[1]Sheet1!$B$2:$B$113),0)))</f>
        <v>84.76</v>
      </c>
      <c r="E54" s="302">
        <f t="array" ref="E54">IF($A54&gt;Standings!$Q$27,"",INDEX($D$3:$D$226,(MATCH(1,($B$3:$B$226=$C54)*($A$3:$A$226=$A54),0))))</f>
        <v>121.54</v>
      </c>
      <c r="F54" s="303">
        <f>IF(A54&gt;Standings!$Q$27,"",IFERROR(VLOOKUP($B54,'[2]Week 4 '!B$2:C$17,2,0),"No FAAB Entered"))</f>
        <v>19</v>
      </c>
      <c r="G54" s="303">
        <f>IF(A54&gt;Standings!$Q$27,"",H54-I54)</f>
        <v>10</v>
      </c>
      <c r="H54" s="303">
        <f>IF(A54&gt;Standings!$Q$27,"",I38)</f>
        <v>91</v>
      </c>
      <c r="I54" s="304">
        <f>IF(A54&gt;Standings!$Q$27,"",100-F54)</f>
        <v>81</v>
      </c>
      <c r="J54" s="320"/>
      <c r="K54" s="318"/>
      <c r="M54" s="319"/>
      <c r="N54" s="136"/>
    </row>
    <row r="55" spans="1:14" ht="16">
      <c r="A55" s="279">
        <f t="shared" si="1"/>
        <v>4</v>
      </c>
      <c r="B55" s="415" t="str">
        <f>$L$8</f>
        <v>Team 5</v>
      </c>
      <c r="C55" s="278" t="str">
        <f t="array" ref="C55">IFERROR(INDEX([1]Sheet1!$D$2:$D$113,MATCH(1,($B55= [1]Sheet1!$C$2:$C$113)*($A55=[1]Sheet1!$B$2:$B$113),0)),INDEX([1]Sheet1!$C$2:$C$113,MATCH(1,($B55= [1]Sheet1!$D$2:$D$113)*($A55=[1]Sheet1!$B$2:$B$113),0)))</f>
        <v>Team 6</v>
      </c>
      <c r="D55" s="302">
        <f t="array" ref="D55">IFERROR(INDEX([1]Sheet1!$E$2:$E$113,MATCH(1,($B55= [1]Sheet1!$C$2:$C$113)*($A55=[1]Sheet1!$B$2:$B$113),0)),INDEX([1]Sheet1!$F$2:$F$113,MATCH(1,($B55= [1]Sheet1!$D$2:$D$113)*($A55=[1]Sheet1!$B$2:$B$113),0)))</f>
        <v>114.82</v>
      </c>
      <c r="E55" s="302">
        <f t="array" ref="E55">IF($A55&gt;Standings!$Q$27,"",INDEX($D$3:$D$226,(MATCH(1,($B$3:$B$226=$C55)*($A$3:$A$226=$A55),0))))</f>
        <v>93.77</v>
      </c>
      <c r="F55" s="303">
        <f>IF(A55&gt;Standings!$Q$27,"",IFERROR(VLOOKUP($B55,'[2]Week 4 '!B$2:C$17,2,0),"No FAAB Entered"))</f>
        <v>54</v>
      </c>
      <c r="G55" s="303">
        <f>IF(A55&gt;Standings!$Q$27,"",H55-I55)</f>
        <v>18</v>
      </c>
      <c r="H55" s="303">
        <f>IF(A55&gt;Standings!$Q$27,"",I39)</f>
        <v>64</v>
      </c>
      <c r="I55" s="304">
        <f>IF(A55&gt;Standings!$Q$27,"",100-F55)</f>
        <v>46</v>
      </c>
      <c r="J55" s="320"/>
      <c r="K55" s="318"/>
      <c r="M55" s="319"/>
      <c r="N55" s="136"/>
    </row>
    <row r="56" spans="1:14" ht="16">
      <c r="A56" s="279">
        <f t="shared" si="1"/>
        <v>4</v>
      </c>
      <c r="B56" s="415" t="str">
        <f>$L$9</f>
        <v>Team 6</v>
      </c>
      <c r="C56" s="278" t="str">
        <f t="array" ref="C56">IFERROR(INDEX([1]Sheet1!$D$2:$D$113,MATCH(1,($B56= [1]Sheet1!$C$2:$C$113)*($A56=[1]Sheet1!$B$2:$B$113),0)),INDEX([1]Sheet1!$C$2:$C$113,MATCH(1,($B56= [1]Sheet1!$D$2:$D$113)*($A56=[1]Sheet1!$B$2:$B$113),0)))</f>
        <v>Team 5</v>
      </c>
      <c r="D56" s="302">
        <f t="array" ref="D56">IFERROR(INDEX([1]Sheet1!$E$2:$E$113,MATCH(1,($B56= [1]Sheet1!$C$2:$C$113)*($A56=[1]Sheet1!$B$2:$B$113),0)),INDEX([1]Sheet1!$F$2:$F$113,MATCH(1,($B56= [1]Sheet1!$D$2:$D$113)*($A56=[1]Sheet1!$B$2:$B$113),0)))</f>
        <v>93.77</v>
      </c>
      <c r="E56" s="302">
        <f t="array" ref="E56">IF($A56&gt;Standings!$Q$27,"",INDEX($D$3:$D$226,(MATCH(1,($B$3:$B$226=$C56)*($A$3:$A$226=$A56),0))))</f>
        <v>114.82</v>
      </c>
      <c r="F56" s="303">
        <f>IF(A56&gt;Standings!$Q$27,"",IFERROR(VLOOKUP($B56,'[2]Week 4 '!B$2:C$17,2,0),"No FAAB Entered"))</f>
        <v>30</v>
      </c>
      <c r="G56" s="303">
        <f>IF(A56&gt;Standings!$Q$27,"",H56-I56)</f>
        <v>25</v>
      </c>
      <c r="H56" s="303">
        <f>IF(A56&gt;Standings!$Q$27,"",I40)</f>
        <v>95</v>
      </c>
      <c r="I56" s="304">
        <f>IF(A56&gt;Standings!$Q$27,"",100-F56)</f>
        <v>70</v>
      </c>
      <c r="J56" s="320"/>
      <c r="K56" s="318"/>
      <c r="M56" s="319"/>
      <c r="N56" s="136"/>
    </row>
    <row r="57" spans="1:14" ht="16">
      <c r="A57" s="279">
        <f t="shared" si="1"/>
        <v>4</v>
      </c>
      <c r="B57" s="415" t="str">
        <f>$L$10</f>
        <v>Team 7</v>
      </c>
      <c r="C57" s="278" t="str">
        <f t="array" ref="C57">IFERROR(INDEX([1]Sheet1!$D$2:$D$113,MATCH(1,($B57= [1]Sheet1!$C$2:$C$113)*($A57=[1]Sheet1!$B$2:$B$113),0)),INDEX([1]Sheet1!$C$2:$C$113,MATCH(1,($B57= [1]Sheet1!$D$2:$D$113)*($A57=[1]Sheet1!$B$2:$B$113),0)))</f>
        <v>Team 2</v>
      </c>
      <c r="D57" s="302">
        <f t="array" ref="D57">IFERROR(INDEX([1]Sheet1!$E$2:$E$113,MATCH(1,($B57= [1]Sheet1!$C$2:$C$113)*($A57=[1]Sheet1!$B$2:$B$113),0)),INDEX([1]Sheet1!$F$2:$F$113,MATCH(1,($B57= [1]Sheet1!$D$2:$D$113)*($A57=[1]Sheet1!$B$2:$B$113),0)))</f>
        <v>87.35</v>
      </c>
      <c r="E57" s="302">
        <f t="array" ref="E57">IF($A57&gt;Standings!$Q$27,"",INDEX($D$3:$D$226,(MATCH(1,($B$3:$B$226=$C57)*($A$3:$A$226=$A57),0))))</f>
        <v>121.29</v>
      </c>
      <c r="F57" s="303">
        <f>IF(A57&gt;Standings!$Q$27,"",IFERROR(VLOOKUP($B57,'[2]Week 4 '!B$2:C$17,2,0),"No FAAB Entered"))</f>
        <v>0</v>
      </c>
      <c r="G57" s="303">
        <f>IF(A57&gt;Standings!$Q$27,"",H57-I57)</f>
        <v>0</v>
      </c>
      <c r="H57" s="303">
        <f>IF(A57&gt;Standings!$Q$27,"",I41)</f>
        <v>100</v>
      </c>
      <c r="I57" s="304">
        <f>IF(A57&gt;Standings!$Q$27,"",100-F57)</f>
        <v>100</v>
      </c>
      <c r="J57" s="315"/>
      <c r="K57" s="318"/>
      <c r="M57" s="319"/>
      <c r="N57" s="136"/>
    </row>
    <row r="58" spans="1:14">
      <c r="A58" s="279">
        <f t="shared" si="1"/>
        <v>4</v>
      </c>
      <c r="B58" s="415" t="str">
        <f>$L$11</f>
        <v>Team 8</v>
      </c>
      <c r="C58" s="278" t="str">
        <f t="array" ref="C58">IFERROR(INDEX([1]Sheet1!$D$2:$D$113,MATCH(1,($B58= [1]Sheet1!$C$2:$C$113)*($A58=[1]Sheet1!$B$2:$B$113),0)),INDEX([1]Sheet1!$C$2:$C$113,MATCH(1,($B58= [1]Sheet1!$D$2:$D$113)*($A58=[1]Sheet1!$B$2:$B$113),0)))</f>
        <v>Team 12</v>
      </c>
      <c r="D58" s="302">
        <f t="array" ref="D58">IFERROR(INDEX([1]Sheet1!$E$2:$E$113,MATCH(1,($B58= [1]Sheet1!$C$2:$C$113)*($A58=[1]Sheet1!$B$2:$B$113),0)),INDEX([1]Sheet1!$F$2:$F$113,MATCH(1,($B58= [1]Sheet1!$D$2:$D$113)*($A58=[1]Sheet1!$B$2:$B$113),0)))</f>
        <v>115.05</v>
      </c>
      <c r="E58" s="302">
        <f t="array" ref="E58">IF($A58&gt;Standings!$Q$27,"",INDEX($D$3:$D$226,(MATCH(1,($B$3:$B$226=$C58)*($A$3:$A$226=$A58),0))))</f>
        <v>108.26</v>
      </c>
      <c r="F58" s="303">
        <f>IF(A58&gt;Standings!$Q$27,"",IFERROR(VLOOKUP($B58,'[2]Week 4 '!B$2:C$17,2,0),"No FAAB Entered"))</f>
        <v>4</v>
      </c>
      <c r="G58" s="303">
        <f>IF(A58&gt;Standings!$Q$27,"",H58-I58)</f>
        <v>0</v>
      </c>
      <c r="H58" s="303">
        <f>IF(A58&gt;Standings!$Q$27,"",I42)</f>
        <v>96</v>
      </c>
      <c r="I58" s="304">
        <f>IF(A58&gt;Standings!$Q$27,"",100-F58)</f>
        <v>96</v>
      </c>
      <c r="J58" s="327"/>
    </row>
    <row r="59" spans="1:14">
      <c r="A59" s="281">
        <f t="shared" si="1"/>
        <v>4</v>
      </c>
      <c r="B59" s="416" t="str">
        <f>$L$12</f>
        <v>Team 9</v>
      </c>
      <c r="C59" s="280" t="str">
        <f t="array" ref="C59">IFERROR(INDEX([1]Sheet1!$D$2:$D$113,MATCH(1,($B59= [1]Sheet1!$C$2:$C$113)*($A59=[1]Sheet1!$B$2:$B$113),0)),INDEX([1]Sheet1!$C$2:$C$113,MATCH(1,($B59= [1]Sheet1!$D$2:$D$113)*($A59=[1]Sheet1!$B$2:$B$113),0)))</f>
        <v>Team 14</v>
      </c>
      <c r="D59" s="309">
        <f t="array" ref="D59">IFERROR(INDEX([1]Sheet1!$E$2:$E$113,MATCH(1,($B59= [1]Sheet1!$C$2:$C$113)*($A59=[1]Sheet1!$B$2:$B$113),0)),INDEX([1]Sheet1!$F$2:$F$113,MATCH(1,($B59= [1]Sheet1!$D$2:$D$113)*($A59=[1]Sheet1!$B$2:$B$113),0)))</f>
        <v>108.47</v>
      </c>
      <c r="E59" s="309">
        <f t="array" ref="E59">IF($A59&gt;Standings!$Q$27,"",INDEX($D$3:$D$226,(MATCH(1,($B$3:$B$226=$C59)*($A$3:$A$226=$A59),0))))</f>
        <v>106.32</v>
      </c>
      <c r="F59" s="310">
        <f>IF(A59&gt;Standings!$Q$27,"",IFERROR(VLOOKUP($B59,'[2]Week 4 '!B$2:C$17,2,0),"No FAAB Entered"))</f>
        <v>0</v>
      </c>
      <c r="G59" s="310">
        <f>IF(A59&gt;Standings!$Q$27,"",H59-I59)</f>
        <v>0</v>
      </c>
      <c r="H59" s="310">
        <f>IF(A59&gt;Standings!$Q$27,"",I43)</f>
        <v>100</v>
      </c>
      <c r="I59" s="311">
        <f>IF(A59&gt;Standings!$Q$27,"",100-F59)</f>
        <v>100</v>
      </c>
      <c r="J59" s="330"/>
      <c r="M59" s="138"/>
      <c r="N59" s="138"/>
    </row>
    <row r="60" spans="1:14">
      <c r="A60" s="281">
        <f t="shared" si="1"/>
        <v>4</v>
      </c>
      <c r="B60" s="416" t="str">
        <f>$L$13</f>
        <v>Team 10</v>
      </c>
      <c r="C60" s="280" t="str">
        <f t="array" ref="C60">IFERROR(INDEX([1]Sheet1!$D$2:$D$113,MATCH(1,($B60= [1]Sheet1!$C$2:$C$113)*($A60=[1]Sheet1!$B$2:$B$113),0)),INDEX([1]Sheet1!$C$2:$C$113,MATCH(1,($B60= [1]Sheet1!$D$2:$D$113)*($A60=[1]Sheet1!$B$2:$B$113),0)))</f>
        <v>Team 1</v>
      </c>
      <c r="D60" s="309">
        <f t="array" ref="D60">IFERROR(INDEX([1]Sheet1!$E$2:$E$113,MATCH(1,($B60= [1]Sheet1!$C$2:$C$113)*($A60=[1]Sheet1!$B$2:$B$113),0)),INDEX([1]Sheet1!$F$2:$F$113,MATCH(1,($B60= [1]Sheet1!$D$2:$D$113)*($A60=[1]Sheet1!$B$2:$B$113),0)))</f>
        <v>121.55</v>
      </c>
      <c r="E60" s="309">
        <f t="array" ref="E60">IF($A60&gt;Standings!$Q$27,"",INDEX($D$3:$D$226,(MATCH(1,($B$3:$B$226=$C60)*($A$3:$A$226=$A60),0))))</f>
        <v>97.92</v>
      </c>
      <c r="F60" s="310">
        <f>IF(A60&gt;Standings!$Q$27,"",IFERROR(VLOOKUP($B60,'[2]Week 4 '!B$2:C$17,2,0),"No FAAB Entered"))</f>
        <v>0</v>
      </c>
      <c r="G60" s="310">
        <f>IF(A60&gt;Standings!$Q$27,"",H60-I60)</f>
        <v>0</v>
      </c>
      <c r="H60" s="310">
        <f>IF(A60&gt;Standings!$Q$27,"",I44)</f>
        <v>100</v>
      </c>
      <c r="I60" s="311">
        <f>IF(A60&gt;Standings!$Q$27,"",100-F60)</f>
        <v>100</v>
      </c>
      <c r="J60" s="290"/>
      <c r="M60" s="138"/>
      <c r="N60" s="331"/>
    </row>
    <row r="61" spans="1:14">
      <c r="A61" s="281">
        <f t="shared" si="1"/>
        <v>4</v>
      </c>
      <c r="B61" s="416" t="str">
        <f>$L$14</f>
        <v>Team 11</v>
      </c>
      <c r="C61" s="280" t="str">
        <f t="array" ref="C61">IFERROR(INDEX([1]Sheet1!$D$2:$D$113,MATCH(1,($B61= [1]Sheet1!$C$2:$C$113)*($A61=[1]Sheet1!$B$2:$B$113),0)),INDEX([1]Sheet1!$C$2:$C$113,MATCH(1,($B61= [1]Sheet1!$D$2:$D$113)*($A61=[1]Sheet1!$B$2:$B$113),0)))</f>
        <v>Team 16</v>
      </c>
      <c r="D61" s="309">
        <f t="array" ref="D61">IFERROR(INDEX([1]Sheet1!$E$2:$E$113,MATCH(1,($B61= [1]Sheet1!$C$2:$C$113)*($A61=[1]Sheet1!$B$2:$B$113),0)),INDEX([1]Sheet1!$F$2:$F$113,MATCH(1,($B61= [1]Sheet1!$D$2:$D$113)*($A61=[1]Sheet1!$B$2:$B$113),0)))</f>
        <v>53.05</v>
      </c>
      <c r="E61" s="309">
        <f t="array" ref="E61">IF($A61&gt;Standings!$Q$27,"",INDEX($D$3:$D$226,(MATCH(1,($B$3:$B$226=$C61)*($A$3:$A$226=$A61),0))))</f>
        <v>99.49</v>
      </c>
      <c r="F61" s="310">
        <f>IF(A61&gt;Standings!$Q$27,"",IFERROR(VLOOKUP($B61,'[2]Week 4 '!B$2:C$17,2,0),"No FAAB Entered"))</f>
        <v>26</v>
      </c>
      <c r="G61" s="310">
        <f>IF(A61&gt;Standings!$Q$27,"",H61-I61)</f>
        <v>0</v>
      </c>
      <c r="H61" s="310">
        <f>IF(A61&gt;Standings!$Q$27,"",I45)</f>
        <v>74</v>
      </c>
      <c r="I61" s="311">
        <f>IF(A61&gt;Standings!$Q$27,"",100-F61)</f>
        <v>74</v>
      </c>
      <c r="J61" s="290"/>
      <c r="M61" s="138"/>
      <c r="N61" s="331"/>
    </row>
    <row r="62" spans="1:14">
      <c r="A62" s="281">
        <f t="shared" si="1"/>
        <v>4</v>
      </c>
      <c r="B62" s="416" t="str">
        <f>$L$15</f>
        <v>Team 12</v>
      </c>
      <c r="C62" s="280" t="str">
        <f t="array" ref="C62">IFERROR(INDEX([1]Sheet1!$D$2:$D$113,MATCH(1,($B62= [1]Sheet1!$C$2:$C$113)*($A62=[1]Sheet1!$B$2:$B$113),0)),INDEX([1]Sheet1!$C$2:$C$113,MATCH(1,($B62= [1]Sheet1!$D$2:$D$113)*($A62=[1]Sheet1!$B$2:$B$113),0)))</f>
        <v>Team 8</v>
      </c>
      <c r="D62" s="309">
        <f t="array" ref="D62">IFERROR(INDEX([1]Sheet1!$E$2:$E$113,MATCH(1,($B62= [1]Sheet1!$C$2:$C$113)*($A62=[1]Sheet1!$B$2:$B$113),0)),INDEX([1]Sheet1!$F$2:$F$113,MATCH(1,($B62= [1]Sheet1!$D$2:$D$113)*($A62=[1]Sheet1!$B$2:$B$113),0)))</f>
        <v>108.26</v>
      </c>
      <c r="E62" s="309">
        <f t="array" ref="E62">IF($A62&gt;Standings!$Q$27,"",INDEX($D$3:$D$226,(MATCH(1,($B$3:$B$226=$C62)*($A$3:$A$226=$A62),0))))</f>
        <v>115.05</v>
      </c>
      <c r="F62" s="310">
        <f>IF(A62&gt;Standings!$Q$27,"",IFERROR(VLOOKUP($B62,'[2]Week 4 '!B$2:C$17,2,0),"No FAAB Entered"))</f>
        <v>49</v>
      </c>
      <c r="G62" s="310">
        <f>IF(A62&gt;Standings!$Q$27,"",H62-I62)</f>
        <v>0</v>
      </c>
      <c r="H62" s="310">
        <f>IF(A62&gt;Standings!$Q$27,"",I46)</f>
        <v>51</v>
      </c>
      <c r="I62" s="311">
        <f>IF(A62&gt;Standings!$Q$27,"",100-F62)</f>
        <v>51</v>
      </c>
      <c r="J62" s="290"/>
      <c r="M62" s="138"/>
      <c r="N62" s="331"/>
    </row>
    <row r="63" spans="1:14">
      <c r="A63" s="281">
        <f t="shared" si="1"/>
        <v>4</v>
      </c>
      <c r="B63" s="416" t="str">
        <f>$L$16</f>
        <v>Team 13</v>
      </c>
      <c r="C63" s="280" t="str">
        <f t="array" ref="C63">IFERROR(INDEX([1]Sheet1!$D$2:$D$113,MATCH(1,($B63= [1]Sheet1!$C$2:$C$113)*($A63=[1]Sheet1!$B$2:$B$113),0)),INDEX([1]Sheet1!$C$2:$C$113,MATCH(1,($B63= [1]Sheet1!$D$2:$D$113)*($A63=[1]Sheet1!$B$2:$B$113),0)))</f>
        <v>Team 4</v>
      </c>
      <c r="D63" s="309">
        <f t="array" ref="D63">IFERROR(INDEX([1]Sheet1!$E$2:$E$113,MATCH(1,($B63= [1]Sheet1!$C$2:$C$113)*($A63=[1]Sheet1!$B$2:$B$113),0)),INDEX([1]Sheet1!$F$2:$F$113,MATCH(1,($B63= [1]Sheet1!$D$2:$D$113)*($A63=[1]Sheet1!$B$2:$B$113),0)))</f>
        <v>121.54</v>
      </c>
      <c r="E63" s="309">
        <f t="array" ref="E63">IF($A63&gt;Standings!$Q$27,"",INDEX($D$3:$D$226,(MATCH(1,($B$3:$B$226=$C63)*($A$3:$A$226=$A63),0))))</f>
        <v>84.76</v>
      </c>
      <c r="F63" s="310">
        <f>IF(A63&gt;Standings!$Q$27,"",IFERROR(VLOOKUP($B63,'[2]Week 4 '!B$2:C$17,2,0),"No FAAB Entered"))</f>
        <v>5</v>
      </c>
      <c r="G63" s="310">
        <f>IF(A63&gt;Standings!$Q$27,"",H63-I63)</f>
        <v>5</v>
      </c>
      <c r="H63" s="310">
        <f>IF(A63&gt;Standings!$Q$27,"",I47)</f>
        <v>100</v>
      </c>
      <c r="I63" s="311">
        <f>IF(A63&gt;Standings!$Q$27,"",100-F63)</f>
        <v>95</v>
      </c>
      <c r="J63" s="290"/>
      <c r="M63" s="138"/>
      <c r="N63" s="331"/>
    </row>
    <row r="64" spans="1:14">
      <c r="A64" s="281">
        <f t="shared" si="1"/>
        <v>4</v>
      </c>
      <c r="B64" s="416" t="str">
        <f>$L$17</f>
        <v>Team 14</v>
      </c>
      <c r="C64" s="280" t="str">
        <f t="array" ref="C64">IFERROR(INDEX([1]Sheet1!$D$2:$D$113,MATCH(1,($B64= [1]Sheet1!$C$2:$C$113)*($A64=[1]Sheet1!$B$2:$B$113),0)),INDEX([1]Sheet1!$C$2:$C$113,MATCH(1,($B64= [1]Sheet1!$D$2:$D$113)*($A64=[1]Sheet1!$B$2:$B$113),0)))</f>
        <v>Team 9</v>
      </c>
      <c r="D64" s="309">
        <f t="array" ref="D64">IFERROR(INDEX([1]Sheet1!$E$2:$E$113,MATCH(1,($B64= [1]Sheet1!$C$2:$C$113)*($A64=[1]Sheet1!$B$2:$B$113),0)),INDEX([1]Sheet1!$F$2:$F$113,MATCH(1,($B64= [1]Sheet1!$D$2:$D$113)*($A64=[1]Sheet1!$B$2:$B$113),0)))</f>
        <v>106.32</v>
      </c>
      <c r="E64" s="309">
        <f t="array" ref="E64">IF($A64&gt;Standings!$Q$27,"",INDEX($D$3:$D$226,(MATCH(1,($B$3:$B$226=$C64)*($A$3:$A$226=$A64),0))))</f>
        <v>108.47</v>
      </c>
      <c r="F64" s="310">
        <f>IF(A64&gt;Standings!$Q$27,"",IFERROR(VLOOKUP($B64,'[2]Week 4 '!B$2:C$17,2,0),"No FAAB Entered"))</f>
        <v>5</v>
      </c>
      <c r="G64" s="310">
        <f>IF(A64&gt;Standings!$Q$27,"",H64-I64)</f>
        <v>5</v>
      </c>
      <c r="H64" s="310">
        <f>IF(A64&gt;Standings!$Q$27,"",I48)</f>
        <v>100</v>
      </c>
      <c r="I64" s="311">
        <f>IF(A64&gt;Standings!$Q$27,"",100-F64)</f>
        <v>95</v>
      </c>
      <c r="J64" s="290"/>
      <c r="M64" s="138"/>
      <c r="N64" s="332"/>
    </row>
    <row r="65" spans="1:14">
      <c r="A65" s="281">
        <f t="shared" si="1"/>
        <v>4</v>
      </c>
      <c r="B65" s="416" t="str">
        <f>$L$18</f>
        <v>Team 15</v>
      </c>
      <c r="C65" s="280" t="str">
        <f t="array" ref="C65">IFERROR(INDEX([1]Sheet1!$D$2:$D$113,MATCH(1,($B65= [1]Sheet1!$C$2:$C$113)*($A65=[1]Sheet1!$B$2:$B$113),0)),INDEX([1]Sheet1!$C$2:$C$113,MATCH(1,($B65= [1]Sheet1!$D$2:$D$113)*($A65=[1]Sheet1!$B$2:$B$113),0)))</f>
        <v>Team 3</v>
      </c>
      <c r="D65" s="309">
        <f t="array" ref="D65">IFERROR(INDEX([1]Sheet1!$E$2:$E$113,MATCH(1,($B65= [1]Sheet1!$C$2:$C$113)*($A65=[1]Sheet1!$B$2:$B$113),0)),INDEX([1]Sheet1!$F$2:$F$113,MATCH(1,($B65= [1]Sheet1!$D$2:$D$113)*($A65=[1]Sheet1!$B$2:$B$113),0)))</f>
        <v>109.16</v>
      </c>
      <c r="E65" s="309">
        <f t="array" ref="E65">IF($A65&gt;Standings!$Q$27,"",INDEX($D$3:$D$226,(MATCH(1,($B$3:$B$226=$C65)*($A$3:$A$226=$A65),0))))</f>
        <v>92.02</v>
      </c>
      <c r="F65" s="310">
        <f>IF(A65&gt;Standings!$Q$27,"",IFERROR(VLOOKUP($B65,'[2]Week 4 '!B$2:C$17,2,0),"No FAAB Entered"))</f>
        <v>39</v>
      </c>
      <c r="G65" s="310">
        <f>IF(A65&gt;Standings!$Q$27,"",H65-I65)</f>
        <v>0</v>
      </c>
      <c r="H65" s="310">
        <f>IF(A65&gt;Standings!$Q$27,"",I49)</f>
        <v>61</v>
      </c>
      <c r="I65" s="311">
        <f>IF(A65&gt;Standings!$Q$27,"",100-F65)</f>
        <v>61</v>
      </c>
      <c r="J65" s="290"/>
      <c r="M65" s="138"/>
      <c r="N65" s="331"/>
    </row>
    <row r="66" spans="1:14" ht="16" thickBot="1">
      <c r="A66" s="283">
        <f t="shared" si="1"/>
        <v>4</v>
      </c>
      <c r="B66" s="417" t="str">
        <f>$L$19</f>
        <v>Team 16</v>
      </c>
      <c r="C66" s="282" t="str">
        <f t="array" ref="C66">IFERROR(INDEX([1]Sheet1!$D$2:$D$113,MATCH(1,($B66= [1]Sheet1!$C$2:$C$113)*($A66=[1]Sheet1!$B$2:$B$113),0)),INDEX([1]Sheet1!$C$2:$C$113,MATCH(1,($B66= [1]Sheet1!$D$2:$D$113)*($A66=[1]Sheet1!$B$2:$B$113),0)))</f>
        <v>Team 11</v>
      </c>
      <c r="D66" s="312">
        <f t="array" ref="D66">IFERROR(INDEX([1]Sheet1!$E$2:$E$113,MATCH(1,($B66= [1]Sheet1!$C$2:$C$113)*($A66=[1]Sheet1!$B$2:$B$113),0)),INDEX([1]Sheet1!$F$2:$F$113,MATCH(1,($B66= [1]Sheet1!$D$2:$D$113)*($A66=[1]Sheet1!$B$2:$B$113),0)))</f>
        <v>99.49</v>
      </c>
      <c r="E66" s="312">
        <f t="array" ref="E66">IF($A66&gt;Standings!$Q$27,"",INDEX($D$3:$D$226,(MATCH(1,($B$3:$B$226=$C66)*($A$3:$A$226=$A66),0))))</f>
        <v>53.05</v>
      </c>
      <c r="F66" s="313">
        <f>IF(A66&gt;Standings!$Q$27,"",IFERROR(VLOOKUP($B66,'[2]Week 4 '!B$2:C$17,2,0),"No FAAB Entered"))</f>
        <v>100</v>
      </c>
      <c r="G66" s="313">
        <f>IF(A66&gt;Standings!$Q$27,"",H66-I66)</f>
        <v>0</v>
      </c>
      <c r="H66" s="313">
        <f>IF(A66&gt;Standings!$Q$27,"",I50)</f>
        <v>0</v>
      </c>
      <c r="I66" s="314">
        <f>IF(A66&gt;Standings!$Q$27,"",100-F66)</f>
        <v>0</v>
      </c>
      <c r="J66" s="290"/>
      <c r="M66" s="138"/>
      <c r="N66" s="331"/>
    </row>
    <row r="67" spans="1:14">
      <c r="A67" s="277">
        <f t="shared" si="1"/>
        <v>5</v>
      </c>
      <c r="B67" s="414" t="str">
        <f>$L$4</f>
        <v>Team 1</v>
      </c>
      <c r="C67" s="276" t="str">
        <f t="array" ref="C67">IFERROR(INDEX([1]Sheet1!$D$2:$D$113,MATCH(1,($B67= [1]Sheet1!$C$2:$C$113)*($A67=[1]Sheet1!$B$2:$B$113),0)),INDEX([1]Sheet1!$C$2:$C$113,MATCH(1,($B67= [1]Sheet1!$D$2:$D$113)*($A67=[1]Sheet1!$B$2:$B$113),0)))</f>
        <v>Team 4</v>
      </c>
      <c r="D67" s="295">
        <f t="array" ref="D67">IFERROR(INDEX([1]Sheet1!$E$2:$E$113,MATCH(1,($B67= [1]Sheet1!$C$2:$C$113)*($A67=[1]Sheet1!$B$2:$B$113),0)),INDEX([1]Sheet1!$F$2:$F$113,MATCH(1,($B67= [1]Sheet1!$D$2:$D$113)*($A67=[1]Sheet1!$B$2:$B$113),0)))</f>
        <v>66.3</v>
      </c>
      <c r="E67" s="295">
        <f t="array" ref="E67">IF($A67&gt;Standings!$Q$27,"",INDEX($D$3:$D$226,(MATCH(1,($B$3:$B$226=$C67)*($A$3:$A$226=$A67),0))))</f>
        <v>93.88</v>
      </c>
      <c r="F67" s="296">
        <f>IF(A67&gt;Standings!$Q$27,"",IFERROR(VLOOKUP($B67,'[2]Week 5 '!B$2:C$17,2,0),"No FAAB Entered"))</f>
        <v>69</v>
      </c>
      <c r="G67" s="296">
        <f>IF(A67&gt;Standings!$Q$27,"",H67-I67)</f>
        <v>3</v>
      </c>
      <c r="H67" s="296">
        <f>IF(A67&gt;Standings!$Q$27,"",I51)</f>
        <v>34</v>
      </c>
      <c r="I67" s="297">
        <f>IF(A67&gt;Standings!$Q$27,"",100-F67)</f>
        <v>31</v>
      </c>
      <c r="J67" s="290"/>
      <c r="M67" s="138"/>
      <c r="N67" s="331"/>
    </row>
    <row r="68" spans="1:14">
      <c r="A68" s="279">
        <f t="shared" si="1"/>
        <v>5</v>
      </c>
      <c r="B68" s="415" t="str">
        <f>$L$5</f>
        <v>Team 2</v>
      </c>
      <c r="C68" s="278" t="str">
        <f t="array" ref="C68">IFERROR(INDEX([1]Sheet1!$D$2:$D$113,MATCH(1,($B68= [1]Sheet1!$C$2:$C$113)*($A68=[1]Sheet1!$B$2:$B$113),0)),INDEX([1]Sheet1!$C$2:$C$113,MATCH(1,($B68= [1]Sheet1!$D$2:$D$113)*($A68=[1]Sheet1!$B$2:$B$113),0)))</f>
        <v>Team 11</v>
      </c>
      <c r="D68" s="302">
        <f t="array" ref="D68">IFERROR(INDEX([1]Sheet1!$E$2:$E$113,MATCH(1,($B68= [1]Sheet1!$C$2:$C$113)*($A68=[1]Sheet1!$B$2:$B$113),0)),INDEX([1]Sheet1!$F$2:$F$113,MATCH(1,($B68= [1]Sheet1!$D$2:$D$113)*($A68=[1]Sheet1!$B$2:$B$113),0)))</f>
        <v>138.77000000000001</v>
      </c>
      <c r="E68" s="302">
        <f t="array" ref="E68">IF($A68&gt;Standings!$Q$27,"",INDEX($D$3:$D$226,(MATCH(1,($B$3:$B$226=$C68)*($A$3:$A$226=$A68),0))))</f>
        <v>137.59</v>
      </c>
      <c r="F68" s="303">
        <f>IF(A68&gt;Standings!$Q$27,"",IFERROR(VLOOKUP($B68,'[2]Week 5 '!B$2:C$17,2,0),"No FAAB Entered"))</f>
        <v>71</v>
      </c>
      <c r="G68" s="303">
        <f>IF(A68&gt;Standings!$Q$27,"",H68-I68)</f>
        <v>11</v>
      </c>
      <c r="H68" s="303">
        <f>IF(A68&gt;Standings!$Q$27,"",I52)</f>
        <v>40</v>
      </c>
      <c r="I68" s="304">
        <f>IF(A68&gt;Standings!$Q$27,"",100-F68)</f>
        <v>29</v>
      </c>
      <c r="J68" s="290"/>
      <c r="M68" s="138"/>
      <c r="N68" s="331"/>
    </row>
    <row r="69" spans="1:14">
      <c r="A69" s="279">
        <f t="shared" si="1"/>
        <v>5</v>
      </c>
      <c r="B69" s="415" t="str">
        <f>$L$6</f>
        <v>Team 3</v>
      </c>
      <c r="C69" s="278" t="str">
        <f t="array" ref="C69">IFERROR(INDEX([1]Sheet1!$D$2:$D$113,MATCH(1,($B69= [1]Sheet1!$C$2:$C$113)*($A69=[1]Sheet1!$B$2:$B$113),0)),INDEX([1]Sheet1!$C$2:$C$113,MATCH(1,($B69= [1]Sheet1!$D$2:$D$113)*($A69=[1]Sheet1!$B$2:$B$113),0)))</f>
        <v>Team 10</v>
      </c>
      <c r="D69" s="302">
        <f t="array" ref="D69">IFERROR(INDEX([1]Sheet1!$E$2:$E$113,MATCH(1,($B69= [1]Sheet1!$C$2:$C$113)*($A69=[1]Sheet1!$B$2:$B$113),0)),INDEX([1]Sheet1!$F$2:$F$113,MATCH(1,($B69= [1]Sheet1!$D$2:$D$113)*($A69=[1]Sheet1!$B$2:$B$113),0)))</f>
        <v>118.5</v>
      </c>
      <c r="E69" s="302">
        <f t="array" ref="E69">IF($A69&gt;Standings!$Q$27,"",INDEX($D$3:$D$226,(MATCH(1,($B$3:$B$226=$C69)*($A$3:$A$226=$A69),0))))</f>
        <v>103.25</v>
      </c>
      <c r="F69" s="303">
        <f>IF(A69&gt;Standings!$Q$27,"",IFERROR(VLOOKUP($B69,'[2]Week 5 '!B$2:C$17,2,0),"No FAAB Entered"))</f>
        <v>5</v>
      </c>
      <c r="G69" s="303">
        <f>IF(A69&gt;Standings!$Q$27,"",H69-I69)</f>
        <v>5</v>
      </c>
      <c r="H69" s="303">
        <f>IF(A69&gt;Standings!$Q$27,"",I53)</f>
        <v>100</v>
      </c>
      <c r="I69" s="304">
        <f>IF(A69&gt;Standings!$Q$27,"",100-F69)</f>
        <v>95</v>
      </c>
      <c r="J69" s="290"/>
      <c r="M69" s="138"/>
      <c r="N69" s="331"/>
    </row>
    <row r="70" spans="1:14">
      <c r="A70" s="279">
        <f t="shared" si="1"/>
        <v>5</v>
      </c>
      <c r="B70" s="415" t="str">
        <f>$L$7</f>
        <v>Team 4</v>
      </c>
      <c r="C70" s="278" t="str">
        <f t="array" ref="C70">IFERROR(INDEX([1]Sheet1!$D$2:$D$113,MATCH(1,($B70= [1]Sheet1!$C$2:$C$113)*($A70=[1]Sheet1!$B$2:$B$113),0)),INDEX([1]Sheet1!$C$2:$C$113,MATCH(1,($B70= [1]Sheet1!$D$2:$D$113)*($A70=[1]Sheet1!$B$2:$B$113),0)))</f>
        <v>Team 1</v>
      </c>
      <c r="D70" s="302">
        <f t="array" ref="D70">IFERROR(INDEX([1]Sheet1!$E$2:$E$113,MATCH(1,($B70= [1]Sheet1!$C$2:$C$113)*($A70=[1]Sheet1!$B$2:$B$113),0)),INDEX([1]Sheet1!$F$2:$F$113,MATCH(1,($B70= [1]Sheet1!$D$2:$D$113)*($A70=[1]Sheet1!$B$2:$B$113),0)))</f>
        <v>93.88</v>
      </c>
      <c r="E70" s="302">
        <f t="array" ref="E70">IF($A70&gt;Standings!$Q$27,"",INDEX($D$3:$D$226,(MATCH(1,($B$3:$B$226=$C70)*($A$3:$A$226=$A70),0))))</f>
        <v>66.3</v>
      </c>
      <c r="F70" s="303">
        <f>IF(A70&gt;Standings!$Q$27,"",IFERROR(VLOOKUP($B70,'[2]Week 5 '!B$2:C$17,2,0),"No FAAB Entered"))</f>
        <v>19</v>
      </c>
      <c r="G70" s="303">
        <f>IF(A70&gt;Standings!$Q$27,"",H70-I70)</f>
        <v>0</v>
      </c>
      <c r="H70" s="303">
        <f>IF(A70&gt;Standings!$Q$27,"",I54)</f>
        <v>81</v>
      </c>
      <c r="I70" s="304">
        <f>IF(A70&gt;Standings!$Q$27,"",100-F70)</f>
        <v>81</v>
      </c>
      <c r="J70" s="290"/>
      <c r="M70" s="138"/>
      <c r="N70" s="331"/>
    </row>
    <row r="71" spans="1:14">
      <c r="A71" s="279">
        <f t="shared" si="1"/>
        <v>5</v>
      </c>
      <c r="B71" s="415" t="str">
        <f>$L$8</f>
        <v>Team 5</v>
      </c>
      <c r="C71" s="278" t="str">
        <f t="array" ref="C71">IFERROR(INDEX([1]Sheet1!$D$2:$D$113,MATCH(1,($B71= [1]Sheet1!$C$2:$C$113)*($A71=[1]Sheet1!$B$2:$B$113),0)),INDEX([1]Sheet1!$C$2:$C$113,MATCH(1,($B71= [1]Sheet1!$D$2:$D$113)*($A71=[1]Sheet1!$B$2:$B$113),0)))</f>
        <v>Team 14</v>
      </c>
      <c r="D71" s="302">
        <f t="array" ref="D71">IFERROR(INDEX([1]Sheet1!$E$2:$E$113,MATCH(1,($B71= [1]Sheet1!$C$2:$C$113)*($A71=[1]Sheet1!$B$2:$B$113),0)),INDEX([1]Sheet1!$F$2:$F$113,MATCH(1,($B71= [1]Sheet1!$D$2:$D$113)*($A71=[1]Sheet1!$B$2:$B$113),0)))</f>
        <v>105.79</v>
      </c>
      <c r="E71" s="302">
        <f t="array" ref="E71">IF($A71&gt;Standings!$Q$27,"",INDEX($D$3:$D$226,(MATCH(1,($B$3:$B$226=$C71)*($A$3:$A$226=$A71),0))))</f>
        <v>99.27</v>
      </c>
      <c r="F71" s="303">
        <f>IF(A71&gt;Standings!$Q$27,"",IFERROR(VLOOKUP($B71,'[2]Week 5 '!B$2:C$17,2,0),"No FAAB Entered"))</f>
        <v>100</v>
      </c>
      <c r="G71" s="303">
        <f>IF(A71&gt;Standings!$Q$27,"",H71-I71)</f>
        <v>46</v>
      </c>
      <c r="H71" s="303">
        <f>IF(A71&gt;Standings!$Q$27,"",I55)</f>
        <v>46</v>
      </c>
      <c r="I71" s="304">
        <f>IF(A71&gt;Standings!$Q$27,"",100-F71)</f>
        <v>0</v>
      </c>
      <c r="J71" s="290"/>
      <c r="M71" s="138"/>
      <c r="N71" s="331"/>
    </row>
    <row r="72" spans="1:14">
      <c r="A72" s="279">
        <f t="shared" si="1"/>
        <v>5</v>
      </c>
      <c r="B72" s="415" t="str">
        <f>$L$9</f>
        <v>Team 6</v>
      </c>
      <c r="C72" s="278" t="str">
        <f t="array" ref="C72">IFERROR(INDEX([1]Sheet1!$D$2:$D$113,MATCH(1,($B72= [1]Sheet1!$C$2:$C$113)*($A72=[1]Sheet1!$B$2:$B$113),0)),INDEX([1]Sheet1!$C$2:$C$113,MATCH(1,($B72= [1]Sheet1!$D$2:$D$113)*($A72=[1]Sheet1!$B$2:$B$113),0)))</f>
        <v>Team 12</v>
      </c>
      <c r="D72" s="302">
        <f t="array" ref="D72">IFERROR(INDEX([1]Sheet1!$E$2:$E$113,MATCH(1,($B72= [1]Sheet1!$C$2:$C$113)*($A72=[1]Sheet1!$B$2:$B$113),0)),INDEX([1]Sheet1!$F$2:$F$113,MATCH(1,($B72= [1]Sheet1!$D$2:$D$113)*($A72=[1]Sheet1!$B$2:$B$113),0)))</f>
        <v>92.34</v>
      </c>
      <c r="E72" s="302">
        <f t="array" ref="E72">IF($A72&gt;Standings!$Q$27,"",INDEX($D$3:$D$226,(MATCH(1,($B$3:$B$226=$C72)*($A$3:$A$226=$A72),0))))</f>
        <v>84.54</v>
      </c>
      <c r="F72" s="303">
        <f>IF(A72&gt;Standings!$Q$27,"",IFERROR(VLOOKUP($B72,'[2]Week 5 '!B$2:C$17,2,0),"No FAAB Entered"))</f>
        <v>30</v>
      </c>
      <c r="G72" s="303">
        <f>IF(A72&gt;Standings!$Q$27,"",H72-I72)</f>
        <v>0</v>
      </c>
      <c r="H72" s="303">
        <f>IF(A72&gt;Standings!$Q$27,"",I56)</f>
        <v>70</v>
      </c>
      <c r="I72" s="304">
        <f>IF(A72&gt;Standings!$Q$27,"",100-F72)</f>
        <v>70</v>
      </c>
      <c r="J72" s="290"/>
      <c r="M72" s="138"/>
      <c r="N72" s="331"/>
    </row>
    <row r="73" spans="1:14">
      <c r="A73" s="279">
        <f t="shared" si="1"/>
        <v>5</v>
      </c>
      <c r="B73" s="415" t="str">
        <f>$L$10</f>
        <v>Team 7</v>
      </c>
      <c r="C73" s="278" t="str">
        <f t="array" ref="C73">IFERROR(INDEX([1]Sheet1!$D$2:$D$113,MATCH(1,($B73= [1]Sheet1!$C$2:$C$113)*($A73=[1]Sheet1!$B$2:$B$113),0)),INDEX([1]Sheet1!$C$2:$C$113,MATCH(1,($B73= [1]Sheet1!$D$2:$D$113)*($A73=[1]Sheet1!$B$2:$B$113),0)))</f>
        <v>Team 9</v>
      </c>
      <c r="D73" s="302">
        <f t="array" ref="D73">IFERROR(INDEX([1]Sheet1!$E$2:$E$113,MATCH(1,($B73= [1]Sheet1!$C$2:$C$113)*($A73=[1]Sheet1!$B$2:$B$113),0)),INDEX([1]Sheet1!$F$2:$F$113,MATCH(1,($B73= [1]Sheet1!$D$2:$D$113)*($A73=[1]Sheet1!$B$2:$B$113),0)))</f>
        <v>113.92</v>
      </c>
      <c r="E73" s="302">
        <f t="array" ref="E73">IF($A73&gt;Standings!$Q$27,"",INDEX($D$3:$D$226,(MATCH(1,($B$3:$B$226=$C73)*($A$3:$A$226=$A73),0))))</f>
        <v>137.87</v>
      </c>
      <c r="F73" s="303">
        <f>IF(A73&gt;Standings!$Q$27,"",IFERROR(VLOOKUP($B73,'[2]Week 5 '!B$2:C$17,2,0),"No FAAB Entered"))</f>
        <v>0</v>
      </c>
      <c r="G73" s="303">
        <f>IF(A73&gt;Standings!$Q$27,"",H73-I73)</f>
        <v>0</v>
      </c>
      <c r="H73" s="303">
        <f>IF(A73&gt;Standings!$Q$27,"",I57)</f>
        <v>100</v>
      </c>
      <c r="I73" s="304">
        <f>IF(A73&gt;Standings!$Q$27,"",100-F73)</f>
        <v>100</v>
      </c>
      <c r="J73" s="290"/>
      <c r="M73" s="138"/>
      <c r="N73" s="331"/>
    </row>
    <row r="74" spans="1:14">
      <c r="A74" s="279">
        <f t="shared" si="1"/>
        <v>5</v>
      </c>
      <c r="B74" s="415" t="str">
        <f>$L$11</f>
        <v>Team 8</v>
      </c>
      <c r="C74" s="278" t="str">
        <f t="array" ref="C74">IFERROR(INDEX([1]Sheet1!$D$2:$D$113,MATCH(1,($B74= [1]Sheet1!$C$2:$C$113)*($A74=[1]Sheet1!$B$2:$B$113),0)),INDEX([1]Sheet1!$C$2:$C$113,MATCH(1,($B74= [1]Sheet1!$D$2:$D$113)*($A74=[1]Sheet1!$B$2:$B$113),0)))</f>
        <v>Team 13</v>
      </c>
      <c r="D74" s="302">
        <f t="array" ref="D74">IFERROR(INDEX([1]Sheet1!$E$2:$E$113,MATCH(1,($B74= [1]Sheet1!$C$2:$C$113)*($A74=[1]Sheet1!$B$2:$B$113),0)),INDEX([1]Sheet1!$F$2:$F$113,MATCH(1,($B74= [1]Sheet1!$D$2:$D$113)*($A74=[1]Sheet1!$B$2:$B$113),0)))</f>
        <v>81.97</v>
      </c>
      <c r="E74" s="302">
        <f t="array" ref="E74">IF($A74&gt;Standings!$Q$27,"",INDEX($D$3:$D$226,(MATCH(1,($B$3:$B$226=$C74)*($A$3:$A$226=$A74),0))))</f>
        <v>54.24</v>
      </c>
      <c r="F74" s="303">
        <f>IF(A74&gt;Standings!$Q$27,"",IFERROR(VLOOKUP($B74,'[2]Week 5 '!B$2:C$17,2,0),"No FAAB Entered"))</f>
        <v>4</v>
      </c>
      <c r="G74" s="303">
        <f>IF(A74&gt;Standings!$Q$27,"",H74-I74)</f>
        <v>0</v>
      </c>
      <c r="H74" s="303">
        <f>IF(A74&gt;Standings!$Q$27,"",I58)</f>
        <v>96</v>
      </c>
      <c r="I74" s="304">
        <f>IF(A74&gt;Standings!$Q$27,"",100-F74)</f>
        <v>96</v>
      </c>
      <c r="J74" s="290"/>
      <c r="M74" s="138"/>
      <c r="N74" s="331"/>
    </row>
    <row r="75" spans="1:14">
      <c r="A75" s="281">
        <f t="shared" si="1"/>
        <v>5</v>
      </c>
      <c r="B75" s="416" t="str">
        <f>$L$12</f>
        <v>Team 9</v>
      </c>
      <c r="C75" s="280" t="str">
        <f t="array" ref="C75">IFERROR(INDEX([1]Sheet1!$D$2:$D$113,MATCH(1,($B75= [1]Sheet1!$C$2:$C$113)*($A75=[1]Sheet1!$B$2:$B$113),0)),INDEX([1]Sheet1!$C$2:$C$113,MATCH(1,($B75= [1]Sheet1!$D$2:$D$113)*($A75=[1]Sheet1!$B$2:$B$113),0)))</f>
        <v>Team 7</v>
      </c>
      <c r="D75" s="309">
        <f t="array" ref="D75">IFERROR(INDEX([1]Sheet1!$E$2:$E$113,MATCH(1,($B75= [1]Sheet1!$C$2:$C$113)*($A75=[1]Sheet1!$B$2:$B$113),0)),INDEX([1]Sheet1!$F$2:$F$113,MATCH(1,($B75= [1]Sheet1!$D$2:$D$113)*($A75=[1]Sheet1!$B$2:$B$113),0)))</f>
        <v>137.87</v>
      </c>
      <c r="E75" s="309">
        <f t="array" ref="E75">IF($A75&gt;Standings!$Q$27,"",INDEX($D$3:$D$226,(MATCH(1,($B$3:$B$226=$C75)*($A$3:$A$226=$A75),0))))</f>
        <v>113.92</v>
      </c>
      <c r="F75" s="310">
        <f>IF(A75&gt;Standings!$Q$27,"",IFERROR(VLOOKUP($B75,'[2]Week 5 '!B$2:C$17,2,0),"No FAAB Entered"))</f>
        <v>0</v>
      </c>
      <c r="G75" s="310">
        <f>IF(A75&gt;Standings!$Q$27,"",H75-I75)</f>
        <v>0</v>
      </c>
      <c r="H75" s="310">
        <f>IF(A75&gt;Standings!$Q$27,"",I59)</f>
        <v>100</v>
      </c>
      <c r="I75" s="311">
        <f>IF(A75&gt;Standings!$Q$27,"",100-F75)</f>
        <v>100</v>
      </c>
      <c r="J75" s="290"/>
      <c r="M75" s="138"/>
      <c r="N75" s="331"/>
    </row>
    <row r="76" spans="1:14">
      <c r="A76" s="281">
        <f t="shared" si="1"/>
        <v>5</v>
      </c>
      <c r="B76" s="416" t="str">
        <f>$L$13</f>
        <v>Team 10</v>
      </c>
      <c r="C76" s="280" t="str">
        <f t="array" ref="C76">IFERROR(INDEX([1]Sheet1!$D$2:$D$113,MATCH(1,($B76= [1]Sheet1!$C$2:$C$113)*($A76=[1]Sheet1!$B$2:$B$113),0)),INDEX([1]Sheet1!$C$2:$C$113,MATCH(1,($B76= [1]Sheet1!$D$2:$D$113)*($A76=[1]Sheet1!$B$2:$B$113),0)))</f>
        <v>Team 3</v>
      </c>
      <c r="D76" s="309">
        <f t="array" ref="D76">IFERROR(INDEX([1]Sheet1!$E$2:$E$113,MATCH(1,($B76= [1]Sheet1!$C$2:$C$113)*($A76=[1]Sheet1!$B$2:$B$113),0)),INDEX([1]Sheet1!$F$2:$F$113,MATCH(1,($B76= [1]Sheet1!$D$2:$D$113)*($A76=[1]Sheet1!$B$2:$B$113),0)))</f>
        <v>103.25</v>
      </c>
      <c r="E76" s="309">
        <f t="array" ref="E76">IF($A76&gt;Standings!$Q$27,"",INDEX($D$3:$D$226,(MATCH(1,($B$3:$B$226=$C76)*($A$3:$A$226=$A76),0))))</f>
        <v>118.5</v>
      </c>
      <c r="F76" s="310">
        <f>IF(A76&gt;Standings!$Q$27,"",IFERROR(VLOOKUP($B76,'[2]Week 5 '!B$2:C$17,2,0),"No FAAB Entered"))</f>
        <v>19</v>
      </c>
      <c r="G76" s="310">
        <f>IF(A76&gt;Standings!$Q$27,"",H76-I76)</f>
        <v>19</v>
      </c>
      <c r="H76" s="310">
        <f>IF(A76&gt;Standings!$Q$27,"",I60)</f>
        <v>100</v>
      </c>
      <c r="I76" s="311">
        <f>IF(A76&gt;Standings!$Q$27,"",100-F76)</f>
        <v>81</v>
      </c>
      <c r="J76" s="315"/>
    </row>
    <row r="77" spans="1:14">
      <c r="A77" s="281">
        <f t="shared" si="1"/>
        <v>5</v>
      </c>
      <c r="B77" s="416" t="str">
        <f>$L$14</f>
        <v>Team 11</v>
      </c>
      <c r="C77" s="280" t="str">
        <f t="array" ref="C77">IFERROR(INDEX([1]Sheet1!$D$2:$D$113,MATCH(1,($B77= [1]Sheet1!$C$2:$C$113)*($A77=[1]Sheet1!$B$2:$B$113),0)),INDEX([1]Sheet1!$C$2:$C$113,MATCH(1,($B77= [1]Sheet1!$D$2:$D$113)*($A77=[1]Sheet1!$B$2:$B$113),0)))</f>
        <v>Team 2</v>
      </c>
      <c r="D77" s="309">
        <f t="array" ref="D77">IFERROR(INDEX([1]Sheet1!$E$2:$E$113,MATCH(1,($B77= [1]Sheet1!$C$2:$C$113)*($A77=[1]Sheet1!$B$2:$B$113),0)),INDEX([1]Sheet1!$F$2:$F$113,MATCH(1,($B77= [1]Sheet1!$D$2:$D$113)*($A77=[1]Sheet1!$B$2:$B$113),0)))</f>
        <v>137.59</v>
      </c>
      <c r="E77" s="309">
        <f t="array" ref="E77">IF($A77&gt;Standings!$Q$27,"",INDEX($D$3:$D$226,(MATCH(1,($B$3:$B$226=$C77)*($A$3:$A$226=$A77),0))))</f>
        <v>138.77000000000001</v>
      </c>
      <c r="F77" s="310">
        <f>IF(A77&gt;Standings!$Q$27,"",IFERROR(VLOOKUP($B77,'[2]Week 5 '!B$2:C$17,2,0),"No FAAB Entered"))</f>
        <v>41</v>
      </c>
      <c r="G77" s="310">
        <f>IF(A77&gt;Standings!$Q$27,"",H77-I77)</f>
        <v>15</v>
      </c>
      <c r="H77" s="310">
        <f>IF(A77&gt;Standings!$Q$27,"",I61)</f>
        <v>74</v>
      </c>
      <c r="I77" s="311">
        <f>IF(A77&gt;Standings!$Q$27,"",100-F77)</f>
        <v>59</v>
      </c>
      <c r="J77" s="327"/>
    </row>
    <row r="78" spans="1:14">
      <c r="A78" s="281">
        <f t="shared" si="1"/>
        <v>5</v>
      </c>
      <c r="B78" s="416" t="str">
        <f>$L$15</f>
        <v>Team 12</v>
      </c>
      <c r="C78" s="280" t="str">
        <f t="array" ref="C78">IFERROR(INDEX([1]Sheet1!$D$2:$D$113,MATCH(1,($B78= [1]Sheet1!$C$2:$C$113)*($A78=[1]Sheet1!$B$2:$B$113),0)),INDEX([1]Sheet1!$C$2:$C$113,MATCH(1,($B78= [1]Sheet1!$D$2:$D$113)*($A78=[1]Sheet1!$B$2:$B$113),0)))</f>
        <v>Team 6</v>
      </c>
      <c r="D78" s="309">
        <f t="array" ref="D78">IFERROR(INDEX([1]Sheet1!$E$2:$E$113,MATCH(1,($B78= [1]Sheet1!$C$2:$C$113)*($A78=[1]Sheet1!$B$2:$B$113),0)),INDEX([1]Sheet1!$F$2:$F$113,MATCH(1,($B78= [1]Sheet1!$D$2:$D$113)*($A78=[1]Sheet1!$B$2:$B$113),0)))</f>
        <v>84.54</v>
      </c>
      <c r="E78" s="309">
        <f t="array" ref="E78">IF($A78&gt;Standings!$Q$27,"",INDEX($D$3:$D$226,(MATCH(1,($B$3:$B$226=$C78)*($A$3:$A$226=$A78),0))))</f>
        <v>92.34</v>
      </c>
      <c r="F78" s="310">
        <f>IF(A78&gt;Standings!$Q$27,"",IFERROR(VLOOKUP($B78,'[2]Week 5 '!B$2:C$17,2,0),"No FAAB Entered"))</f>
        <v>49</v>
      </c>
      <c r="G78" s="310">
        <f>IF(A78&gt;Standings!$Q$27,"",H78-I78)</f>
        <v>0</v>
      </c>
      <c r="H78" s="310">
        <f>IF(A78&gt;Standings!$Q$27,"",I62)</f>
        <v>51</v>
      </c>
      <c r="I78" s="311">
        <f>IF(A78&gt;Standings!$Q$27,"",100-F78)</f>
        <v>51</v>
      </c>
      <c r="J78" s="118"/>
    </row>
    <row r="79" spans="1:14">
      <c r="A79" s="281">
        <f t="shared" si="1"/>
        <v>5</v>
      </c>
      <c r="B79" s="416" t="str">
        <f>$L$16</f>
        <v>Team 13</v>
      </c>
      <c r="C79" s="280" t="str">
        <f t="array" ref="C79">IFERROR(INDEX([1]Sheet1!$D$2:$D$113,MATCH(1,($B79= [1]Sheet1!$C$2:$C$113)*($A79=[1]Sheet1!$B$2:$B$113),0)),INDEX([1]Sheet1!$C$2:$C$113,MATCH(1,($B79= [1]Sheet1!$D$2:$D$113)*($A79=[1]Sheet1!$B$2:$B$113),0)))</f>
        <v>Team 8</v>
      </c>
      <c r="D79" s="309">
        <f t="array" ref="D79">IFERROR(INDEX([1]Sheet1!$E$2:$E$113,MATCH(1,($B79= [1]Sheet1!$C$2:$C$113)*($A79=[1]Sheet1!$B$2:$B$113),0)),INDEX([1]Sheet1!$F$2:$F$113,MATCH(1,($B79= [1]Sheet1!$D$2:$D$113)*($A79=[1]Sheet1!$B$2:$B$113),0)))</f>
        <v>54.24</v>
      </c>
      <c r="E79" s="309">
        <f t="array" ref="E79">IF($A79&gt;Standings!$Q$27,"",INDEX($D$3:$D$226,(MATCH(1,($B$3:$B$226=$C79)*($A$3:$A$226=$A79),0))))</f>
        <v>81.97</v>
      </c>
      <c r="F79" s="310">
        <f>IF(A79&gt;Standings!$Q$27,"",IFERROR(VLOOKUP($B79,'[2]Week 5 '!B$2:C$17,2,0),"No FAAB Entered"))</f>
        <v>10</v>
      </c>
      <c r="G79" s="310">
        <f>IF(A79&gt;Standings!$Q$27,"",H79-I79)</f>
        <v>5</v>
      </c>
      <c r="H79" s="310">
        <f>IF(A79&gt;Standings!$Q$27,"",I63)</f>
        <v>95</v>
      </c>
      <c r="I79" s="311">
        <f>IF(A79&gt;Standings!$Q$27,"",100-F79)</f>
        <v>90</v>
      </c>
      <c r="J79" s="137"/>
      <c r="M79" s="320"/>
      <c r="N79" s="140"/>
    </row>
    <row r="80" spans="1:14">
      <c r="A80" s="281">
        <f t="shared" si="1"/>
        <v>5</v>
      </c>
      <c r="B80" s="416" t="str">
        <f>$L$17</f>
        <v>Team 14</v>
      </c>
      <c r="C80" s="280" t="str">
        <f t="array" ref="C80">IFERROR(INDEX([1]Sheet1!$D$2:$D$113,MATCH(1,($B80= [1]Sheet1!$C$2:$C$113)*($A80=[1]Sheet1!$B$2:$B$113),0)),INDEX([1]Sheet1!$C$2:$C$113,MATCH(1,($B80= [1]Sheet1!$D$2:$D$113)*($A80=[1]Sheet1!$B$2:$B$113),0)))</f>
        <v>Team 5</v>
      </c>
      <c r="D80" s="309">
        <f t="array" ref="D80">IFERROR(INDEX([1]Sheet1!$E$2:$E$113,MATCH(1,($B80= [1]Sheet1!$C$2:$C$113)*($A80=[1]Sheet1!$B$2:$B$113),0)),INDEX([1]Sheet1!$F$2:$F$113,MATCH(1,($B80= [1]Sheet1!$D$2:$D$113)*($A80=[1]Sheet1!$B$2:$B$113),0)))</f>
        <v>99.27</v>
      </c>
      <c r="E80" s="309">
        <f t="array" ref="E80">IF($A80&gt;Standings!$Q$27,"",INDEX($D$3:$D$226,(MATCH(1,($B$3:$B$226=$C80)*($A$3:$A$226=$A80),0))))</f>
        <v>105.79</v>
      </c>
      <c r="F80" s="310">
        <f>IF(A80&gt;Standings!$Q$27,"",IFERROR(VLOOKUP($B80,'[2]Week 5 '!B$2:C$17,2,0),"No FAAB Entered"))</f>
        <v>5</v>
      </c>
      <c r="G80" s="310">
        <f>IF(A80&gt;Standings!$Q$27,"",H80-I80)</f>
        <v>0</v>
      </c>
      <c r="H80" s="310">
        <f>IF(A80&gt;Standings!$Q$27,"",I64)</f>
        <v>95</v>
      </c>
      <c r="I80" s="311">
        <f>IF(A80&gt;Standings!$Q$27,"",100-F80)</f>
        <v>95</v>
      </c>
      <c r="J80" s="137"/>
      <c r="M80" s="320"/>
      <c r="N80" s="140"/>
    </row>
    <row r="81" spans="1:14">
      <c r="A81" s="281">
        <f t="shared" si="1"/>
        <v>5</v>
      </c>
      <c r="B81" s="416" t="str">
        <f>$L$18</f>
        <v>Team 15</v>
      </c>
      <c r="C81" s="280" t="str">
        <f t="array" ref="C81">IFERROR(INDEX([1]Sheet1!$D$2:$D$113,MATCH(1,($B81= [1]Sheet1!$C$2:$C$113)*($A81=[1]Sheet1!$B$2:$B$113),0)),INDEX([1]Sheet1!$C$2:$C$113,MATCH(1,($B81= [1]Sheet1!$D$2:$D$113)*($A81=[1]Sheet1!$B$2:$B$113),0)))</f>
        <v>Team 16</v>
      </c>
      <c r="D81" s="309">
        <f t="array" ref="D81">IFERROR(INDEX([1]Sheet1!$E$2:$E$113,MATCH(1,($B81= [1]Sheet1!$C$2:$C$113)*($A81=[1]Sheet1!$B$2:$B$113),0)),INDEX([1]Sheet1!$F$2:$F$113,MATCH(1,($B81= [1]Sheet1!$D$2:$D$113)*($A81=[1]Sheet1!$B$2:$B$113),0)))</f>
        <v>105.13</v>
      </c>
      <c r="E81" s="309">
        <f t="array" ref="E81">IF($A81&gt;Standings!$Q$27,"",INDEX($D$3:$D$226,(MATCH(1,($B$3:$B$226=$C81)*($A$3:$A$226=$A81),0))))</f>
        <v>133.30000000000001</v>
      </c>
      <c r="F81" s="310">
        <f>IF(A81&gt;Standings!$Q$27,"",IFERROR(VLOOKUP($B81,'[2]Week 5 '!B$2:C$17,2,0),"No FAAB Entered"))</f>
        <v>39</v>
      </c>
      <c r="G81" s="310">
        <f>IF(A81&gt;Standings!$Q$27,"",H81-I81)</f>
        <v>0</v>
      </c>
      <c r="H81" s="310">
        <f>IF(A81&gt;Standings!$Q$27,"",I65)</f>
        <v>61</v>
      </c>
      <c r="I81" s="311">
        <f>IF(A81&gt;Standings!$Q$27,"",100-F81)</f>
        <v>61</v>
      </c>
      <c r="J81" s="137"/>
      <c r="M81" s="320"/>
      <c r="N81" s="140"/>
    </row>
    <row r="82" spans="1:14" ht="16" thickBot="1">
      <c r="A82" s="283">
        <f t="shared" si="1"/>
        <v>5</v>
      </c>
      <c r="B82" s="417" t="str">
        <f>$L$19</f>
        <v>Team 16</v>
      </c>
      <c r="C82" s="282" t="str">
        <f t="array" ref="C82">IFERROR(INDEX([1]Sheet1!$D$2:$D$113,MATCH(1,($B82= [1]Sheet1!$C$2:$C$113)*($A82=[1]Sheet1!$B$2:$B$113),0)),INDEX([1]Sheet1!$C$2:$C$113,MATCH(1,($B82= [1]Sheet1!$D$2:$D$113)*($A82=[1]Sheet1!$B$2:$B$113),0)))</f>
        <v>Team 15</v>
      </c>
      <c r="D82" s="312">
        <f t="array" ref="D82">IFERROR(INDEX([1]Sheet1!$E$2:$E$113,MATCH(1,($B82= [1]Sheet1!$C$2:$C$113)*($A82=[1]Sheet1!$B$2:$B$113),0)),INDEX([1]Sheet1!$F$2:$F$113,MATCH(1,($B82= [1]Sheet1!$D$2:$D$113)*($A82=[1]Sheet1!$B$2:$B$113),0)))</f>
        <v>133.30000000000001</v>
      </c>
      <c r="E82" s="312">
        <f t="array" ref="E82">IF($A82&gt;Standings!$Q$27,"",INDEX($D$3:$D$226,(MATCH(1,($B$3:$B$226=$C82)*($A$3:$A$226=$A82),0))))</f>
        <v>105.13</v>
      </c>
      <c r="F82" s="313">
        <f>IF(A82&gt;Standings!$Q$27,"",IFERROR(VLOOKUP($B82,'[2]Week 5 '!B$2:C$17,2,0),"No FAAB Entered"))</f>
        <v>100</v>
      </c>
      <c r="G82" s="313">
        <f>IF(A82&gt;Standings!$Q$27,"",H82-I82)</f>
        <v>0</v>
      </c>
      <c r="H82" s="313">
        <f>IF(A82&gt;Standings!$Q$27,"",I66)</f>
        <v>0</v>
      </c>
      <c r="I82" s="314">
        <f>IF(A82&gt;Standings!$Q$27,"",100-F82)</f>
        <v>0</v>
      </c>
      <c r="J82" s="137"/>
      <c r="M82" s="320"/>
      <c r="N82" s="140"/>
    </row>
    <row r="83" spans="1:14">
      <c r="A83" s="277">
        <f t="shared" si="1"/>
        <v>6</v>
      </c>
      <c r="B83" s="414" t="str">
        <f>$L$4</f>
        <v>Team 1</v>
      </c>
      <c r="C83" s="276" t="str">
        <f t="array" ref="C83">IFERROR(INDEX([1]Sheet1!$D$2:$D$113,MATCH(1,($B83= [1]Sheet1!$C$2:$C$113)*($A83=[1]Sheet1!$B$2:$B$113),0)),INDEX([1]Sheet1!$C$2:$C$113,MATCH(1,($B83= [1]Sheet1!$D$2:$D$113)*($A83=[1]Sheet1!$B$2:$B$113),0)))</f>
        <v>Team 8</v>
      </c>
      <c r="D83" s="295">
        <f t="array" ref="D83">IFERROR(INDEX([1]Sheet1!$E$2:$E$113,MATCH(1,($B83= [1]Sheet1!$C$2:$C$113)*($A83=[1]Sheet1!$B$2:$B$113),0)),INDEX([1]Sheet1!$F$2:$F$113,MATCH(1,($B83= [1]Sheet1!$D$2:$D$113)*($A83=[1]Sheet1!$B$2:$B$113),0)))</f>
        <v>74.430000000000007</v>
      </c>
      <c r="E83" s="295">
        <f t="array" ref="E83">IF($A83&gt;Standings!$Q$27,"",INDEX($D$3:$D$226,(MATCH(1,($B$3:$B$226=$C83)*($A$3:$A$226=$A83),0))))</f>
        <v>108.9</v>
      </c>
      <c r="F83" s="296">
        <f>IF(A83&gt;Standings!$Q$27,"",IFERROR(VLOOKUP($B83,'[2]Week 6'!B$2:C$17,2,0),"No FAAB Entered"))</f>
        <v>69</v>
      </c>
      <c r="G83" s="296">
        <f>IF(A83&gt;Standings!$Q$27,"",H83-I83)</f>
        <v>0</v>
      </c>
      <c r="H83" s="296">
        <f>IF(A83&gt;Standings!$Q$27,"",I67)</f>
        <v>31</v>
      </c>
      <c r="I83" s="297">
        <f>IF(A83&gt;Standings!$Q$27,"",100-F83)</f>
        <v>31</v>
      </c>
      <c r="J83" s="137"/>
      <c r="M83" s="320"/>
      <c r="N83" s="140"/>
    </row>
    <row r="84" spans="1:14">
      <c r="A84" s="279">
        <f t="shared" ref="A84:A147" si="2">A68+1</f>
        <v>6</v>
      </c>
      <c r="B84" s="415" t="str">
        <f>$L$5</f>
        <v>Team 2</v>
      </c>
      <c r="C84" s="278" t="str">
        <f t="array" ref="C84">IFERROR(INDEX([1]Sheet1!$D$2:$D$113,MATCH(1,($B84= [1]Sheet1!$C$2:$C$113)*($A84=[1]Sheet1!$B$2:$B$113),0)),INDEX([1]Sheet1!$C$2:$C$113,MATCH(1,($B84= [1]Sheet1!$D$2:$D$113)*($A84=[1]Sheet1!$B$2:$B$113),0)))</f>
        <v>Team 15</v>
      </c>
      <c r="D84" s="302">
        <f t="array" ref="D84">IFERROR(INDEX([1]Sheet1!$E$2:$E$113,MATCH(1,($B84= [1]Sheet1!$C$2:$C$113)*($A84=[1]Sheet1!$B$2:$B$113),0)),INDEX([1]Sheet1!$F$2:$F$113,MATCH(1,($B84= [1]Sheet1!$D$2:$D$113)*($A84=[1]Sheet1!$B$2:$B$113),0)))</f>
        <v>97.96</v>
      </c>
      <c r="E84" s="302">
        <f t="array" ref="E84">IF($A84&gt;Standings!$Q$27,"",INDEX($D$3:$D$226,(MATCH(1,($B$3:$B$226=$C84)*($A$3:$A$226=$A84),0))))</f>
        <v>73.25</v>
      </c>
      <c r="F84" s="303">
        <f>IF(A84&gt;Standings!$Q$27,"",IFERROR(VLOOKUP($B84,'[2]Week 6'!B$2:C$17,2,0),"No FAAB Entered"))</f>
        <v>71</v>
      </c>
      <c r="G84" s="303">
        <f>IF(A84&gt;Standings!$Q$27,"",H84-I84)</f>
        <v>0</v>
      </c>
      <c r="H84" s="303">
        <f>IF(A84&gt;Standings!$Q$27,"",I68)</f>
        <v>29</v>
      </c>
      <c r="I84" s="304">
        <f>IF(A84&gt;Standings!$Q$27,"",100-F84)</f>
        <v>29</v>
      </c>
      <c r="J84" s="137"/>
      <c r="M84" s="320"/>
      <c r="N84" s="140"/>
    </row>
    <row r="85" spans="1:14">
      <c r="A85" s="279">
        <f t="shared" si="2"/>
        <v>6</v>
      </c>
      <c r="B85" s="415" t="str">
        <f>$L$6</f>
        <v>Team 3</v>
      </c>
      <c r="C85" s="278" t="str">
        <f t="array" ref="C85">IFERROR(INDEX([1]Sheet1!$D$2:$D$113,MATCH(1,($B85= [1]Sheet1!$C$2:$C$113)*($A85=[1]Sheet1!$B$2:$B$113),0)),INDEX([1]Sheet1!$C$2:$C$113,MATCH(1,($B85= [1]Sheet1!$D$2:$D$113)*($A85=[1]Sheet1!$B$2:$B$113),0)))</f>
        <v>Team 4</v>
      </c>
      <c r="D85" s="302">
        <f t="array" ref="D85">IFERROR(INDEX([1]Sheet1!$E$2:$E$113,MATCH(1,($B85= [1]Sheet1!$C$2:$C$113)*($A85=[1]Sheet1!$B$2:$B$113),0)),INDEX([1]Sheet1!$F$2:$F$113,MATCH(1,($B85= [1]Sheet1!$D$2:$D$113)*($A85=[1]Sheet1!$B$2:$B$113),0)))</f>
        <v>67.37</v>
      </c>
      <c r="E85" s="302">
        <f t="array" ref="E85">IF($A85&gt;Standings!$Q$27,"",INDEX($D$3:$D$226,(MATCH(1,($B$3:$B$226=$C85)*($A$3:$A$226=$A85),0))))</f>
        <v>133.94999999999999</v>
      </c>
      <c r="F85" s="303">
        <f>IF(A85&gt;Standings!$Q$27,"",IFERROR(VLOOKUP($B85,'[2]Week 6'!B$2:C$17,2,0),"No FAAB Entered"))</f>
        <v>65</v>
      </c>
      <c r="G85" s="303">
        <f>IF(A85&gt;Standings!$Q$27,"",H85-I85)</f>
        <v>60</v>
      </c>
      <c r="H85" s="303">
        <f>IF(A85&gt;Standings!$Q$27,"",I69)</f>
        <v>95</v>
      </c>
      <c r="I85" s="304">
        <f>IF(A85&gt;Standings!$Q$27,"",100-F85)</f>
        <v>35</v>
      </c>
      <c r="J85" s="137"/>
      <c r="M85" s="320"/>
      <c r="N85" s="140"/>
    </row>
    <row r="86" spans="1:14">
      <c r="A86" s="279">
        <f t="shared" si="2"/>
        <v>6</v>
      </c>
      <c r="B86" s="415" t="str">
        <f>$L$7</f>
        <v>Team 4</v>
      </c>
      <c r="C86" s="278" t="str">
        <f t="array" ref="C86">IFERROR(INDEX([1]Sheet1!$D$2:$D$113,MATCH(1,($B86= [1]Sheet1!$C$2:$C$113)*($A86=[1]Sheet1!$B$2:$B$113),0)),INDEX([1]Sheet1!$C$2:$C$113,MATCH(1,($B86= [1]Sheet1!$D$2:$D$113)*($A86=[1]Sheet1!$B$2:$B$113),0)))</f>
        <v>Team 3</v>
      </c>
      <c r="D86" s="302">
        <f t="array" ref="D86">IFERROR(INDEX([1]Sheet1!$E$2:$E$113,MATCH(1,($B86= [1]Sheet1!$C$2:$C$113)*($A86=[1]Sheet1!$B$2:$B$113),0)),INDEX([1]Sheet1!$F$2:$F$113,MATCH(1,($B86= [1]Sheet1!$D$2:$D$113)*($A86=[1]Sheet1!$B$2:$B$113),0)))</f>
        <v>133.94999999999999</v>
      </c>
      <c r="E86" s="302">
        <f t="array" ref="E86">IF($A86&gt;Standings!$Q$27,"",INDEX($D$3:$D$226,(MATCH(1,($B$3:$B$226=$C86)*($A$3:$A$226=$A86),0))))</f>
        <v>67.37</v>
      </c>
      <c r="F86" s="303">
        <f>IF(A86&gt;Standings!$Q$27,"",IFERROR(VLOOKUP($B86,'[2]Week 6'!B$2:C$17,2,0),"No FAAB Entered"))</f>
        <v>31</v>
      </c>
      <c r="G86" s="303">
        <f>IF(A86&gt;Standings!$Q$27,"",H86-I86)</f>
        <v>12</v>
      </c>
      <c r="H86" s="303">
        <f>IF(A86&gt;Standings!$Q$27,"",I70)</f>
        <v>81</v>
      </c>
      <c r="I86" s="304">
        <f>IF(A86&gt;Standings!$Q$27,"",100-F86)</f>
        <v>69</v>
      </c>
      <c r="J86" s="137"/>
      <c r="M86" s="320"/>
      <c r="N86" s="140"/>
    </row>
    <row r="87" spans="1:14">
      <c r="A87" s="279">
        <f t="shared" si="2"/>
        <v>6</v>
      </c>
      <c r="B87" s="415" t="str">
        <f>$L$8</f>
        <v>Team 5</v>
      </c>
      <c r="C87" s="278" t="str">
        <f t="array" ref="C87">IFERROR(INDEX([1]Sheet1!$D$2:$D$113,MATCH(1,($B87= [1]Sheet1!$C$2:$C$113)*($A87=[1]Sheet1!$B$2:$B$113),0)),INDEX([1]Sheet1!$C$2:$C$113,MATCH(1,($B87= [1]Sheet1!$D$2:$D$113)*($A87=[1]Sheet1!$B$2:$B$113),0)))</f>
        <v>Team 7</v>
      </c>
      <c r="D87" s="302">
        <f t="array" ref="D87">IFERROR(INDEX([1]Sheet1!$E$2:$E$113,MATCH(1,($B87= [1]Sheet1!$C$2:$C$113)*($A87=[1]Sheet1!$B$2:$B$113),0)),INDEX([1]Sheet1!$F$2:$F$113,MATCH(1,($B87= [1]Sheet1!$D$2:$D$113)*($A87=[1]Sheet1!$B$2:$B$113),0)))</f>
        <v>94.69</v>
      </c>
      <c r="E87" s="302">
        <f t="array" ref="E87">IF($A87&gt;Standings!$Q$27,"",INDEX($D$3:$D$226,(MATCH(1,($B$3:$B$226=$C87)*($A$3:$A$226=$A87),0))))</f>
        <v>113.46</v>
      </c>
      <c r="F87" s="303">
        <f>IF(A87&gt;Standings!$Q$27,"",IFERROR(VLOOKUP($B87,'[2]Week 6'!B$2:C$17,2,0),"No FAAB Entered"))</f>
        <v>100</v>
      </c>
      <c r="G87" s="303">
        <f>IF(A87&gt;Standings!$Q$27,"",H87-I87)</f>
        <v>0</v>
      </c>
      <c r="H87" s="303">
        <f>IF(A87&gt;Standings!$Q$27,"",I71)</f>
        <v>0</v>
      </c>
      <c r="I87" s="304">
        <f>IF(A87&gt;Standings!$Q$27,"",100-F87)</f>
        <v>0</v>
      </c>
      <c r="J87" s="137"/>
      <c r="M87" s="320"/>
      <c r="N87" s="140"/>
    </row>
    <row r="88" spans="1:14">
      <c r="A88" s="279">
        <f t="shared" si="2"/>
        <v>6</v>
      </c>
      <c r="B88" s="415" t="str">
        <f>$L$9</f>
        <v>Team 6</v>
      </c>
      <c r="C88" s="278" t="str">
        <f t="array" ref="C88">IFERROR(INDEX([1]Sheet1!$D$2:$D$113,MATCH(1,($B88= [1]Sheet1!$C$2:$C$113)*($A88=[1]Sheet1!$B$2:$B$113),0)),INDEX([1]Sheet1!$C$2:$C$113,MATCH(1,($B88= [1]Sheet1!$D$2:$D$113)*($A88=[1]Sheet1!$B$2:$B$113),0)))</f>
        <v>Team 13</v>
      </c>
      <c r="D88" s="302">
        <f t="array" ref="D88">IFERROR(INDEX([1]Sheet1!$E$2:$E$113,MATCH(1,($B88= [1]Sheet1!$C$2:$C$113)*($A88=[1]Sheet1!$B$2:$B$113),0)),INDEX([1]Sheet1!$F$2:$F$113,MATCH(1,($B88= [1]Sheet1!$D$2:$D$113)*($A88=[1]Sheet1!$B$2:$B$113),0)))</f>
        <v>91.59</v>
      </c>
      <c r="E88" s="302">
        <f t="array" ref="E88">IF($A88&gt;Standings!$Q$27,"",INDEX($D$3:$D$226,(MATCH(1,($B$3:$B$226=$C88)*($A$3:$A$226=$A88),0))))</f>
        <v>118.5</v>
      </c>
      <c r="F88" s="303">
        <f>IF(A88&gt;Standings!$Q$27,"",IFERROR(VLOOKUP($B88,'[2]Week 6'!B$2:C$17,2,0),"No FAAB Entered"))</f>
        <v>30</v>
      </c>
      <c r="G88" s="303">
        <f>IF(A88&gt;Standings!$Q$27,"",H88-I88)</f>
        <v>0</v>
      </c>
      <c r="H88" s="303">
        <f>IF(A88&gt;Standings!$Q$27,"",I72)</f>
        <v>70</v>
      </c>
      <c r="I88" s="304">
        <f>IF(A88&gt;Standings!$Q$27,"",100-F88)</f>
        <v>70</v>
      </c>
      <c r="J88" s="137"/>
      <c r="M88" s="320"/>
      <c r="N88" s="140"/>
    </row>
    <row r="89" spans="1:14">
      <c r="A89" s="279">
        <f t="shared" si="2"/>
        <v>6</v>
      </c>
      <c r="B89" s="415" t="str">
        <f>$L$10</f>
        <v>Team 7</v>
      </c>
      <c r="C89" s="278" t="str">
        <f t="array" ref="C89">IFERROR(INDEX([1]Sheet1!$D$2:$D$113,MATCH(1,($B89= [1]Sheet1!$C$2:$C$113)*($A89=[1]Sheet1!$B$2:$B$113),0)),INDEX([1]Sheet1!$C$2:$C$113,MATCH(1,($B89= [1]Sheet1!$D$2:$D$113)*($A89=[1]Sheet1!$B$2:$B$113),0)))</f>
        <v>Team 5</v>
      </c>
      <c r="D89" s="302">
        <f t="array" ref="D89">IFERROR(INDEX([1]Sheet1!$E$2:$E$113,MATCH(1,($B89= [1]Sheet1!$C$2:$C$113)*($A89=[1]Sheet1!$B$2:$B$113),0)),INDEX([1]Sheet1!$F$2:$F$113,MATCH(1,($B89= [1]Sheet1!$D$2:$D$113)*($A89=[1]Sheet1!$B$2:$B$113),0)))</f>
        <v>113.46</v>
      </c>
      <c r="E89" s="302">
        <f t="array" ref="E89">IF($A89&gt;Standings!$Q$27,"",INDEX($D$3:$D$226,(MATCH(1,($B$3:$B$226=$C89)*($A$3:$A$226=$A89),0))))</f>
        <v>94.69</v>
      </c>
      <c r="F89" s="303">
        <f>IF(A89&gt;Standings!$Q$27,"",IFERROR(VLOOKUP($B89,'[2]Week 6'!B$2:C$17,2,0),"No FAAB Entered"))</f>
        <v>0</v>
      </c>
      <c r="G89" s="303">
        <f>IF(A89&gt;Standings!$Q$27,"",H89-I89)</f>
        <v>0</v>
      </c>
      <c r="H89" s="303">
        <f>IF(A89&gt;Standings!$Q$27,"",I73)</f>
        <v>100</v>
      </c>
      <c r="I89" s="304">
        <f>IF(A89&gt;Standings!$Q$27,"",100-F89)</f>
        <v>100</v>
      </c>
      <c r="J89" s="137"/>
      <c r="M89" s="320"/>
      <c r="N89" s="140"/>
    </row>
    <row r="90" spans="1:14">
      <c r="A90" s="279">
        <f t="shared" si="2"/>
        <v>6</v>
      </c>
      <c r="B90" s="415" t="str">
        <f>$L$11</f>
        <v>Team 8</v>
      </c>
      <c r="C90" s="278" t="str">
        <f t="array" ref="C90">IFERROR(INDEX([1]Sheet1!$D$2:$D$113,MATCH(1,($B90= [1]Sheet1!$C$2:$C$113)*($A90=[1]Sheet1!$B$2:$B$113),0)),INDEX([1]Sheet1!$C$2:$C$113,MATCH(1,($B90= [1]Sheet1!$D$2:$D$113)*($A90=[1]Sheet1!$B$2:$B$113),0)))</f>
        <v>Team 1</v>
      </c>
      <c r="D90" s="302">
        <f t="array" ref="D90">IFERROR(INDEX([1]Sheet1!$E$2:$E$113,MATCH(1,($B90= [1]Sheet1!$C$2:$C$113)*($A90=[1]Sheet1!$B$2:$B$113),0)),INDEX([1]Sheet1!$F$2:$F$113,MATCH(1,($B90= [1]Sheet1!$D$2:$D$113)*($A90=[1]Sheet1!$B$2:$B$113),0)))</f>
        <v>108.9</v>
      </c>
      <c r="E90" s="302">
        <f t="array" ref="E90">IF($A90&gt;Standings!$Q$27,"",INDEX($D$3:$D$226,(MATCH(1,($B$3:$B$226=$C90)*($A$3:$A$226=$A90),0))))</f>
        <v>74.430000000000007</v>
      </c>
      <c r="F90" s="303">
        <f>IF(A90&gt;Standings!$Q$27,"",IFERROR(VLOOKUP($B90,'[2]Week 6'!B$2:C$17,2,0),"No FAAB Entered"))</f>
        <v>48</v>
      </c>
      <c r="G90" s="303">
        <f>IF(A90&gt;Standings!$Q$27,"",H90-I90)</f>
        <v>44</v>
      </c>
      <c r="H90" s="303">
        <f>IF(A90&gt;Standings!$Q$27,"",I74)</f>
        <v>96</v>
      </c>
      <c r="I90" s="304">
        <f>IF(A90&gt;Standings!$Q$27,"",100-F90)</f>
        <v>52</v>
      </c>
      <c r="J90" s="137"/>
      <c r="M90" s="320"/>
      <c r="N90" s="140"/>
    </row>
    <row r="91" spans="1:14">
      <c r="A91" s="281">
        <f t="shared" si="2"/>
        <v>6</v>
      </c>
      <c r="B91" s="416" t="str">
        <f>$L$12</f>
        <v>Team 9</v>
      </c>
      <c r="C91" s="280" t="str">
        <f t="array" ref="C91">IFERROR(INDEX([1]Sheet1!$D$2:$D$113,MATCH(1,($B91= [1]Sheet1!$C$2:$C$113)*($A91=[1]Sheet1!$B$2:$B$113),0)),INDEX([1]Sheet1!$C$2:$C$113,MATCH(1,($B91= [1]Sheet1!$D$2:$D$113)*($A91=[1]Sheet1!$B$2:$B$113),0)))</f>
        <v>Team 11</v>
      </c>
      <c r="D91" s="309">
        <f t="array" ref="D91">IFERROR(INDEX([1]Sheet1!$E$2:$E$113,MATCH(1,($B91= [1]Sheet1!$C$2:$C$113)*($A91=[1]Sheet1!$B$2:$B$113),0)),INDEX([1]Sheet1!$F$2:$F$113,MATCH(1,($B91= [1]Sheet1!$D$2:$D$113)*($A91=[1]Sheet1!$B$2:$B$113),0)))</f>
        <v>98.25</v>
      </c>
      <c r="E91" s="309">
        <f t="array" ref="E91">IF($A91&gt;Standings!$Q$27,"",INDEX($D$3:$D$226,(MATCH(1,($B$3:$B$226=$C91)*($A$3:$A$226=$A91),0))))</f>
        <v>113.54</v>
      </c>
      <c r="F91" s="310">
        <f>IF(A91&gt;Standings!$Q$27,"",IFERROR(VLOOKUP($B91,'[2]Week 6'!B$2:C$17,2,0),"No FAAB Entered"))</f>
        <v>0</v>
      </c>
      <c r="G91" s="310">
        <f>IF(A91&gt;Standings!$Q$27,"",H91-I91)</f>
        <v>0</v>
      </c>
      <c r="H91" s="310">
        <f>IF(A91&gt;Standings!$Q$27,"",I75)</f>
        <v>100</v>
      </c>
      <c r="I91" s="311">
        <f>IF(A91&gt;Standings!$Q$27,"",100-F91)</f>
        <v>100</v>
      </c>
      <c r="J91" s="137"/>
      <c r="M91" s="320"/>
      <c r="N91" s="140"/>
    </row>
    <row r="92" spans="1:14">
      <c r="A92" s="281">
        <f t="shared" si="2"/>
        <v>6</v>
      </c>
      <c r="B92" s="416" t="str">
        <f>$L$13</f>
        <v>Team 10</v>
      </c>
      <c r="C92" s="280" t="str">
        <f t="array" ref="C92">IFERROR(INDEX([1]Sheet1!$D$2:$D$113,MATCH(1,($B92= [1]Sheet1!$C$2:$C$113)*($A92=[1]Sheet1!$B$2:$B$113),0)),INDEX([1]Sheet1!$C$2:$C$113,MATCH(1,($B92= [1]Sheet1!$D$2:$D$113)*($A92=[1]Sheet1!$B$2:$B$113),0)))</f>
        <v>Team 16</v>
      </c>
      <c r="D92" s="309">
        <f t="array" ref="D92">IFERROR(INDEX([1]Sheet1!$E$2:$E$113,MATCH(1,($B92= [1]Sheet1!$C$2:$C$113)*($A92=[1]Sheet1!$B$2:$B$113),0)),INDEX([1]Sheet1!$F$2:$F$113,MATCH(1,($B92= [1]Sheet1!$D$2:$D$113)*($A92=[1]Sheet1!$B$2:$B$113),0)))</f>
        <v>113.1</v>
      </c>
      <c r="E92" s="309">
        <f t="array" ref="E92">IF($A92&gt;Standings!$Q$27,"",INDEX($D$3:$D$226,(MATCH(1,($B$3:$B$226=$C92)*($A$3:$A$226=$A92),0))))</f>
        <v>98.77</v>
      </c>
      <c r="F92" s="310">
        <f>IF(A92&gt;Standings!$Q$27,"",IFERROR(VLOOKUP($B92,'[2]Week 6'!B$2:C$17,2,0),"No FAAB Entered"))</f>
        <v>36</v>
      </c>
      <c r="G92" s="310">
        <f>IF(A92&gt;Standings!$Q$27,"",H92-I92)</f>
        <v>17</v>
      </c>
      <c r="H92" s="310">
        <f>IF(A92&gt;Standings!$Q$27,"",I76)</f>
        <v>81</v>
      </c>
      <c r="I92" s="311">
        <f>IF(A92&gt;Standings!$Q$27,"",100-F92)</f>
        <v>64</v>
      </c>
      <c r="J92" s="137"/>
      <c r="M92" s="320"/>
      <c r="N92" s="140"/>
    </row>
    <row r="93" spans="1:14">
      <c r="A93" s="281">
        <f t="shared" si="2"/>
        <v>6</v>
      </c>
      <c r="B93" s="416" t="str">
        <f>$L$14</f>
        <v>Team 11</v>
      </c>
      <c r="C93" s="280" t="str">
        <f t="array" ref="C93">IFERROR(INDEX([1]Sheet1!$D$2:$D$113,MATCH(1,($B93= [1]Sheet1!$C$2:$C$113)*($A93=[1]Sheet1!$B$2:$B$113),0)),INDEX([1]Sheet1!$C$2:$C$113,MATCH(1,($B93= [1]Sheet1!$D$2:$D$113)*($A93=[1]Sheet1!$B$2:$B$113),0)))</f>
        <v>Team 9</v>
      </c>
      <c r="D93" s="309">
        <f t="array" ref="D93">IFERROR(INDEX([1]Sheet1!$E$2:$E$113,MATCH(1,($B93= [1]Sheet1!$C$2:$C$113)*($A93=[1]Sheet1!$B$2:$B$113),0)),INDEX([1]Sheet1!$F$2:$F$113,MATCH(1,($B93= [1]Sheet1!$D$2:$D$113)*($A93=[1]Sheet1!$B$2:$B$113),0)))</f>
        <v>113.54</v>
      </c>
      <c r="E93" s="309">
        <f t="array" ref="E93">IF($A93&gt;Standings!$Q$27,"",INDEX($D$3:$D$226,(MATCH(1,($B$3:$B$226=$C93)*($A$3:$A$226=$A93),0))))</f>
        <v>98.25</v>
      </c>
      <c r="F93" s="310">
        <f>IF(A93&gt;Standings!$Q$27,"",IFERROR(VLOOKUP($B93,'[2]Week 6'!B$2:C$17,2,0),"No FAAB Entered"))</f>
        <v>76</v>
      </c>
      <c r="G93" s="310">
        <f>IF(A93&gt;Standings!$Q$27,"",H93-I93)</f>
        <v>35</v>
      </c>
      <c r="H93" s="310">
        <f>IF(A93&gt;Standings!$Q$27,"",I77)</f>
        <v>59</v>
      </c>
      <c r="I93" s="311">
        <f>IF(A93&gt;Standings!$Q$27,"",100-F93)</f>
        <v>24</v>
      </c>
      <c r="J93" s="137"/>
      <c r="M93" s="320"/>
      <c r="N93" s="140"/>
    </row>
    <row r="94" spans="1:14">
      <c r="A94" s="281">
        <f t="shared" si="2"/>
        <v>6</v>
      </c>
      <c r="B94" s="416" t="str">
        <f>$L$15</f>
        <v>Team 12</v>
      </c>
      <c r="C94" s="280" t="str">
        <f t="array" ref="C94">IFERROR(INDEX([1]Sheet1!$D$2:$D$113,MATCH(1,($B94= [1]Sheet1!$C$2:$C$113)*($A94=[1]Sheet1!$B$2:$B$113),0)),INDEX([1]Sheet1!$C$2:$C$113,MATCH(1,($B94= [1]Sheet1!$D$2:$D$113)*($A94=[1]Sheet1!$B$2:$B$113),0)))</f>
        <v>Team 14</v>
      </c>
      <c r="D94" s="309">
        <f t="array" ref="D94">IFERROR(INDEX([1]Sheet1!$E$2:$E$113,MATCH(1,($B94= [1]Sheet1!$C$2:$C$113)*($A94=[1]Sheet1!$B$2:$B$113),0)),INDEX([1]Sheet1!$F$2:$F$113,MATCH(1,($B94= [1]Sheet1!$D$2:$D$113)*($A94=[1]Sheet1!$B$2:$B$113),0)))</f>
        <v>84.33</v>
      </c>
      <c r="E94" s="309">
        <f t="array" ref="E94">IF($A94&gt;Standings!$Q$27,"",INDEX($D$3:$D$226,(MATCH(1,($B$3:$B$226=$C94)*($A$3:$A$226=$A94),0))))</f>
        <v>68.94</v>
      </c>
      <c r="F94" s="310">
        <f>IF(A94&gt;Standings!$Q$27,"",IFERROR(VLOOKUP($B94,'[2]Week 6'!B$2:C$17,2,0),"No FAAB Entered"))</f>
        <v>49</v>
      </c>
      <c r="G94" s="310">
        <f>IF(A94&gt;Standings!$Q$27,"",H94-I94)</f>
        <v>0</v>
      </c>
      <c r="H94" s="310">
        <f>IF(A94&gt;Standings!$Q$27,"",I78)</f>
        <v>51</v>
      </c>
      <c r="I94" s="311">
        <f>IF(A94&gt;Standings!$Q$27,"",100-F94)</f>
        <v>51</v>
      </c>
      <c r="J94" s="137"/>
      <c r="M94" s="320"/>
      <c r="N94" s="140"/>
    </row>
    <row r="95" spans="1:14">
      <c r="A95" s="281">
        <f t="shared" si="2"/>
        <v>6</v>
      </c>
      <c r="B95" s="416" t="str">
        <f>$L$16</f>
        <v>Team 13</v>
      </c>
      <c r="C95" s="280" t="str">
        <f t="array" ref="C95">IFERROR(INDEX([1]Sheet1!$D$2:$D$113,MATCH(1,($B95= [1]Sheet1!$C$2:$C$113)*($A95=[1]Sheet1!$B$2:$B$113),0)),INDEX([1]Sheet1!$C$2:$C$113,MATCH(1,($B95= [1]Sheet1!$D$2:$D$113)*($A95=[1]Sheet1!$B$2:$B$113),0)))</f>
        <v>Team 6</v>
      </c>
      <c r="D95" s="309">
        <f t="array" ref="D95">IFERROR(INDEX([1]Sheet1!$E$2:$E$113,MATCH(1,($B95= [1]Sheet1!$C$2:$C$113)*($A95=[1]Sheet1!$B$2:$B$113),0)),INDEX([1]Sheet1!$F$2:$F$113,MATCH(1,($B95= [1]Sheet1!$D$2:$D$113)*($A95=[1]Sheet1!$B$2:$B$113),0)))</f>
        <v>118.5</v>
      </c>
      <c r="E95" s="309">
        <f t="array" ref="E95">IF($A95&gt;Standings!$Q$27,"",INDEX($D$3:$D$226,(MATCH(1,($B$3:$B$226=$C95)*($A$3:$A$226=$A95),0))))</f>
        <v>91.59</v>
      </c>
      <c r="F95" s="310">
        <f>IF(A95&gt;Standings!$Q$27,"",IFERROR(VLOOKUP($B95,'[2]Week 6'!B$2:C$17,2,0),"No FAAB Entered"))</f>
        <v>10</v>
      </c>
      <c r="G95" s="310">
        <f>IF(A95&gt;Standings!$Q$27,"",H95-I95)</f>
        <v>0</v>
      </c>
      <c r="H95" s="310">
        <f>IF(A95&gt;Standings!$Q$27,"",I79)</f>
        <v>90</v>
      </c>
      <c r="I95" s="311">
        <f>IF(A95&gt;Standings!$Q$27,"",100-F95)</f>
        <v>90</v>
      </c>
      <c r="J95" s="315"/>
    </row>
    <row r="96" spans="1:14">
      <c r="A96" s="281">
        <f t="shared" si="2"/>
        <v>6</v>
      </c>
      <c r="B96" s="416" t="str">
        <f>$L$17</f>
        <v>Team 14</v>
      </c>
      <c r="C96" s="280" t="str">
        <f t="array" ref="C96">IFERROR(INDEX([1]Sheet1!$D$2:$D$113,MATCH(1,($B96= [1]Sheet1!$C$2:$C$113)*($A96=[1]Sheet1!$B$2:$B$113),0)),INDEX([1]Sheet1!$C$2:$C$113,MATCH(1,($B96= [1]Sheet1!$D$2:$D$113)*($A96=[1]Sheet1!$B$2:$B$113),0)))</f>
        <v>Team 12</v>
      </c>
      <c r="D96" s="309">
        <f t="array" ref="D96">IFERROR(INDEX([1]Sheet1!$E$2:$E$113,MATCH(1,($B96= [1]Sheet1!$C$2:$C$113)*($A96=[1]Sheet1!$B$2:$B$113),0)),INDEX([1]Sheet1!$F$2:$F$113,MATCH(1,($B96= [1]Sheet1!$D$2:$D$113)*($A96=[1]Sheet1!$B$2:$B$113),0)))</f>
        <v>68.94</v>
      </c>
      <c r="E96" s="309">
        <f t="array" ref="E96">IF($A96&gt;Standings!$Q$27,"",INDEX($D$3:$D$226,(MATCH(1,($B$3:$B$226=$C96)*($A$3:$A$226=$A96),0))))</f>
        <v>84.33</v>
      </c>
      <c r="F96" s="310">
        <f>IF(A96&gt;Standings!$Q$27,"",IFERROR(VLOOKUP($B96,'[2]Week 6'!B$2:C$17,2,0),"No FAAB Entered"))</f>
        <v>5</v>
      </c>
      <c r="G96" s="310">
        <f>IF(A96&gt;Standings!$Q$27,"",H96-I96)</f>
        <v>0</v>
      </c>
      <c r="H96" s="310">
        <f>IF(A96&gt;Standings!$Q$27,"",I80)</f>
        <v>95</v>
      </c>
      <c r="I96" s="311">
        <f>IF(A96&gt;Standings!$Q$27,"",100-F96)</f>
        <v>95</v>
      </c>
      <c r="J96" s="327"/>
    </row>
    <row r="97" spans="1:13">
      <c r="A97" s="281">
        <f t="shared" si="2"/>
        <v>6</v>
      </c>
      <c r="B97" s="416" t="str">
        <f>$L$18</f>
        <v>Team 15</v>
      </c>
      <c r="C97" s="280" t="str">
        <f t="array" ref="C97">IFERROR(INDEX([1]Sheet1!$D$2:$D$113,MATCH(1,($B97= [1]Sheet1!$C$2:$C$113)*($A97=[1]Sheet1!$B$2:$B$113),0)),INDEX([1]Sheet1!$C$2:$C$113,MATCH(1,($B97= [1]Sheet1!$D$2:$D$113)*($A97=[1]Sheet1!$B$2:$B$113),0)))</f>
        <v>Team 2</v>
      </c>
      <c r="D97" s="309">
        <f t="array" ref="D97">IFERROR(INDEX([1]Sheet1!$E$2:$E$113,MATCH(1,($B97= [1]Sheet1!$C$2:$C$113)*($A97=[1]Sheet1!$B$2:$B$113),0)),INDEX([1]Sheet1!$F$2:$F$113,MATCH(1,($B97= [1]Sheet1!$D$2:$D$113)*($A97=[1]Sheet1!$B$2:$B$113),0)))</f>
        <v>73.25</v>
      </c>
      <c r="E97" s="309">
        <f t="array" ref="E97">IF($A97&gt;Standings!$Q$27,"",INDEX($D$3:$D$226,(MATCH(1,($B$3:$B$226=$C97)*($A$3:$A$226=$A97),0))))</f>
        <v>97.96</v>
      </c>
      <c r="F97" s="310">
        <f>IF(A97&gt;Standings!$Q$27,"",IFERROR(VLOOKUP($B97,'[2]Week 6'!B$2:C$17,2,0),"No FAAB Entered"))</f>
        <v>54</v>
      </c>
      <c r="G97" s="310">
        <f>IF(A97&gt;Standings!$Q$27,"",H97-I97)</f>
        <v>15</v>
      </c>
      <c r="H97" s="310">
        <f>IF(A97&gt;Standings!$Q$27,"",I81)</f>
        <v>61</v>
      </c>
      <c r="I97" s="311">
        <f>IF(A97&gt;Standings!$Q$27,"",100-F97)</f>
        <v>46</v>
      </c>
      <c r="J97" s="118"/>
      <c r="M97" s="320"/>
    </row>
    <row r="98" spans="1:13" ht="16" thickBot="1">
      <c r="A98" s="283">
        <f t="shared" si="2"/>
        <v>6</v>
      </c>
      <c r="B98" s="417" t="str">
        <f>$L$19</f>
        <v>Team 16</v>
      </c>
      <c r="C98" s="282" t="str">
        <f t="array" ref="C98">IFERROR(INDEX([1]Sheet1!$D$2:$D$113,MATCH(1,($B98= [1]Sheet1!$C$2:$C$113)*($A98=[1]Sheet1!$B$2:$B$113),0)),INDEX([1]Sheet1!$C$2:$C$113,MATCH(1,($B98= [1]Sheet1!$D$2:$D$113)*($A98=[1]Sheet1!$B$2:$B$113),0)))</f>
        <v>Team 10</v>
      </c>
      <c r="D98" s="312">
        <f t="array" ref="D98">IFERROR(INDEX([1]Sheet1!$E$2:$E$113,MATCH(1,($B98= [1]Sheet1!$C$2:$C$113)*($A98=[1]Sheet1!$B$2:$B$113),0)),INDEX([1]Sheet1!$F$2:$F$113,MATCH(1,($B98= [1]Sheet1!$D$2:$D$113)*($A98=[1]Sheet1!$B$2:$B$113),0)))</f>
        <v>98.77</v>
      </c>
      <c r="E98" s="312">
        <f t="array" ref="E98">IF($A98&gt;Standings!$Q$27,"",INDEX($D$3:$D$226,(MATCH(1,($B$3:$B$226=$C98)*($A$3:$A$226=$A98),0))))</f>
        <v>113.1</v>
      </c>
      <c r="F98" s="313">
        <f>IF(A98&gt;Standings!$Q$27,"",IFERROR(VLOOKUP($B98,'[2]Week 6'!B$2:C$17,2,0),"No FAAB Entered"))</f>
        <v>100</v>
      </c>
      <c r="G98" s="313">
        <f>IF(A98&gt;Standings!$Q$27,"",H98-I98)</f>
        <v>0</v>
      </c>
      <c r="H98" s="313">
        <f>IF(A98&gt;Standings!$Q$27,"",I82)</f>
        <v>0</v>
      </c>
      <c r="I98" s="314">
        <f>IF(A98&gt;Standings!$Q$27,"",100-F98)</f>
        <v>0</v>
      </c>
      <c r="J98" s="137"/>
      <c r="M98" s="140"/>
    </row>
    <row r="99" spans="1:13">
      <c r="A99" s="277">
        <f t="shared" si="2"/>
        <v>7</v>
      </c>
      <c r="B99" s="414" t="str">
        <f>$L$4</f>
        <v>Team 1</v>
      </c>
      <c r="C99" s="276" t="str">
        <f t="array" ref="C99">IFERROR(INDEX([1]Sheet1!$D$2:$D$113,MATCH(1,($B99= [1]Sheet1!$C$2:$C$113)*($A99=[1]Sheet1!$B$2:$B$113),0)),INDEX([1]Sheet1!$C$2:$C$113,MATCH(1,($B99= [1]Sheet1!$D$2:$D$113)*($A99=[1]Sheet1!$B$2:$B$113),0)))</f>
        <v>Team 3</v>
      </c>
      <c r="D99" s="295">
        <f t="array" ref="D99">IFERROR(INDEX([1]Sheet1!$E$2:$E$113,MATCH(1,($B99= [1]Sheet1!$C$2:$C$113)*($A99=[1]Sheet1!$B$2:$B$113),0)),INDEX([1]Sheet1!$F$2:$F$113,MATCH(1,($B99= [1]Sheet1!$D$2:$D$113)*($A99=[1]Sheet1!$B$2:$B$113),0)))</f>
        <v>96.84</v>
      </c>
      <c r="E99" s="295">
        <f t="array" ref="E99">IF($A99&gt;Standings!$Q$27,"",INDEX($D$3:$D$226,(MATCH(1,($B$3:$B$226=$C99)*($A$3:$A$226=$A99),0))))</f>
        <v>121.81</v>
      </c>
      <c r="F99" s="296">
        <f>IF(A99&gt;Standings!$Q$27,"",IFERROR(VLOOKUP($B99,'[2]Week 7 '!B$2:C$17,2,0),"No FAAB Entered"))</f>
        <v>85</v>
      </c>
      <c r="G99" s="296">
        <f>IF(A99&gt;Standings!$Q$27,"",H99-I99)</f>
        <v>16</v>
      </c>
      <c r="H99" s="296">
        <f>IF(A99&gt;Standings!$Q$27,"",I83)</f>
        <v>31</v>
      </c>
      <c r="I99" s="297">
        <f>IF(A99&gt;Standings!$Q$27,"",100-F99)</f>
        <v>15</v>
      </c>
      <c r="J99" s="137"/>
      <c r="M99" s="140"/>
    </row>
    <row r="100" spans="1:13">
      <c r="A100" s="279">
        <f t="shared" si="2"/>
        <v>7</v>
      </c>
      <c r="B100" s="415" t="str">
        <f>$L$5</f>
        <v>Team 2</v>
      </c>
      <c r="C100" s="278" t="str">
        <f t="array" ref="C100">IFERROR(INDEX([1]Sheet1!$D$2:$D$113,MATCH(1,($B100= [1]Sheet1!$C$2:$C$113)*($A100=[1]Sheet1!$B$2:$B$113),0)),INDEX([1]Sheet1!$C$2:$C$113,MATCH(1,($B100= [1]Sheet1!$D$2:$D$113)*($A100=[1]Sheet1!$B$2:$B$113),0)))</f>
        <v>Team 12</v>
      </c>
      <c r="D100" s="302">
        <f t="array" ref="D100">IFERROR(INDEX([1]Sheet1!$E$2:$E$113,MATCH(1,($B100= [1]Sheet1!$C$2:$C$113)*($A100=[1]Sheet1!$B$2:$B$113),0)),INDEX([1]Sheet1!$F$2:$F$113,MATCH(1,($B100= [1]Sheet1!$D$2:$D$113)*($A100=[1]Sheet1!$B$2:$B$113),0)))</f>
        <v>90.52</v>
      </c>
      <c r="E100" s="302">
        <f t="array" ref="E100">IF($A100&gt;Standings!$Q$27,"",INDEX($D$3:$D$226,(MATCH(1,($B$3:$B$226=$C100)*($A$3:$A$226=$A100),0))))</f>
        <v>75.430000000000007</v>
      </c>
      <c r="F100" s="303">
        <f>IF(A100&gt;Standings!$Q$27,"",IFERROR(VLOOKUP($B100,'[2]Week 7 '!B$2:C$17,2,0),"No FAAB Entered"))</f>
        <v>71</v>
      </c>
      <c r="G100" s="303">
        <f>IF(A100&gt;Standings!$Q$27,"",H100-I100)</f>
        <v>0</v>
      </c>
      <c r="H100" s="303">
        <f>IF(A100&gt;Standings!$Q$27,"",I84)</f>
        <v>29</v>
      </c>
      <c r="I100" s="304">
        <f>IF(A100&gt;Standings!$Q$27,"",100-F100)</f>
        <v>29</v>
      </c>
      <c r="J100" s="137"/>
      <c r="M100" s="140"/>
    </row>
    <row r="101" spans="1:13">
      <c r="A101" s="279">
        <f t="shared" si="2"/>
        <v>7</v>
      </c>
      <c r="B101" s="415" t="str">
        <f>$L$6</f>
        <v>Team 3</v>
      </c>
      <c r="C101" s="278" t="str">
        <f t="array" ref="C101">IFERROR(INDEX([1]Sheet1!$D$2:$D$113,MATCH(1,($B101= [1]Sheet1!$C$2:$C$113)*($A101=[1]Sheet1!$B$2:$B$113),0)),INDEX([1]Sheet1!$C$2:$C$113,MATCH(1,($B101= [1]Sheet1!$D$2:$D$113)*($A101=[1]Sheet1!$B$2:$B$113),0)))</f>
        <v>Team 1</v>
      </c>
      <c r="D101" s="302">
        <f t="array" ref="D101">IFERROR(INDEX([1]Sheet1!$E$2:$E$113,MATCH(1,($B101= [1]Sheet1!$C$2:$C$113)*($A101=[1]Sheet1!$B$2:$B$113),0)),INDEX([1]Sheet1!$F$2:$F$113,MATCH(1,($B101= [1]Sheet1!$D$2:$D$113)*($A101=[1]Sheet1!$B$2:$B$113),0)))</f>
        <v>121.81</v>
      </c>
      <c r="E101" s="302">
        <f t="array" ref="E101">IF($A101&gt;Standings!$Q$27,"",INDEX($D$3:$D$226,(MATCH(1,($B$3:$B$226=$C101)*($A$3:$A$226=$A101),0))))</f>
        <v>96.84</v>
      </c>
      <c r="F101" s="303">
        <f>IF(A101&gt;Standings!$Q$27,"",IFERROR(VLOOKUP($B101,'[2]Week 7 '!B$2:C$17,2,0),"No FAAB Entered"))</f>
        <v>65</v>
      </c>
      <c r="G101" s="303">
        <f>IF(A101&gt;Standings!$Q$27,"",H101-I101)</f>
        <v>0</v>
      </c>
      <c r="H101" s="303">
        <f>IF(A101&gt;Standings!$Q$27,"",I85)</f>
        <v>35</v>
      </c>
      <c r="I101" s="304">
        <f>IF(A101&gt;Standings!$Q$27,"",100-F101)</f>
        <v>35</v>
      </c>
      <c r="J101" s="137"/>
      <c r="M101" s="140"/>
    </row>
    <row r="102" spans="1:13">
      <c r="A102" s="279">
        <f t="shared" si="2"/>
        <v>7</v>
      </c>
      <c r="B102" s="415" t="str">
        <f>$L$7</f>
        <v>Team 4</v>
      </c>
      <c r="C102" s="278" t="str">
        <f t="array" ref="C102">IFERROR(INDEX([1]Sheet1!$D$2:$D$113,MATCH(1,($B102= [1]Sheet1!$C$2:$C$113)*($A102=[1]Sheet1!$B$2:$B$113),0)),INDEX([1]Sheet1!$C$2:$C$113,MATCH(1,($B102= [1]Sheet1!$D$2:$D$113)*($A102=[1]Sheet1!$B$2:$B$113),0)))</f>
        <v>Team 14</v>
      </c>
      <c r="D102" s="302">
        <f t="array" ref="D102">IFERROR(INDEX([1]Sheet1!$E$2:$E$113,MATCH(1,($B102= [1]Sheet1!$C$2:$C$113)*($A102=[1]Sheet1!$B$2:$B$113),0)),INDEX([1]Sheet1!$F$2:$F$113,MATCH(1,($B102= [1]Sheet1!$D$2:$D$113)*($A102=[1]Sheet1!$B$2:$B$113),0)))</f>
        <v>123.84</v>
      </c>
      <c r="E102" s="302">
        <f t="array" ref="E102">IF($A102&gt;Standings!$Q$27,"",INDEX($D$3:$D$226,(MATCH(1,($B$3:$B$226=$C102)*($A$3:$A$226=$A102),0))))</f>
        <v>90.17</v>
      </c>
      <c r="F102" s="303">
        <f>IF(A102&gt;Standings!$Q$27,"",IFERROR(VLOOKUP($B102,'[2]Week 7 '!B$2:C$17,2,0),"No FAAB Entered"))</f>
        <v>33</v>
      </c>
      <c r="G102" s="303">
        <f>IF(A102&gt;Standings!$Q$27,"",H102-I102)</f>
        <v>2</v>
      </c>
      <c r="H102" s="303">
        <f>IF(A102&gt;Standings!$Q$27,"",I86)</f>
        <v>69</v>
      </c>
      <c r="I102" s="304">
        <f>IF(A102&gt;Standings!$Q$27,"",100-F102)</f>
        <v>67</v>
      </c>
      <c r="J102" s="137"/>
      <c r="M102" s="140"/>
    </row>
    <row r="103" spans="1:13">
      <c r="A103" s="279">
        <f t="shared" si="2"/>
        <v>7</v>
      </c>
      <c r="B103" s="415" t="str">
        <f>$L$8</f>
        <v>Team 5</v>
      </c>
      <c r="C103" s="278" t="str">
        <f t="array" ref="C103">IFERROR(INDEX([1]Sheet1!$D$2:$D$113,MATCH(1,($B103= [1]Sheet1!$C$2:$C$113)*($A103=[1]Sheet1!$B$2:$B$113),0)),INDEX([1]Sheet1!$C$2:$C$113,MATCH(1,($B103= [1]Sheet1!$D$2:$D$113)*($A103=[1]Sheet1!$B$2:$B$113),0)))</f>
        <v>Team 9</v>
      </c>
      <c r="D103" s="302">
        <f t="array" ref="D103">IFERROR(INDEX([1]Sheet1!$E$2:$E$113,MATCH(1,($B103= [1]Sheet1!$C$2:$C$113)*($A103=[1]Sheet1!$B$2:$B$113),0)),INDEX([1]Sheet1!$F$2:$F$113,MATCH(1,($B103= [1]Sheet1!$D$2:$D$113)*($A103=[1]Sheet1!$B$2:$B$113),0)))</f>
        <v>154.35</v>
      </c>
      <c r="E103" s="302">
        <f t="array" ref="E103">IF($A103&gt;Standings!$Q$27,"",INDEX($D$3:$D$226,(MATCH(1,($B$3:$B$226=$C103)*($A$3:$A$226=$A103),0))))</f>
        <v>119.96</v>
      </c>
      <c r="F103" s="303">
        <f>IF(A103&gt;Standings!$Q$27,"",IFERROR(VLOOKUP($B103,'[2]Week 7 '!B$2:C$17,2,0),"No FAAB Entered"))</f>
        <v>100</v>
      </c>
      <c r="G103" s="303">
        <f>IF(A103&gt;Standings!$Q$27,"",H103-I103)</f>
        <v>0</v>
      </c>
      <c r="H103" s="303">
        <f>IF(A103&gt;Standings!$Q$27,"",I87)</f>
        <v>0</v>
      </c>
      <c r="I103" s="304">
        <f>IF(A103&gt;Standings!$Q$27,"",100-F103)</f>
        <v>0</v>
      </c>
      <c r="J103" s="137"/>
      <c r="M103" s="140"/>
    </row>
    <row r="104" spans="1:13">
      <c r="A104" s="279">
        <f t="shared" si="2"/>
        <v>7</v>
      </c>
      <c r="B104" s="415" t="str">
        <f>$L$9</f>
        <v>Team 6</v>
      </c>
      <c r="C104" s="278" t="str">
        <f t="array" ref="C104">IFERROR(INDEX([1]Sheet1!$D$2:$D$113,MATCH(1,($B104= [1]Sheet1!$C$2:$C$113)*($A104=[1]Sheet1!$B$2:$B$113),0)),INDEX([1]Sheet1!$C$2:$C$113,MATCH(1,($B104= [1]Sheet1!$D$2:$D$113)*($A104=[1]Sheet1!$B$2:$B$113),0)))</f>
        <v>Team 8</v>
      </c>
      <c r="D104" s="302">
        <f t="array" ref="D104">IFERROR(INDEX([1]Sheet1!$E$2:$E$113,MATCH(1,($B104= [1]Sheet1!$C$2:$C$113)*($A104=[1]Sheet1!$B$2:$B$113),0)),INDEX([1]Sheet1!$F$2:$F$113,MATCH(1,($B104= [1]Sheet1!$D$2:$D$113)*($A104=[1]Sheet1!$B$2:$B$113),0)))</f>
        <v>113.68</v>
      </c>
      <c r="E104" s="302">
        <f t="array" ref="E104">IF($A104&gt;Standings!$Q$27,"",INDEX($D$3:$D$226,(MATCH(1,($B$3:$B$226=$C104)*($A$3:$A$226=$A104),0))))</f>
        <v>95.12</v>
      </c>
      <c r="F104" s="303">
        <f>IF(A104&gt;Standings!$Q$27,"",IFERROR(VLOOKUP($B104,'[2]Week 7 '!B$2:C$17,2,0),"No FAAB Entered"))</f>
        <v>40</v>
      </c>
      <c r="G104" s="303">
        <f>IF(A104&gt;Standings!$Q$27,"",H104-I104)</f>
        <v>10</v>
      </c>
      <c r="H104" s="303">
        <f>IF(A104&gt;Standings!$Q$27,"",I88)</f>
        <v>70</v>
      </c>
      <c r="I104" s="304">
        <f>IF(A104&gt;Standings!$Q$27,"",100-F104)</f>
        <v>60</v>
      </c>
      <c r="J104" s="137"/>
      <c r="M104" s="140"/>
    </row>
    <row r="105" spans="1:13">
      <c r="A105" s="279">
        <f t="shared" si="2"/>
        <v>7</v>
      </c>
      <c r="B105" s="415" t="str">
        <f>$L$10</f>
        <v>Team 7</v>
      </c>
      <c r="C105" s="278" t="str">
        <f t="array" ref="C105">IFERROR(INDEX([1]Sheet1!$D$2:$D$113,MATCH(1,($B105= [1]Sheet1!$C$2:$C$113)*($A105=[1]Sheet1!$B$2:$B$113),0)),INDEX([1]Sheet1!$C$2:$C$113,MATCH(1,($B105= [1]Sheet1!$D$2:$D$113)*($A105=[1]Sheet1!$B$2:$B$113),0)))</f>
        <v>Team 10</v>
      </c>
      <c r="D105" s="302">
        <f t="array" ref="D105">IFERROR(INDEX([1]Sheet1!$E$2:$E$113,MATCH(1,($B105= [1]Sheet1!$C$2:$C$113)*($A105=[1]Sheet1!$B$2:$B$113),0)),INDEX([1]Sheet1!$F$2:$F$113,MATCH(1,($B105= [1]Sheet1!$D$2:$D$113)*($A105=[1]Sheet1!$B$2:$B$113),0)))</f>
        <v>143.06</v>
      </c>
      <c r="E105" s="302">
        <f t="array" ref="E105">IF($A105&gt;Standings!$Q$27,"",INDEX($D$3:$D$226,(MATCH(1,($B$3:$B$226=$C105)*($A$3:$A$226=$A105),0))))</f>
        <v>68.06</v>
      </c>
      <c r="F105" s="303">
        <f>IF(A105&gt;Standings!$Q$27,"",IFERROR(VLOOKUP($B105,'[2]Week 7 '!B$2:C$17,2,0),"No FAAB Entered"))</f>
        <v>0</v>
      </c>
      <c r="G105" s="303">
        <f>IF(A105&gt;Standings!$Q$27,"",H105-I105)</f>
        <v>0</v>
      </c>
      <c r="H105" s="303">
        <f>IF(A105&gt;Standings!$Q$27,"",I89)</f>
        <v>100</v>
      </c>
      <c r="I105" s="304">
        <f>IF(A105&gt;Standings!$Q$27,"",100-F105)</f>
        <v>100</v>
      </c>
      <c r="J105" s="137"/>
      <c r="M105" s="140"/>
    </row>
    <row r="106" spans="1:13">
      <c r="A106" s="279">
        <f t="shared" si="2"/>
        <v>7</v>
      </c>
      <c r="B106" s="415" t="str">
        <f>$L$11</f>
        <v>Team 8</v>
      </c>
      <c r="C106" s="278" t="str">
        <f t="array" ref="C106">IFERROR(INDEX([1]Sheet1!$D$2:$D$113,MATCH(1,($B106= [1]Sheet1!$C$2:$C$113)*($A106=[1]Sheet1!$B$2:$B$113),0)),INDEX([1]Sheet1!$C$2:$C$113,MATCH(1,($B106= [1]Sheet1!$D$2:$D$113)*($A106=[1]Sheet1!$B$2:$B$113),0)))</f>
        <v>Team 6</v>
      </c>
      <c r="D106" s="302">
        <f t="array" ref="D106">IFERROR(INDEX([1]Sheet1!$E$2:$E$113,MATCH(1,($B106= [1]Sheet1!$C$2:$C$113)*($A106=[1]Sheet1!$B$2:$B$113),0)),INDEX([1]Sheet1!$F$2:$F$113,MATCH(1,($B106= [1]Sheet1!$D$2:$D$113)*($A106=[1]Sheet1!$B$2:$B$113),0)))</f>
        <v>95.12</v>
      </c>
      <c r="E106" s="302">
        <f t="array" ref="E106">IF($A106&gt;Standings!$Q$27,"",INDEX($D$3:$D$226,(MATCH(1,($B$3:$B$226=$C106)*($A$3:$A$226=$A106),0))))</f>
        <v>113.68</v>
      </c>
      <c r="F106" s="303">
        <f>IF(A106&gt;Standings!$Q$27,"",IFERROR(VLOOKUP($B106,'[2]Week 7 '!B$2:C$17,2,0),"No FAAB Entered"))</f>
        <v>48</v>
      </c>
      <c r="G106" s="303">
        <f>IF(A106&gt;Standings!$Q$27,"",H106-I106)</f>
        <v>0</v>
      </c>
      <c r="H106" s="303">
        <f>IF(A106&gt;Standings!$Q$27,"",I90)</f>
        <v>52</v>
      </c>
      <c r="I106" s="304">
        <f>IF(A106&gt;Standings!$Q$27,"",100-F106)</f>
        <v>52</v>
      </c>
      <c r="J106" s="137"/>
      <c r="M106" s="140"/>
    </row>
    <row r="107" spans="1:13">
      <c r="A107" s="281">
        <f t="shared" si="2"/>
        <v>7</v>
      </c>
      <c r="B107" s="416" t="str">
        <f>$L$12</f>
        <v>Team 9</v>
      </c>
      <c r="C107" s="280" t="str">
        <f t="array" ref="C107">IFERROR(INDEX([1]Sheet1!$D$2:$D$113,MATCH(1,($B107= [1]Sheet1!$C$2:$C$113)*($A107=[1]Sheet1!$B$2:$B$113),0)),INDEX([1]Sheet1!$C$2:$C$113,MATCH(1,($B107= [1]Sheet1!$D$2:$D$113)*($A107=[1]Sheet1!$B$2:$B$113),0)))</f>
        <v>Team 5</v>
      </c>
      <c r="D107" s="309">
        <f t="array" ref="D107">IFERROR(INDEX([1]Sheet1!$E$2:$E$113,MATCH(1,($B107= [1]Sheet1!$C$2:$C$113)*($A107=[1]Sheet1!$B$2:$B$113),0)),INDEX([1]Sheet1!$F$2:$F$113,MATCH(1,($B107= [1]Sheet1!$D$2:$D$113)*($A107=[1]Sheet1!$B$2:$B$113),0)))</f>
        <v>119.96</v>
      </c>
      <c r="E107" s="309">
        <f t="array" ref="E107">IF($A107&gt;Standings!$Q$27,"",INDEX($D$3:$D$226,(MATCH(1,($B$3:$B$226=$C107)*($A$3:$A$226=$A107),0))))</f>
        <v>154.35</v>
      </c>
      <c r="F107" s="310">
        <f>IF(A107&gt;Standings!$Q$27,"",IFERROR(VLOOKUP($B107,'[2]Week 7 '!B$2:C$17,2,0),"No FAAB Entered"))</f>
        <v>47</v>
      </c>
      <c r="G107" s="310">
        <f>IF(A107&gt;Standings!$Q$27,"",H107-I107)</f>
        <v>47</v>
      </c>
      <c r="H107" s="310">
        <f>IF(A107&gt;Standings!$Q$27,"",I91)</f>
        <v>100</v>
      </c>
      <c r="I107" s="311">
        <f>IF(A107&gt;Standings!$Q$27,"",100-F107)</f>
        <v>53</v>
      </c>
      <c r="J107" s="137"/>
      <c r="M107" s="140"/>
    </row>
    <row r="108" spans="1:13">
      <c r="A108" s="281">
        <f t="shared" si="2"/>
        <v>7</v>
      </c>
      <c r="B108" s="416" t="str">
        <f>$L$13</f>
        <v>Team 10</v>
      </c>
      <c r="C108" s="280" t="str">
        <f t="array" ref="C108">IFERROR(INDEX([1]Sheet1!$D$2:$D$113,MATCH(1,($B108= [1]Sheet1!$C$2:$C$113)*($A108=[1]Sheet1!$B$2:$B$113),0)),INDEX([1]Sheet1!$C$2:$C$113,MATCH(1,($B108= [1]Sheet1!$D$2:$D$113)*($A108=[1]Sheet1!$B$2:$B$113),0)))</f>
        <v>Team 7</v>
      </c>
      <c r="D108" s="309">
        <f t="array" ref="D108">IFERROR(INDEX([1]Sheet1!$E$2:$E$113,MATCH(1,($B108= [1]Sheet1!$C$2:$C$113)*($A108=[1]Sheet1!$B$2:$B$113),0)),INDEX([1]Sheet1!$F$2:$F$113,MATCH(1,($B108= [1]Sheet1!$D$2:$D$113)*($A108=[1]Sheet1!$B$2:$B$113),0)))</f>
        <v>68.06</v>
      </c>
      <c r="E108" s="309">
        <f t="array" ref="E108">IF($A108&gt;Standings!$Q$27,"",INDEX($D$3:$D$226,(MATCH(1,($B$3:$B$226=$C108)*($A$3:$A$226=$A108),0))))</f>
        <v>143.06</v>
      </c>
      <c r="F108" s="310">
        <f>IF(A108&gt;Standings!$Q$27,"",IFERROR(VLOOKUP($B108,'[2]Week 7 '!B$2:C$17,2,0),"No FAAB Entered"))</f>
        <v>36</v>
      </c>
      <c r="G108" s="310">
        <f>IF(A108&gt;Standings!$Q$27,"",H108-I108)</f>
        <v>0</v>
      </c>
      <c r="H108" s="310">
        <f>IF(A108&gt;Standings!$Q$27,"",I92)</f>
        <v>64</v>
      </c>
      <c r="I108" s="311">
        <f>IF(A108&gt;Standings!$Q$27,"",100-F108)</f>
        <v>64</v>
      </c>
      <c r="J108" s="137"/>
      <c r="M108" s="140"/>
    </row>
    <row r="109" spans="1:13">
      <c r="A109" s="281">
        <f t="shared" si="2"/>
        <v>7</v>
      </c>
      <c r="B109" s="416" t="str">
        <f>$L$14</f>
        <v>Team 11</v>
      </c>
      <c r="C109" s="280" t="str">
        <f t="array" ref="C109">IFERROR(INDEX([1]Sheet1!$D$2:$D$113,MATCH(1,($B109= [1]Sheet1!$C$2:$C$113)*($A109=[1]Sheet1!$B$2:$B$113),0)),INDEX([1]Sheet1!$C$2:$C$113,MATCH(1,($B109= [1]Sheet1!$D$2:$D$113)*($A109=[1]Sheet1!$B$2:$B$113),0)))</f>
        <v>Team 15</v>
      </c>
      <c r="D109" s="309">
        <f t="array" ref="D109">IFERROR(INDEX([1]Sheet1!$E$2:$E$113,MATCH(1,($B109= [1]Sheet1!$C$2:$C$113)*($A109=[1]Sheet1!$B$2:$B$113),0)),INDEX([1]Sheet1!$F$2:$F$113,MATCH(1,($B109= [1]Sheet1!$D$2:$D$113)*($A109=[1]Sheet1!$B$2:$B$113),0)))</f>
        <v>96.92</v>
      </c>
      <c r="E109" s="309">
        <f t="array" ref="E109">IF($A109&gt;Standings!$Q$27,"",INDEX($D$3:$D$226,(MATCH(1,($B$3:$B$226=$C109)*($A$3:$A$226=$A109),0))))</f>
        <v>93.71</v>
      </c>
      <c r="F109" s="310">
        <f>IF(A109&gt;Standings!$Q$27,"",IFERROR(VLOOKUP($B109,'[2]Week 7 '!B$2:C$17,2,0),"No FAAB Entered"))</f>
        <v>84</v>
      </c>
      <c r="G109" s="310">
        <f>IF(A109&gt;Standings!$Q$27,"",H109-I109)</f>
        <v>8</v>
      </c>
      <c r="H109" s="310">
        <f>IF(A109&gt;Standings!$Q$27,"",I93)</f>
        <v>24</v>
      </c>
      <c r="I109" s="311">
        <f>IF(A109&gt;Standings!$Q$27,"",100-F109)</f>
        <v>16</v>
      </c>
      <c r="J109" s="137"/>
      <c r="M109" s="140"/>
    </row>
    <row r="110" spans="1:13">
      <c r="A110" s="281">
        <f t="shared" si="2"/>
        <v>7</v>
      </c>
      <c r="B110" s="416" t="str">
        <f>$L$15</f>
        <v>Team 12</v>
      </c>
      <c r="C110" s="280" t="str">
        <f t="array" ref="C110">IFERROR(INDEX([1]Sheet1!$D$2:$D$113,MATCH(1,($B110= [1]Sheet1!$C$2:$C$113)*($A110=[1]Sheet1!$B$2:$B$113),0)),INDEX([1]Sheet1!$C$2:$C$113,MATCH(1,($B110= [1]Sheet1!$D$2:$D$113)*($A110=[1]Sheet1!$B$2:$B$113),0)))</f>
        <v>Team 2</v>
      </c>
      <c r="D110" s="309">
        <f t="array" ref="D110">IFERROR(INDEX([1]Sheet1!$E$2:$E$113,MATCH(1,($B110= [1]Sheet1!$C$2:$C$113)*($A110=[1]Sheet1!$B$2:$B$113),0)),INDEX([1]Sheet1!$F$2:$F$113,MATCH(1,($B110= [1]Sheet1!$D$2:$D$113)*($A110=[1]Sheet1!$B$2:$B$113),0)))</f>
        <v>75.430000000000007</v>
      </c>
      <c r="E110" s="309">
        <f t="array" ref="E110">IF($A110&gt;Standings!$Q$27,"",INDEX($D$3:$D$226,(MATCH(1,($B$3:$B$226=$C110)*($A$3:$A$226=$A110),0))))</f>
        <v>90.52</v>
      </c>
      <c r="F110" s="310">
        <f>IF(A110&gt;Standings!$Q$27,"",IFERROR(VLOOKUP($B110,'[2]Week 7 '!B$2:C$17,2,0),"No FAAB Entered"))</f>
        <v>50</v>
      </c>
      <c r="G110" s="310">
        <f>IF(A110&gt;Standings!$Q$27,"",H110-I110)</f>
        <v>1</v>
      </c>
      <c r="H110" s="310">
        <f>IF(A110&gt;Standings!$Q$27,"",I94)</f>
        <v>51</v>
      </c>
      <c r="I110" s="311">
        <f>IF(A110&gt;Standings!$Q$27,"",100-F110)</f>
        <v>50</v>
      </c>
      <c r="J110" s="137"/>
      <c r="M110" s="140"/>
    </row>
    <row r="111" spans="1:13">
      <c r="A111" s="281">
        <f t="shared" si="2"/>
        <v>7</v>
      </c>
      <c r="B111" s="416" t="str">
        <f>$L$16</f>
        <v>Team 13</v>
      </c>
      <c r="C111" s="280" t="str">
        <f t="array" ref="C111">IFERROR(INDEX([1]Sheet1!$D$2:$D$113,MATCH(1,($B111= [1]Sheet1!$C$2:$C$113)*($A111=[1]Sheet1!$B$2:$B$113),0)),INDEX([1]Sheet1!$C$2:$C$113,MATCH(1,($B111= [1]Sheet1!$D$2:$D$113)*($A111=[1]Sheet1!$B$2:$B$113),0)))</f>
        <v>Team 16</v>
      </c>
      <c r="D111" s="309">
        <f t="array" ref="D111">IFERROR(INDEX([1]Sheet1!$E$2:$E$113,MATCH(1,($B111= [1]Sheet1!$C$2:$C$113)*($A111=[1]Sheet1!$B$2:$B$113),0)),INDEX([1]Sheet1!$F$2:$F$113,MATCH(1,($B111= [1]Sheet1!$D$2:$D$113)*($A111=[1]Sheet1!$B$2:$B$113),0)))</f>
        <v>104.38</v>
      </c>
      <c r="E111" s="309">
        <f t="array" ref="E111">IF($A111&gt;Standings!$Q$27,"",INDEX($D$3:$D$226,(MATCH(1,($B$3:$B$226=$C111)*($A$3:$A$226=$A111),0))))</f>
        <v>66.319999999999993</v>
      </c>
      <c r="F111" s="310">
        <f>IF(A111&gt;Standings!$Q$27,"",IFERROR(VLOOKUP($B111,'[2]Week 7 '!B$2:C$17,2,0),"No FAAB Entered"))</f>
        <v>88</v>
      </c>
      <c r="G111" s="310">
        <f>IF(A111&gt;Standings!$Q$27,"",H111-I111)</f>
        <v>78</v>
      </c>
      <c r="H111" s="310">
        <f>IF(A111&gt;Standings!$Q$27,"",I95)</f>
        <v>90</v>
      </c>
      <c r="I111" s="311">
        <f>IF(A111&gt;Standings!$Q$27,"",100-F111)</f>
        <v>12</v>
      </c>
      <c r="J111" s="137"/>
      <c r="M111" s="140"/>
    </row>
    <row r="112" spans="1:13">
      <c r="A112" s="281">
        <f t="shared" si="2"/>
        <v>7</v>
      </c>
      <c r="B112" s="416" t="str">
        <f>$L$17</f>
        <v>Team 14</v>
      </c>
      <c r="C112" s="280" t="str">
        <f t="array" ref="C112">IFERROR(INDEX([1]Sheet1!$D$2:$D$113,MATCH(1,($B112= [1]Sheet1!$C$2:$C$113)*($A112=[1]Sheet1!$B$2:$B$113),0)),INDEX([1]Sheet1!$C$2:$C$113,MATCH(1,($B112= [1]Sheet1!$D$2:$D$113)*($A112=[1]Sheet1!$B$2:$B$113),0)))</f>
        <v>Team 4</v>
      </c>
      <c r="D112" s="309">
        <f t="array" ref="D112">IFERROR(INDEX([1]Sheet1!$E$2:$E$113,MATCH(1,($B112= [1]Sheet1!$C$2:$C$113)*($A112=[1]Sheet1!$B$2:$B$113),0)),INDEX([1]Sheet1!$F$2:$F$113,MATCH(1,($B112= [1]Sheet1!$D$2:$D$113)*($A112=[1]Sheet1!$B$2:$B$113),0)))</f>
        <v>90.17</v>
      </c>
      <c r="E112" s="309">
        <f t="array" ref="E112">IF($A112&gt;Standings!$Q$27,"",INDEX($D$3:$D$226,(MATCH(1,($B$3:$B$226=$C112)*($A$3:$A$226=$A112),0))))</f>
        <v>123.84</v>
      </c>
      <c r="F112" s="310">
        <f>IF(A112&gt;Standings!$Q$27,"",IFERROR(VLOOKUP($B112,'[2]Week 7 '!B$2:C$17,2,0),"No FAAB Entered"))</f>
        <v>5</v>
      </c>
      <c r="G112" s="310">
        <f>IF(A112&gt;Standings!$Q$27,"",H112-I112)</f>
        <v>0</v>
      </c>
      <c r="H112" s="310">
        <f>IF(A112&gt;Standings!$Q$27,"",I96)</f>
        <v>95</v>
      </c>
      <c r="I112" s="311">
        <f>IF(A112&gt;Standings!$Q$27,"",100-F112)</f>
        <v>95</v>
      </c>
      <c r="J112" s="137"/>
      <c r="M112" s="140"/>
    </row>
    <row r="113" spans="1:14">
      <c r="A113" s="281">
        <f t="shared" si="2"/>
        <v>7</v>
      </c>
      <c r="B113" s="416" t="str">
        <f>$L$18</f>
        <v>Team 15</v>
      </c>
      <c r="C113" s="280" t="str">
        <f t="array" ref="C113">IFERROR(INDEX([1]Sheet1!$D$2:$D$113,MATCH(1,($B113= [1]Sheet1!$C$2:$C$113)*($A113=[1]Sheet1!$B$2:$B$113),0)),INDEX([1]Sheet1!$C$2:$C$113,MATCH(1,($B113= [1]Sheet1!$D$2:$D$113)*($A113=[1]Sheet1!$B$2:$B$113),0)))</f>
        <v>Team 11</v>
      </c>
      <c r="D113" s="309">
        <f t="array" ref="D113">IFERROR(INDEX([1]Sheet1!$E$2:$E$113,MATCH(1,($B113= [1]Sheet1!$C$2:$C$113)*($A113=[1]Sheet1!$B$2:$B$113),0)),INDEX([1]Sheet1!$F$2:$F$113,MATCH(1,($B113= [1]Sheet1!$D$2:$D$113)*($A113=[1]Sheet1!$B$2:$B$113),0)))</f>
        <v>93.71</v>
      </c>
      <c r="E113" s="309">
        <f t="array" ref="E113">IF($A113&gt;Standings!$Q$27,"",INDEX($D$3:$D$226,(MATCH(1,($B$3:$B$226=$C113)*($A$3:$A$226=$A113),0))))</f>
        <v>96.92</v>
      </c>
      <c r="F113" s="310">
        <f>IF(A113&gt;Standings!$Q$27,"",IFERROR(VLOOKUP($B113,'[2]Week 7 '!B$2:C$17,2,0),"No FAAB Entered"))</f>
        <v>60</v>
      </c>
      <c r="G113" s="310">
        <f>IF(A113&gt;Standings!$Q$27,"",H113-I113)</f>
        <v>6</v>
      </c>
      <c r="H113" s="310">
        <f>IF(A113&gt;Standings!$Q$27,"",I97)</f>
        <v>46</v>
      </c>
      <c r="I113" s="311">
        <f>IF(A113&gt;Standings!$Q$27,"",100-F113)</f>
        <v>40</v>
      </c>
      <c r="J113" s="137"/>
      <c r="M113" s="140"/>
    </row>
    <row r="114" spans="1:14" ht="16" thickBot="1">
      <c r="A114" s="283">
        <f t="shared" si="2"/>
        <v>7</v>
      </c>
      <c r="B114" s="417" t="str">
        <f>$L$19</f>
        <v>Team 16</v>
      </c>
      <c r="C114" s="282" t="str">
        <f t="array" ref="C114">IFERROR(INDEX([1]Sheet1!$D$2:$D$113,MATCH(1,($B114= [1]Sheet1!$C$2:$C$113)*($A114=[1]Sheet1!$B$2:$B$113),0)),INDEX([1]Sheet1!$C$2:$C$113,MATCH(1,($B114= [1]Sheet1!$D$2:$D$113)*($A114=[1]Sheet1!$B$2:$B$113),0)))</f>
        <v>Team 13</v>
      </c>
      <c r="D114" s="312">
        <f t="array" ref="D114">IFERROR(INDEX([1]Sheet1!$E$2:$E$113,MATCH(1,($B114= [1]Sheet1!$C$2:$C$113)*($A114=[1]Sheet1!$B$2:$B$113),0)),INDEX([1]Sheet1!$F$2:$F$113,MATCH(1,($B114= [1]Sheet1!$D$2:$D$113)*($A114=[1]Sheet1!$B$2:$B$113),0)))</f>
        <v>66.319999999999993</v>
      </c>
      <c r="E114" s="312">
        <f t="array" ref="E114">IF($A114&gt;Standings!$Q$27,"",INDEX($D$3:$D$226,(MATCH(1,($B$3:$B$226=$C114)*($A$3:$A$226=$A114),0))))</f>
        <v>104.38</v>
      </c>
      <c r="F114" s="313">
        <f>IF(A114&gt;Standings!$Q$27,"",IFERROR(VLOOKUP($B114,'[2]Week 7 '!B$2:C$17,2,0),"No FAAB Entered"))</f>
        <v>100</v>
      </c>
      <c r="G114" s="313">
        <f>IF(A114&gt;Standings!$Q$27,"",H114-I114)</f>
        <v>0</v>
      </c>
      <c r="H114" s="313">
        <f>IF(A114&gt;Standings!$Q$27,"",I98)</f>
        <v>0</v>
      </c>
      <c r="I114" s="314">
        <f>IF(A114&gt;Standings!$Q$27,"",100-F114)</f>
        <v>0</v>
      </c>
      <c r="J114" s="315"/>
      <c r="M114" s="320"/>
    </row>
    <row r="115" spans="1:14">
      <c r="A115" s="277">
        <f t="shared" si="2"/>
        <v>8</v>
      </c>
      <c r="B115" s="414" t="str">
        <f>$L$4</f>
        <v>Team 1</v>
      </c>
      <c r="C115" s="276" t="str">
        <f t="array" ref="C115">IFERROR(INDEX([1]Sheet1!$D$2:$D$113,MATCH(1,($B115= [1]Sheet1!$C$2:$C$113)*($A115=[1]Sheet1!$B$2:$B$113),0)),INDEX([1]Sheet1!$C$2:$C$113,MATCH(1,($B115= [1]Sheet1!$D$2:$D$113)*($A115=[1]Sheet1!$B$2:$B$113),0)))</f>
        <v>Team 16</v>
      </c>
      <c r="D115" s="295">
        <f t="array" ref="D115">IFERROR(INDEX([1]Sheet1!$E$2:$E$113,MATCH(1,($B115= [1]Sheet1!$C$2:$C$113)*($A115=[1]Sheet1!$B$2:$B$113),0)),INDEX([1]Sheet1!$F$2:$F$113,MATCH(1,($B115= [1]Sheet1!$D$2:$D$113)*($A115=[1]Sheet1!$B$2:$B$113),0)))</f>
        <v>67.86</v>
      </c>
      <c r="E115" s="295">
        <f t="array" ref="E115">IF($A115&gt;Standings!$Q$27,"",INDEX($D$3:$D$226,(MATCH(1,($B$3:$B$226=$C115)*($A$3:$A$226=$A115),0))))</f>
        <v>67.62</v>
      </c>
      <c r="F115" s="296">
        <f>IF(A115&gt;Standings!$Q$27,"",IFERROR(VLOOKUP($B115,'[2]Week 8 '!B$2:C$17,2,0),"No FAAB Entered"))</f>
        <v>85</v>
      </c>
      <c r="G115" s="296">
        <f>IF(A115&gt;Standings!$Q$27,"",H115-I115)</f>
        <v>0</v>
      </c>
      <c r="H115" s="296">
        <f>IF(A115&gt;Standings!$Q$27,"",I99)</f>
        <v>15</v>
      </c>
      <c r="I115" s="297">
        <f>IF(A115&gt;Standings!$Q$27,"",100-F115)</f>
        <v>15</v>
      </c>
      <c r="J115" s="327"/>
      <c r="M115" s="320"/>
    </row>
    <row r="116" spans="1:14">
      <c r="A116" s="279">
        <f t="shared" si="2"/>
        <v>8</v>
      </c>
      <c r="B116" s="415" t="str">
        <f>$L$5</f>
        <v>Team 2</v>
      </c>
      <c r="C116" s="278" t="str">
        <f t="array" ref="C116">IFERROR(INDEX([1]Sheet1!$D$2:$D$113,MATCH(1,($B116= [1]Sheet1!$C$2:$C$113)*($A116=[1]Sheet1!$B$2:$B$113),0)),INDEX([1]Sheet1!$C$2:$C$113,MATCH(1,($B116= [1]Sheet1!$D$2:$D$113)*($A116=[1]Sheet1!$B$2:$B$113),0)))</f>
        <v>Team 5</v>
      </c>
      <c r="D116" s="302">
        <f t="array" ref="D116">IFERROR(INDEX([1]Sheet1!$E$2:$E$113,MATCH(1,($B116= [1]Sheet1!$C$2:$C$113)*($A116=[1]Sheet1!$B$2:$B$113),0)),INDEX([1]Sheet1!$F$2:$F$113,MATCH(1,($B116= [1]Sheet1!$D$2:$D$113)*($A116=[1]Sheet1!$B$2:$B$113),0)))</f>
        <v>87.31</v>
      </c>
      <c r="E116" s="302">
        <f t="array" ref="E116">IF($A116&gt;Standings!$Q$27,"",INDEX($D$3:$D$226,(MATCH(1,($B$3:$B$226=$C116)*($A$3:$A$226=$A116),0))))</f>
        <v>121.81</v>
      </c>
      <c r="F116" s="303">
        <f>IF(A116&gt;Standings!$Q$27,"",IFERROR(VLOOKUP($B116,'[2]Week 8 '!B$2:C$17,2,0),"No FAAB Entered"))</f>
        <v>71</v>
      </c>
      <c r="G116" s="303">
        <f>IF(A116&gt;Standings!$Q$27,"",H116-I116)</f>
        <v>0</v>
      </c>
      <c r="H116" s="303">
        <f>IF(A116&gt;Standings!$Q$27,"",I100)</f>
        <v>29</v>
      </c>
      <c r="I116" s="304">
        <f>IF(A116&gt;Standings!$Q$27,"",100-F116)</f>
        <v>29</v>
      </c>
      <c r="J116" s="118"/>
      <c r="M116" s="333"/>
    </row>
    <row r="117" spans="1:14">
      <c r="A117" s="279">
        <f t="shared" si="2"/>
        <v>8</v>
      </c>
      <c r="B117" s="415" t="str">
        <f>$L$6</f>
        <v>Team 3</v>
      </c>
      <c r="C117" s="278" t="str">
        <f t="array" ref="C117">IFERROR(INDEX([1]Sheet1!$D$2:$D$113,MATCH(1,($B117= [1]Sheet1!$C$2:$C$113)*($A117=[1]Sheet1!$B$2:$B$113),0)),INDEX([1]Sheet1!$C$2:$C$113,MATCH(1,($B117= [1]Sheet1!$D$2:$D$113)*($A117=[1]Sheet1!$B$2:$B$113),0)))</f>
        <v>Team 13</v>
      </c>
      <c r="D117" s="302">
        <f t="array" ref="D117">IFERROR(INDEX([1]Sheet1!$E$2:$E$113,MATCH(1,($B117= [1]Sheet1!$C$2:$C$113)*($A117=[1]Sheet1!$B$2:$B$113),0)),INDEX([1]Sheet1!$F$2:$F$113,MATCH(1,($B117= [1]Sheet1!$D$2:$D$113)*($A117=[1]Sheet1!$B$2:$B$113),0)))</f>
        <v>80.22</v>
      </c>
      <c r="E117" s="302">
        <f t="array" ref="E117">IF($A117&gt;Standings!$Q$27,"",INDEX($D$3:$D$226,(MATCH(1,($B$3:$B$226=$C117)*($A$3:$A$226=$A117),0))))</f>
        <v>73.22</v>
      </c>
      <c r="F117" s="303">
        <f>IF(A117&gt;Standings!$Q$27,"",IFERROR(VLOOKUP($B117,'[2]Week 8 '!B$2:C$17,2,0),"No FAAB Entered"))</f>
        <v>68</v>
      </c>
      <c r="G117" s="303">
        <f>IF(A117&gt;Standings!$Q$27,"",H117-I117)</f>
        <v>3</v>
      </c>
      <c r="H117" s="303">
        <f>IF(A117&gt;Standings!$Q$27,"",I101)</f>
        <v>35</v>
      </c>
      <c r="I117" s="304">
        <f>IF(A117&gt;Standings!$Q$27,"",100-F117)</f>
        <v>32</v>
      </c>
      <c r="J117" s="137"/>
      <c r="M117" s="135"/>
      <c r="N117" s="334"/>
    </row>
    <row r="118" spans="1:14" ht="16">
      <c r="A118" s="279">
        <f t="shared" si="2"/>
        <v>8</v>
      </c>
      <c r="B118" s="415" t="str">
        <f>$L$7</f>
        <v>Team 4</v>
      </c>
      <c r="C118" s="278" t="str">
        <f t="array" ref="C118">IFERROR(INDEX([1]Sheet1!$D$2:$D$113,MATCH(1,($B118= [1]Sheet1!$C$2:$C$113)*($A118=[1]Sheet1!$B$2:$B$113),0)),INDEX([1]Sheet1!$C$2:$C$113,MATCH(1,($B118= [1]Sheet1!$D$2:$D$113)*($A118=[1]Sheet1!$B$2:$B$113),0)))</f>
        <v>Team 6</v>
      </c>
      <c r="D118" s="302">
        <f t="array" ref="D118">IFERROR(INDEX([1]Sheet1!$E$2:$E$113,MATCH(1,($B118= [1]Sheet1!$C$2:$C$113)*($A118=[1]Sheet1!$B$2:$B$113),0)),INDEX([1]Sheet1!$F$2:$F$113,MATCH(1,($B118= [1]Sheet1!$D$2:$D$113)*($A118=[1]Sheet1!$B$2:$B$113),0)))</f>
        <v>92.41</v>
      </c>
      <c r="E118" s="302">
        <f t="array" ref="E118">IF($A118&gt;Standings!$Q$27,"",INDEX($D$3:$D$226,(MATCH(1,($B$3:$B$226=$C118)*($A$3:$A$226=$A118),0))))</f>
        <v>96.07</v>
      </c>
      <c r="F118" s="303">
        <f>IF(A118&gt;Standings!$Q$27,"",IFERROR(VLOOKUP($B118,'[2]Week 8 '!B$2:C$17,2,0),"No FAAB Entered"))</f>
        <v>48</v>
      </c>
      <c r="G118" s="303">
        <f>IF(A118&gt;Standings!$Q$27,"",H118-I118)</f>
        <v>15</v>
      </c>
      <c r="H118" s="303">
        <f>IF(A118&gt;Standings!$Q$27,"",I102)</f>
        <v>67</v>
      </c>
      <c r="I118" s="304">
        <f>IF(A118&gt;Standings!$Q$27,"",100-F118)</f>
        <v>52</v>
      </c>
      <c r="J118" s="137"/>
      <c r="M118" s="135"/>
      <c r="N118" s="308"/>
    </row>
    <row r="119" spans="1:14" ht="16">
      <c r="A119" s="279">
        <f t="shared" si="2"/>
        <v>8</v>
      </c>
      <c r="B119" s="415" t="str">
        <f>$L$8</f>
        <v>Team 5</v>
      </c>
      <c r="C119" s="278" t="str">
        <f t="array" ref="C119">IFERROR(INDEX([1]Sheet1!$D$2:$D$113,MATCH(1,($B119= [1]Sheet1!$C$2:$C$113)*($A119=[1]Sheet1!$B$2:$B$113),0)),INDEX([1]Sheet1!$C$2:$C$113,MATCH(1,($B119= [1]Sheet1!$D$2:$D$113)*($A119=[1]Sheet1!$B$2:$B$113),0)))</f>
        <v>Team 2</v>
      </c>
      <c r="D119" s="302">
        <f t="array" ref="D119">IFERROR(INDEX([1]Sheet1!$E$2:$E$113,MATCH(1,($B119= [1]Sheet1!$C$2:$C$113)*($A119=[1]Sheet1!$B$2:$B$113),0)),INDEX([1]Sheet1!$F$2:$F$113,MATCH(1,($B119= [1]Sheet1!$D$2:$D$113)*($A119=[1]Sheet1!$B$2:$B$113),0)))</f>
        <v>121.81</v>
      </c>
      <c r="E119" s="302">
        <f t="array" ref="E119">IF($A119&gt;Standings!$Q$27,"",INDEX($D$3:$D$226,(MATCH(1,($B$3:$B$226=$C119)*($A$3:$A$226=$A119),0))))</f>
        <v>87.31</v>
      </c>
      <c r="F119" s="303">
        <f>IF(A119&gt;Standings!$Q$27,"",IFERROR(VLOOKUP($B119,'[2]Week 8 '!B$2:C$17,2,0),"No FAAB Entered"))</f>
        <v>100</v>
      </c>
      <c r="G119" s="303">
        <f>IF(A119&gt;Standings!$Q$27,"",H119-I119)</f>
        <v>0</v>
      </c>
      <c r="H119" s="303">
        <f>IF(A119&gt;Standings!$Q$27,"",I103)</f>
        <v>0</v>
      </c>
      <c r="I119" s="304">
        <f>IF(A119&gt;Standings!$Q$27,"",100-F119)</f>
        <v>0</v>
      </c>
      <c r="J119" s="137"/>
      <c r="M119" s="135"/>
      <c r="N119" s="308"/>
    </row>
    <row r="120" spans="1:14" ht="16">
      <c r="A120" s="279">
        <f t="shared" si="2"/>
        <v>8</v>
      </c>
      <c r="B120" s="415" t="str">
        <f>$L$9</f>
        <v>Team 6</v>
      </c>
      <c r="C120" s="278" t="str">
        <f t="array" ref="C120">IFERROR(INDEX([1]Sheet1!$D$2:$D$113,MATCH(1,($B120= [1]Sheet1!$C$2:$C$113)*($A120=[1]Sheet1!$B$2:$B$113),0)),INDEX([1]Sheet1!$C$2:$C$113,MATCH(1,($B120= [1]Sheet1!$D$2:$D$113)*($A120=[1]Sheet1!$B$2:$B$113),0)))</f>
        <v>Team 4</v>
      </c>
      <c r="D120" s="302">
        <f t="array" ref="D120">IFERROR(INDEX([1]Sheet1!$E$2:$E$113,MATCH(1,($B120= [1]Sheet1!$C$2:$C$113)*($A120=[1]Sheet1!$B$2:$B$113),0)),INDEX([1]Sheet1!$F$2:$F$113,MATCH(1,($B120= [1]Sheet1!$D$2:$D$113)*($A120=[1]Sheet1!$B$2:$B$113),0)))</f>
        <v>96.07</v>
      </c>
      <c r="E120" s="302">
        <f t="array" ref="E120">IF($A120&gt;Standings!$Q$27,"",INDEX($D$3:$D$226,(MATCH(1,($B$3:$B$226=$C120)*($A$3:$A$226=$A120),0))))</f>
        <v>92.41</v>
      </c>
      <c r="F120" s="303">
        <f>IF(A120&gt;Standings!$Q$27,"",IFERROR(VLOOKUP($B120,'[2]Week 8 '!B$2:C$17,2,0),"No FAAB Entered"))</f>
        <v>40</v>
      </c>
      <c r="G120" s="303">
        <f>IF(A120&gt;Standings!$Q$27,"",H120-I120)</f>
        <v>0</v>
      </c>
      <c r="H120" s="303">
        <f>IF(A120&gt;Standings!$Q$27,"",I104)</f>
        <v>60</v>
      </c>
      <c r="I120" s="304">
        <f>IF(A120&gt;Standings!$Q$27,"",100-F120)</f>
        <v>60</v>
      </c>
      <c r="J120" s="137"/>
      <c r="M120" s="135"/>
      <c r="N120" s="308"/>
    </row>
    <row r="121" spans="1:14" ht="16">
      <c r="A121" s="279">
        <f t="shared" si="2"/>
        <v>8</v>
      </c>
      <c r="B121" s="415" t="str">
        <f>$L$10</f>
        <v>Team 7</v>
      </c>
      <c r="C121" s="278" t="str">
        <f t="array" ref="C121">IFERROR(INDEX([1]Sheet1!$D$2:$D$113,MATCH(1,($B121= [1]Sheet1!$C$2:$C$113)*($A121=[1]Sheet1!$B$2:$B$113),0)),INDEX([1]Sheet1!$C$2:$C$113,MATCH(1,($B121= [1]Sheet1!$D$2:$D$113)*($A121=[1]Sheet1!$B$2:$B$113),0)))</f>
        <v>Team 15</v>
      </c>
      <c r="D121" s="302">
        <f t="array" ref="D121">IFERROR(INDEX([1]Sheet1!$E$2:$E$113,MATCH(1,($B121= [1]Sheet1!$C$2:$C$113)*($A121=[1]Sheet1!$B$2:$B$113),0)),INDEX([1]Sheet1!$F$2:$F$113,MATCH(1,($B121= [1]Sheet1!$D$2:$D$113)*($A121=[1]Sheet1!$B$2:$B$113),0)))</f>
        <v>90.03</v>
      </c>
      <c r="E121" s="302">
        <f t="array" ref="E121">IF($A121&gt;Standings!$Q$27,"",INDEX($D$3:$D$226,(MATCH(1,($B$3:$B$226=$C121)*($A$3:$A$226=$A121),0))))</f>
        <v>118.52</v>
      </c>
      <c r="F121" s="303">
        <f>IF(A121&gt;Standings!$Q$27,"",IFERROR(VLOOKUP($B121,'[2]Week 8 '!B$2:C$17,2,0),"No FAAB Entered"))</f>
        <v>0</v>
      </c>
      <c r="G121" s="303">
        <f>IF(A121&gt;Standings!$Q$27,"",H121-I121)</f>
        <v>0</v>
      </c>
      <c r="H121" s="303">
        <f>IF(A121&gt;Standings!$Q$27,"",I105)</f>
        <v>100</v>
      </c>
      <c r="I121" s="304">
        <f>IF(A121&gt;Standings!$Q$27,"",100-F121)</f>
        <v>100</v>
      </c>
      <c r="J121" s="137"/>
      <c r="M121" s="135"/>
      <c r="N121" s="308"/>
    </row>
    <row r="122" spans="1:14" ht="16">
      <c r="A122" s="279">
        <f t="shared" si="2"/>
        <v>8</v>
      </c>
      <c r="B122" s="415" t="str">
        <f>$L$11</f>
        <v>Team 8</v>
      </c>
      <c r="C122" s="278" t="str">
        <f t="array" ref="C122">IFERROR(INDEX([1]Sheet1!$D$2:$D$113,MATCH(1,($B122= [1]Sheet1!$C$2:$C$113)*($A122=[1]Sheet1!$B$2:$B$113),0)),INDEX([1]Sheet1!$C$2:$C$113,MATCH(1,($B122= [1]Sheet1!$D$2:$D$113)*($A122=[1]Sheet1!$B$2:$B$113),0)))</f>
        <v>Team 14</v>
      </c>
      <c r="D122" s="302">
        <f t="array" ref="D122">IFERROR(INDEX([1]Sheet1!$E$2:$E$113,MATCH(1,($B122= [1]Sheet1!$C$2:$C$113)*($A122=[1]Sheet1!$B$2:$B$113),0)),INDEX([1]Sheet1!$F$2:$F$113,MATCH(1,($B122= [1]Sheet1!$D$2:$D$113)*($A122=[1]Sheet1!$B$2:$B$113),0)))</f>
        <v>88.93</v>
      </c>
      <c r="E122" s="302">
        <f t="array" ref="E122">IF($A122&gt;Standings!$Q$27,"",INDEX($D$3:$D$226,(MATCH(1,($B$3:$B$226=$C122)*($A$3:$A$226=$A122),0))))</f>
        <v>131.43</v>
      </c>
      <c r="F122" s="303">
        <f>IF(A122&gt;Standings!$Q$27,"",IFERROR(VLOOKUP($B122,'[2]Week 8 '!B$2:C$17,2,0),"No FAAB Entered"))</f>
        <v>48</v>
      </c>
      <c r="G122" s="303">
        <f>IF(A122&gt;Standings!$Q$27,"",H122-I122)</f>
        <v>0</v>
      </c>
      <c r="H122" s="303">
        <f>IF(A122&gt;Standings!$Q$27,"",I106)</f>
        <v>52</v>
      </c>
      <c r="I122" s="304">
        <f>IF(A122&gt;Standings!$Q$27,"",100-F122)</f>
        <v>52</v>
      </c>
      <c r="J122" s="137"/>
      <c r="M122" s="135"/>
      <c r="N122" s="308"/>
    </row>
    <row r="123" spans="1:14" ht="16">
      <c r="A123" s="281">
        <f t="shared" si="2"/>
        <v>8</v>
      </c>
      <c r="B123" s="416" t="str">
        <f>$L$12</f>
        <v>Team 9</v>
      </c>
      <c r="C123" s="280" t="str">
        <f t="array" ref="C123">IFERROR(INDEX([1]Sheet1!$D$2:$D$113,MATCH(1,($B123= [1]Sheet1!$C$2:$C$113)*($A123=[1]Sheet1!$B$2:$B$113),0)),INDEX([1]Sheet1!$C$2:$C$113,MATCH(1,($B123= [1]Sheet1!$D$2:$D$113)*($A123=[1]Sheet1!$B$2:$B$113),0)))</f>
        <v>Team 12</v>
      </c>
      <c r="D123" s="309">
        <f t="array" ref="D123">IFERROR(INDEX([1]Sheet1!$E$2:$E$113,MATCH(1,($B123= [1]Sheet1!$C$2:$C$113)*($A123=[1]Sheet1!$B$2:$B$113),0)),INDEX([1]Sheet1!$F$2:$F$113,MATCH(1,($B123= [1]Sheet1!$D$2:$D$113)*($A123=[1]Sheet1!$B$2:$B$113),0)))</f>
        <v>82.72</v>
      </c>
      <c r="E123" s="309">
        <f t="array" ref="E123">IF($A123&gt;Standings!$Q$27,"",INDEX($D$3:$D$226,(MATCH(1,($B$3:$B$226=$C123)*($A$3:$A$226=$A123),0))))</f>
        <v>129.93</v>
      </c>
      <c r="F123" s="310">
        <f>IF(A123&gt;Standings!$Q$27,"",IFERROR(VLOOKUP($B123,'[2]Week 8 '!B$2:C$17,2,0),"No FAAB Entered"))</f>
        <v>47</v>
      </c>
      <c r="G123" s="310">
        <f>IF(A123&gt;Standings!$Q$27,"",H123-I123)</f>
        <v>0</v>
      </c>
      <c r="H123" s="310">
        <f>IF(A123&gt;Standings!$Q$27,"",I107)</f>
        <v>53</v>
      </c>
      <c r="I123" s="311">
        <f>IF(A123&gt;Standings!$Q$27,"",100-F123)</f>
        <v>53</v>
      </c>
      <c r="J123" s="137"/>
      <c r="M123" s="135"/>
      <c r="N123" s="308"/>
    </row>
    <row r="124" spans="1:14" ht="16">
      <c r="A124" s="281">
        <f t="shared" si="2"/>
        <v>8</v>
      </c>
      <c r="B124" s="416" t="str">
        <f>$L$13</f>
        <v>Team 10</v>
      </c>
      <c r="C124" s="280" t="str">
        <f t="array" ref="C124">IFERROR(INDEX([1]Sheet1!$D$2:$D$113,MATCH(1,($B124= [1]Sheet1!$C$2:$C$113)*($A124=[1]Sheet1!$B$2:$B$113),0)),INDEX([1]Sheet1!$C$2:$C$113,MATCH(1,($B124= [1]Sheet1!$D$2:$D$113)*($A124=[1]Sheet1!$B$2:$B$113),0)))</f>
        <v>Team 11</v>
      </c>
      <c r="D124" s="309">
        <f t="array" ref="D124">IFERROR(INDEX([1]Sheet1!$E$2:$E$113,MATCH(1,($B124= [1]Sheet1!$C$2:$C$113)*($A124=[1]Sheet1!$B$2:$B$113),0)),INDEX([1]Sheet1!$F$2:$F$113,MATCH(1,($B124= [1]Sheet1!$D$2:$D$113)*($A124=[1]Sheet1!$B$2:$B$113),0)))</f>
        <v>81.650000000000006</v>
      </c>
      <c r="E124" s="309">
        <f t="array" ref="E124">IF($A124&gt;Standings!$Q$27,"",INDEX($D$3:$D$226,(MATCH(1,($B$3:$B$226=$C124)*($A$3:$A$226=$A124),0))))</f>
        <v>70.75</v>
      </c>
      <c r="F124" s="310">
        <f>IF(A124&gt;Standings!$Q$27,"",IFERROR(VLOOKUP($B124,'[2]Week 8 '!B$2:C$17,2,0),"No FAAB Entered"))</f>
        <v>73</v>
      </c>
      <c r="G124" s="310">
        <f>IF(A124&gt;Standings!$Q$27,"",H124-I124)</f>
        <v>37</v>
      </c>
      <c r="H124" s="310">
        <f>IF(A124&gt;Standings!$Q$27,"",I108)</f>
        <v>64</v>
      </c>
      <c r="I124" s="311">
        <f>IF(A124&gt;Standings!$Q$27,"",100-F124)</f>
        <v>27</v>
      </c>
      <c r="J124" s="137"/>
      <c r="M124" s="135"/>
      <c r="N124" s="308"/>
    </row>
    <row r="125" spans="1:14" ht="16">
      <c r="A125" s="281">
        <f t="shared" si="2"/>
        <v>8</v>
      </c>
      <c r="B125" s="416" t="str">
        <f>$L$14</f>
        <v>Team 11</v>
      </c>
      <c r="C125" s="280" t="str">
        <f t="array" ref="C125">IFERROR(INDEX([1]Sheet1!$D$2:$D$113,MATCH(1,($B125= [1]Sheet1!$C$2:$C$113)*($A125=[1]Sheet1!$B$2:$B$113),0)),INDEX([1]Sheet1!$C$2:$C$113,MATCH(1,($B125= [1]Sheet1!$D$2:$D$113)*($A125=[1]Sheet1!$B$2:$B$113),0)))</f>
        <v>Team 10</v>
      </c>
      <c r="D125" s="309">
        <f t="array" ref="D125">IFERROR(INDEX([1]Sheet1!$E$2:$E$113,MATCH(1,($B125= [1]Sheet1!$C$2:$C$113)*($A125=[1]Sheet1!$B$2:$B$113),0)),INDEX([1]Sheet1!$F$2:$F$113,MATCH(1,($B125= [1]Sheet1!$D$2:$D$113)*($A125=[1]Sheet1!$B$2:$B$113),0)))</f>
        <v>70.75</v>
      </c>
      <c r="E125" s="309">
        <f t="array" ref="E125">IF($A125&gt;Standings!$Q$27,"",INDEX($D$3:$D$226,(MATCH(1,($B$3:$B$226=$C125)*($A$3:$A$226=$A125),0))))</f>
        <v>81.650000000000006</v>
      </c>
      <c r="F125" s="310">
        <f>IF(A125&gt;Standings!$Q$27,"",IFERROR(VLOOKUP($B125,'[2]Week 8 '!B$2:C$17,2,0),"No FAAB Entered"))</f>
        <v>91</v>
      </c>
      <c r="G125" s="310">
        <f>IF(A125&gt;Standings!$Q$27,"",H125-I125)</f>
        <v>7</v>
      </c>
      <c r="H125" s="310">
        <f>IF(A125&gt;Standings!$Q$27,"",I109)</f>
        <v>16</v>
      </c>
      <c r="I125" s="311">
        <f>IF(A125&gt;Standings!$Q$27,"",100-F125)</f>
        <v>9</v>
      </c>
      <c r="J125" s="137"/>
      <c r="M125" s="135"/>
      <c r="N125" s="308"/>
    </row>
    <row r="126" spans="1:14" ht="16">
      <c r="A126" s="281">
        <f t="shared" si="2"/>
        <v>8</v>
      </c>
      <c r="B126" s="416" t="str">
        <f>$L$15</f>
        <v>Team 12</v>
      </c>
      <c r="C126" s="280" t="str">
        <f t="array" ref="C126">IFERROR(INDEX([1]Sheet1!$D$2:$D$113,MATCH(1,($B126= [1]Sheet1!$C$2:$C$113)*($A126=[1]Sheet1!$B$2:$B$113),0)),INDEX([1]Sheet1!$C$2:$C$113,MATCH(1,($B126= [1]Sheet1!$D$2:$D$113)*($A126=[1]Sheet1!$B$2:$B$113),0)))</f>
        <v>Team 9</v>
      </c>
      <c r="D126" s="309">
        <f t="array" ref="D126">IFERROR(INDEX([1]Sheet1!$E$2:$E$113,MATCH(1,($B126= [1]Sheet1!$C$2:$C$113)*($A126=[1]Sheet1!$B$2:$B$113),0)),INDEX([1]Sheet1!$F$2:$F$113,MATCH(1,($B126= [1]Sheet1!$D$2:$D$113)*($A126=[1]Sheet1!$B$2:$B$113),0)))</f>
        <v>129.93</v>
      </c>
      <c r="E126" s="309">
        <f t="array" ref="E126">IF($A126&gt;Standings!$Q$27,"",INDEX($D$3:$D$226,(MATCH(1,($B$3:$B$226=$C126)*($A$3:$A$226=$A126),0))))</f>
        <v>82.72</v>
      </c>
      <c r="F126" s="310">
        <f>IF(A126&gt;Standings!$Q$27,"",IFERROR(VLOOKUP($B126,'[2]Week 8 '!B$2:C$17,2,0),"No FAAB Entered"))</f>
        <v>62</v>
      </c>
      <c r="G126" s="310">
        <f>IF(A126&gt;Standings!$Q$27,"",H126-I126)</f>
        <v>12</v>
      </c>
      <c r="H126" s="310">
        <f>IF(A126&gt;Standings!$Q$27,"",I110)</f>
        <v>50</v>
      </c>
      <c r="I126" s="311">
        <f>IF(A126&gt;Standings!$Q$27,"",100-F126)</f>
        <v>38</v>
      </c>
      <c r="J126" s="137"/>
      <c r="M126" s="135"/>
      <c r="N126" s="306"/>
    </row>
    <row r="127" spans="1:14" ht="16">
      <c r="A127" s="281">
        <f t="shared" si="2"/>
        <v>8</v>
      </c>
      <c r="B127" s="416" t="str">
        <f>$L$16</f>
        <v>Team 13</v>
      </c>
      <c r="C127" s="280" t="str">
        <f t="array" ref="C127">IFERROR(INDEX([1]Sheet1!$D$2:$D$113,MATCH(1,($B127= [1]Sheet1!$C$2:$C$113)*($A127=[1]Sheet1!$B$2:$B$113),0)),INDEX([1]Sheet1!$C$2:$C$113,MATCH(1,($B127= [1]Sheet1!$D$2:$D$113)*($A127=[1]Sheet1!$B$2:$B$113),0)))</f>
        <v>Team 3</v>
      </c>
      <c r="D127" s="309">
        <f t="array" ref="D127">IFERROR(INDEX([1]Sheet1!$E$2:$E$113,MATCH(1,($B127= [1]Sheet1!$C$2:$C$113)*($A127=[1]Sheet1!$B$2:$B$113),0)),INDEX([1]Sheet1!$F$2:$F$113,MATCH(1,($B127= [1]Sheet1!$D$2:$D$113)*($A127=[1]Sheet1!$B$2:$B$113),0)))</f>
        <v>73.22</v>
      </c>
      <c r="E127" s="309">
        <f t="array" ref="E127">IF($A127&gt;Standings!$Q$27,"",INDEX($D$3:$D$226,(MATCH(1,($B$3:$B$226=$C127)*($A$3:$A$226=$A127),0))))</f>
        <v>80.22</v>
      </c>
      <c r="F127" s="310">
        <f>IF(A127&gt;Standings!$Q$27,"",IFERROR(VLOOKUP($B127,'[2]Week 8 '!B$2:C$17,2,0),"No FAAB Entered"))</f>
        <v>94</v>
      </c>
      <c r="G127" s="310">
        <f>IF(A127&gt;Standings!$Q$27,"",H127-I127)</f>
        <v>6</v>
      </c>
      <c r="H127" s="310">
        <f>IF(A127&gt;Standings!$Q$27,"",I111)</f>
        <v>12</v>
      </c>
      <c r="I127" s="311">
        <f>IF(A127&gt;Standings!$Q$27,"",100-F127)</f>
        <v>6</v>
      </c>
      <c r="J127" s="137"/>
      <c r="M127" s="135"/>
      <c r="N127" s="335"/>
    </row>
    <row r="128" spans="1:14" ht="16">
      <c r="A128" s="281">
        <f t="shared" si="2"/>
        <v>8</v>
      </c>
      <c r="B128" s="416" t="str">
        <f>$L$17</f>
        <v>Team 14</v>
      </c>
      <c r="C128" s="280" t="str">
        <f t="array" ref="C128">IFERROR(INDEX([1]Sheet1!$D$2:$D$113,MATCH(1,($B128= [1]Sheet1!$C$2:$C$113)*($A128=[1]Sheet1!$B$2:$B$113),0)),INDEX([1]Sheet1!$C$2:$C$113,MATCH(1,($B128= [1]Sheet1!$D$2:$D$113)*($A128=[1]Sheet1!$B$2:$B$113),0)))</f>
        <v>Team 8</v>
      </c>
      <c r="D128" s="309">
        <f t="array" ref="D128">IFERROR(INDEX([1]Sheet1!$E$2:$E$113,MATCH(1,($B128= [1]Sheet1!$C$2:$C$113)*($A128=[1]Sheet1!$B$2:$B$113),0)),INDEX([1]Sheet1!$F$2:$F$113,MATCH(1,($B128= [1]Sheet1!$D$2:$D$113)*($A128=[1]Sheet1!$B$2:$B$113),0)))</f>
        <v>131.43</v>
      </c>
      <c r="E128" s="309">
        <f t="array" ref="E128">IF($A128&gt;Standings!$Q$27,"",INDEX($D$3:$D$226,(MATCH(1,($B$3:$B$226=$C128)*($A$3:$A$226=$A128),0))))</f>
        <v>88.93</v>
      </c>
      <c r="F128" s="310">
        <f>IF(A128&gt;Standings!$Q$27,"",IFERROR(VLOOKUP($B128,'[2]Week 8 '!B$2:C$17,2,0),"No FAAB Entered"))</f>
        <v>5</v>
      </c>
      <c r="G128" s="310">
        <f>IF(A128&gt;Standings!$Q$27,"",H128-I128)</f>
        <v>0</v>
      </c>
      <c r="H128" s="310">
        <f>IF(A128&gt;Standings!$Q$27,"",I112)</f>
        <v>95</v>
      </c>
      <c r="I128" s="311">
        <f>IF(A128&gt;Standings!$Q$27,"",100-F128)</f>
        <v>95</v>
      </c>
      <c r="J128" s="137"/>
      <c r="M128" s="135"/>
      <c r="N128" s="308"/>
    </row>
    <row r="129" spans="1:14" ht="16">
      <c r="A129" s="281">
        <f t="shared" si="2"/>
        <v>8</v>
      </c>
      <c r="B129" s="416" t="str">
        <f>$L$18</f>
        <v>Team 15</v>
      </c>
      <c r="C129" s="280" t="str">
        <f t="array" ref="C129">IFERROR(INDEX([1]Sheet1!$D$2:$D$113,MATCH(1,($B129= [1]Sheet1!$C$2:$C$113)*($A129=[1]Sheet1!$B$2:$B$113),0)),INDEX([1]Sheet1!$C$2:$C$113,MATCH(1,($B129= [1]Sheet1!$D$2:$D$113)*($A129=[1]Sheet1!$B$2:$B$113),0)))</f>
        <v>Team 7</v>
      </c>
      <c r="D129" s="309">
        <f t="array" ref="D129">IFERROR(INDEX([1]Sheet1!$E$2:$E$113,MATCH(1,($B129= [1]Sheet1!$C$2:$C$113)*($A129=[1]Sheet1!$B$2:$B$113),0)),INDEX([1]Sheet1!$F$2:$F$113,MATCH(1,($B129= [1]Sheet1!$D$2:$D$113)*($A129=[1]Sheet1!$B$2:$B$113),0)))</f>
        <v>118.52</v>
      </c>
      <c r="E129" s="309">
        <f t="array" ref="E129">IF($A129&gt;Standings!$Q$27,"",INDEX($D$3:$D$226,(MATCH(1,($B$3:$B$226=$C129)*($A$3:$A$226=$A129),0))))</f>
        <v>90.03</v>
      </c>
      <c r="F129" s="310">
        <f>IF(A129&gt;Standings!$Q$27,"",IFERROR(VLOOKUP($B129,'[2]Week 8 '!B$2:C$17,2,0),"No FAAB Entered"))</f>
        <v>60</v>
      </c>
      <c r="G129" s="310">
        <f>IF(A129&gt;Standings!$Q$27,"",H129-I129)</f>
        <v>0</v>
      </c>
      <c r="H129" s="310">
        <f>IF(A129&gt;Standings!$Q$27,"",I113)</f>
        <v>40</v>
      </c>
      <c r="I129" s="311">
        <f>IF(A129&gt;Standings!$Q$27,"",100-F129)</f>
        <v>40</v>
      </c>
      <c r="J129" s="137"/>
      <c r="M129" s="135"/>
      <c r="N129" s="308"/>
    </row>
    <row r="130" spans="1:14" ht="17" thickBot="1">
      <c r="A130" s="283">
        <f t="shared" si="2"/>
        <v>8</v>
      </c>
      <c r="B130" s="417" t="str">
        <f>$L$19</f>
        <v>Team 16</v>
      </c>
      <c r="C130" s="282" t="str">
        <f t="array" ref="C130">IFERROR(INDEX([1]Sheet1!$D$2:$D$113,MATCH(1,($B130= [1]Sheet1!$C$2:$C$113)*($A130=[1]Sheet1!$B$2:$B$113),0)),INDEX([1]Sheet1!$C$2:$C$113,MATCH(1,($B130= [1]Sheet1!$D$2:$D$113)*($A130=[1]Sheet1!$B$2:$B$113),0)))</f>
        <v>Team 1</v>
      </c>
      <c r="D130" s="312">
        <f t="array" ref="D130">IFERROR(INDEX([1]Sheet1!$E$2:$E$113,MATCH(1,($B130= [1]Sheet1!$C$2:$C$113)*($A130=[1]Sheet1!$B$2:$B$113),0)),INDEX([1]Sheet1!$F$2:$F$113,MATCH(1,($B130= [1]Sheet1!$D$2:$D$113)*($A130=[1]Sheet1!$B$2:$B$113),0)))</f>
        <v>67.62</v>
      </c>
      <c r="E130" s="312">
        <f t="array" ref="E130">IF($A130&gt;Standings!$Q$27,"",INDEX($D$3:$D$226,(MATCH(1,($B$3:$B$226=$C130)*($A$3:$A$226=$A130),0))))</f>
        <v>67.86</v>
      </c>
      <c r="F130" s="313">
        <f>IF(A130&gt;Standings!$Q$27,"",IFERROR(VLOOKUP($B130,'[2]Week 8 '!B$2:C$17,2,0),"No FAAB Entered"))</f>
        <v>100</v>
      </c>
      <c r="G130" s="313">
        <f>IF(A130&gt;Standings!$Q$27,"",H130-I130)</f>
        <v>0</v>
      </c>
      <c r="H130" s="313">
        <f>IF(A130&gt;Standings!$Q$27,"",I114)</f>
        <v>0</v>
      </c>
      <c r="I130" s="314">
        <f>IF(A130&gt;Standings!$Q$27,"",100-F130)</f>
        <v>0</v>
      </c>
      <c r="J130" s="137"/>
      <c r="M130" s="135"/>
      <c r="N130" s="308"/>
    </row>
    <row r="131" spans="1:14" ht="16">
      <c r="A131" s="277">
        <f t="shared" si="2"/>
        <v>9</v>
      </c>
      <c r="B131" s="414" t="str">
        <f>$L$4</f>
        <v>Team 1</v>
      </c>
      <c r="C131" s="276" t="str">
        <f t="array" ref="C131">IFERROR(INDEX([1]Sheet1!$D$2:$D$113,MATCH(1,($B131= [1]Sheet1!$C$2:$C$113)*($A131=[1]Sheet1!$B$2:$B$113),0)),INDEX([1]Sheet1!$C$2:$C$113,MATCH(1,($B131= [1]Sheet1!$D$2:$D$113)*($A131=[1]Sheet1!$B$2:$B$113),0)))</f>
        <v>Team 2</v>
      </c>
      <c r="D131" s="295">
        <f t="array" ref="D131">IFERROR(INDEX([1]Sheet1!$E$2:$E$113,MATCH(1,($B131= [1]Sheet1!$C$2:$C$113)*($A131=[1]Sheet1!$B$2:$B$113),0)),INDEX([1]Sheet1!$F$2:$F$113,MATCH(1,($B131= [1]Sheet1!$D$2:$D$113)*($A131=[1]Sheet1!$B$2:$B$113),0)))</f>
        <v>76.75</v>
      </c>
      <c r="E131" s="295">
        <f t="array" ref="E131">IF($A131&gt;Standings!$Q$27,"",INDEX($D$3:$D$226,(MATCH(1,($B$3:$B$226=$C131)*($A$3:$A$226=$A131),0))))</f>
        <v>105.85</v>
      </c>
      <c r="F131" s="296">
        <f>IF(A131&gt;Standings!$Q$27,"",IFERROR(VLOOKUP($B131,'[2]Week 9 '!B$2:C$17,2,0),"No FAAB Entered"))</f>
        <v>85</v>
      </c>
      <c r="G131" s="296">
        <f>IF(A131&gt;Standings!$Q$27,"",H131-I131)</f>
        <v>0</v>
      </c>
      <c r="H131" s="296">
        <f>IF(A131&gt;Standings!$Q$27,"",I115)</f>
        <v>15</v>
      </c>
      <c r="I131" s="297">
        <f>IF(A131&gt;Standings!$Q$27,"",100-F131)</f>
        <v>15</v>
      </c>
      <c r="J131" s="137"/>
      <c r="M131" s="135"/>
      <c r="N131" s="308"/>
    </row>
    <row r="132" spans="1:14" ht="16">
      <c r="A132" s="279">
        <f t="shared" si="2"/>
        <v>9</v>
      </c>
      <c r="B132" s="415" t="str">
        <f>$L$5</f>
        <v>Team 2</v>
      </c>
      <c r="C132" s="278" t="str">
        <f t="array" ref="C132">IFERROR(INDEX([1]Sheet1!$D$2:$D$113,MATCH(1,($B132= [1]Sheet1!$C$2:$C$113)*($A132=[1]Sheet1!$B$2:$B$113),0)),INDEX([1]Sheet1!$C$2:$C$113,MATCH(1,($B132= [1]Sheet1!$D$2:$D$113)*($A132=[1]Sheet1!$B$2:$B$113),0)))</f>
        <v>Team 1</v>
      </c>
      <c r="D132" s="302">
        <f t="array" ref="D132">IFERROR(INDEX([1]Sheet1!$E$2:$E$113,MATCH(1,($B132= [1]Sheet1!$C$2:$C$113)*($A132=[1]Sheet1!$B$2:$B$113),0)),INDEX([1]Sheet1!$F$2:$F$113,MATCH(1,($B132= [1]Sheet1!$D$2:$D$113)*($A132=[1]Sheet1!$B$2:$B$113),0)))</f>
        <v>105.85</v>
      </c>
      <c r="E132" s="302">
        <f t="array" ref="E132">IF($A132&gt;Standings!$Q$27,"",INDEX($D$3:$D$226,(MATCH(1,($B$3:$B$226=$C132)*($A$3:$A$226=$A132),0))))</f>
        <v>76.75</v>
      </c>
      <c r="F132" s="303">
        <f>IF(A132&gt;Standings!$Q$27,"",IFERROR(VLOOKUP($B132,'[2]Week 9 '!B$2:C$17,2,0),"No FAAB Entered"))</f>
        <v>82</v>
      </c>
      <c r="G132" s="303">
        <f>IF(A132&gt;Standings!$Q$27,"",H132-I132)</f>
        <v>11</v>
      </c>
      <c r="H132" s="303">
        <f>IF(A132&gt;Standings!$Q$27,"",I116)</f>
        <v>29</v>
      </c>
      <c r="I132" s="304">
        <f>IF(A132&gt;Standings!$Q$27,"",100-F132)</f>
        <v>18</v>
      </c>
      <c r="J132" s="137"/>
      <c r="M132" s="135"/>
      <c r="N132" s="308"/>
    </row>
    <row r="133" spans="1:14" ht="16">
      <c r="A133" s="279">
        <f t="shared" si="2"/>
        <v>9</v>
      </c>
      <c r="B133" s="415" t="str">
        <f>$L$6</f>
        <v>Team 3</v>
      </c>
      <c r="C133" s="278" t="str">
        <f t="array" ref="C133">IFERROR(INDEX([1]Sheet1!$D$2:$D$113,MATCH(1,($B133= [1]Sheet1!$C$2:$C$113)*($A133=[1]Sheet1!$B$2:$B$113),0)),INDEX([1]Sheet1!$C$2:$C$113,MATCH(1,($B133= [1]Sheet1!$D$2:$D$113)*($A133=[1]Sheet1!$B$2:$B$113),0)))</f>
        <v>Team 12</v>
      </c>
      <c r="D133" s="302">
        <f t="array" ref="D133">IFERROR(INDEX([1]Sheet1!$E$2:$E$113,MATCH(1,($B133= [1]Sheet1!$C$2:$C$113)*($A133=[1]Sheet1!$B$2:$B$113),0)),INDEX([1]Sheet1!$F$2:$F$113,MATCH(1,($B133= [1]Sheet1!$D$2:$D$113)*($A133=[1]Sheet1!$B$2:$B$113),0)))</f>
        <v>87.41</v>
      </c>
      <c r="E133" s="302">
        <f t="array" ref="E133">IF($A133&gt;Standings!$Q$27,"",INDEX($D$3:$D$226,(MATCH(1,($B$3:$B$226=$C133)*($A$3:$A$226=$A133),0))))</f>
        <v>87.25</v>
      </c>
      <c r="F133" s="303">
        <f>IF(A133&gt;Standings!$Q$27,"",IFERROR(VLOOKUP($B133,'[2]Week 9 '!B$2:C$17,2,0),"No FAAB Entered"))</f>
        <v>68</v>
      </c>
      <c r="G133" s="303">
        <f>IF(A133&gt;Standings!$Q$27,"",H133-I133)</f>
        <v>0</v>
      </c>
      <c r="H133" s="303">
        <f>IF(A133&gt;Standings!$Q$27,"",I117)</f>
        <v>32</v>
      </c>
      <c r="I133" s="304">
        <f>IF(A133&gt;Standings!$Q$27,"",100-F133)</f>
        <v>32</v>
      </c>
      <c r="J133" s="315"/>
      <c r="M133" s="137"/>
      <c r="N133" s="308"/>
    </row>
    <row r="134" spans="1:14">
      <c r="A134" s="279">
        <f t="shared" si="2"/>
        <v>9</v>
      </c>
      <c r="B134" s="415" t="str">
        <f>$L$7</f>
        <v>Team 4</v>
      </c>
      <c r="C134" s="278" t="str">
        <f t="array" ref="C134">IFERROR(INDEX([1]Sheet1!$D$2:$D$113,MATCH(1,($B134= [1]Sheet1!$C$2:$C$113)*($A134=[1]Sheet1!$B$2:$B$113),0)),INDEX([1]Sheet1!$C$2:$C$113,MATCH(1,($B134= [1]Sheet1!$D$2:$D$113)*($A134=[1]Sheet1!$B$2:$B$113),0)))</f>
        <v>Team 11</v>
      </c>
      <c r="D134" s="302">
        <f t="array" ref="D134">IFERROR(INDEX([1]Sheet1!$E$2:$E$113,MATCH(1,($B134= [1]Sheet1!$C$2:$C$113)*($A134=[1]Sheet1!$B$2:$B$113),0)),INDEX([1]Sheet1!$F$2:$F$113,MATCH(1,($B134= [1]Sheet1!$D$2:$D$113)*($A134=[1]Sheet1!$B$2:$B$113),0)))</f>
        <v>56.32</v>
      </c>
      <c r="E134" s="302">
        <f t="array" ref="E134">IF($A134&gt;Standings!$Q$27,"",INDEX($D$3:$D$226,(MATCH(1,($B$3:$B$226=$C134)*($A$3:$A$226=$A134),0))))</f>
        <v>95.29</v>
      </c>
      <c r="F134" s="303">
        <f>IF(A134&gt;Standings!$Q$27,"",IFERROR(VLOOKUP($B134,'[2]Week 9 '!B$2:C$17,2,0),"No FAAB Entered"))</f>
        <v>48</v>
      </c>
      <c r="G134" s="303">
        <f>IF(A134&gt;Standings!$Q$27,"",H134-I134)</f>
        <v>0</v>
      </c>
      <c r="H134" s="303">
        <f>IF(A134&gt;Standings!$Q$27,"",I118)</f>
        <v>52</v>
      </c>
      <c r="I134" s="304">
        <f>IF(A134&gt;Standings!$Q$27,"",100-F134)</f>
        <v>52</v>
      </c>
      <c r="J134" s="327"/>
      <c r="M134" s="137"/>
    </row>
    <row r="135" spans="1:14">
      <c r="A135" s="279">
        <f t="shared" si="2"/>
        <v>9</v>
      </c>
      <c r="B135" s="415" t="str">
        <f>$L$8</f>
        <v>Team 5</v>
      </c>
      <c r="C135" s="278" t="str">
        <f t="array" ref="C135">IFERROR(INDEX([1]Sheet1!$D$2:$D$113,MATCH(1,($B135= [1]Sheet1!$C$2:$C$113)*($A135=[1]Sheet1!$B$2:$B$113),0)),INDEX([1]Sheet1!$C$2:$C$113,MATCH(1,($B135= [1]Sheet1!$D$2:$D$113)*($A135=[1]Sheet1!$B$2:$B$113),0)))</f>
        <v>Team 16</v>
      </c>
      <c r="D135" s="302">
        <f t="array" ref="D135">IFERROR(INDEX([1]Sheet1!$E$2:$E$113,MATCH(1,($B135= [1]Sheet1!$C$2:$C$113)*($A135=[1]Sheet1!$B$2:$B$113),0)),INDEX([1]Sheet1!$F$2:$F$113,MATCH(1,($B135= [1]Sheet1!$D$2:$D$113)*($A135=[1]Sheet1!$B$2:$B$113),0)))</f>
        <v>157.65</v>
      </c>
      <c r="E135" s="302">
        <f t="array" ref="E135">IF($A135&gt;Standings!$Q$27,"",INDEX($D$3:$D$226,(MATCH(1,($B$3:$B$226=$C135)*($A$3:$A$226=$A135),0))))</f>
        <v>87.91</v>
      </c>
      <c r="F135" s="303">
        <f>IF(A135&gt;Standings!$Q$27,"",IFERROR(VLOOKUP($B135,'[2]Week 9 '!B$2:C$17,2,0),"No FAAB Entered"))</f>
        <v>100</v>
      </c>
      <c r="G135" s="303">
        <f>IF(A135&gt;Standings!$Q$27,"",H135-I135)</f>
        <v>0</v>
      </c>
      <c r="H135" s="303">
        <f>IF(A135&gt;Standings!$Q$27,"",I119)</f>
        <v>0</v>
      </c>
      <c r="I135" s="304">
        <f>IF(A135&gt;Standings!$Q$27,"",100-F135)</f>
        <v>0</v>
      </c>
      <c r="J135" s="118"/>
      <c r="M135" s="137"/>
    </row>
    <row r="136" spans="1:14">
      <c r="A136" s="279">
        <f t="shared" si="2"/>
        <v>9</v>
      </c>
      <c r="B136" s="415" t="str">
        <f>$L$9</f>
        <v>Team 6</v>
      </c>
      <c r="C136" s="278" t="str">
        <f t="array" ref="C136">IFERROR(INDEX([1]Sheet1!$D$2:$D$113,MATCH(1,($B136= [1]Sheet1!$C$2:$C$113)*($A136=[1]Sheet1!$B$2:$B$113),0)),INDEX([1]Sheet1!$C$2:$C$113,MATCH(1,($B136= [1]Sheet1!$D$2:$D$113)*($A136=[1]Sheet1!$B$2:$B$113),0)))</f>
        <v>Team 10</v>
      </c>
      <c r="D136" s="302">
        <f t="array" ref="D136">IFERROR(INDEX([1]Sheet1!$E$2:$E$113,MATCH(1,($B136= [1]Sheet1!$C$2:$C$113)*($A136=[1]Sheet1!$B$2:$B$113),0)),INDEX([1]Sheet1!$F$2:$F$113,MATCH(1,($B136= [1]Sheet1!$D$2:$D$113)*($A136=[1]Sheet1!$B$2:$B$113),0)))</f>
        <v>73.540000000000006</v>
      </c>
      <c r="E136" s="302">
        <f t="array" ref="E136">IF($A136&gt;Standings!$Q$27,"",INDEX($D$3:$D$226,(MATCH(1,($B$3:$B$226=$C136)*($A$3:$A$226=$A136),0))))</f>
        <v>117.32</v>
      </c>
      <c r="F136" s="303">
        <f>IF(A136&gt;Standings!$Q$27,"",IFERROR(VLOOKUP($B136,'[2]Week 9 '!B$2:C$17,2,0),"No FAAB Entered"))</f>
        <v>64</v>
      </c>
      <c r="G136" s="303">
        <f>IF(A136&gt;Standings!$Q$27,"",H136-I136)</f>
        <v>24</v>
      </c>
      <c r="H136" s="303">
        <f>IF(A136&gt;Standings!$Q$27,"",I120)</f>
        <v>60</v>
      </c>
      <c r="I136" s="304">
        <f>IF(A136&gt;Standings!$Q$27,"",100-F136)</f>
        <v>36</v>
      </c>
      <c r="J136" s="137"/>
      <c r="M136" s="137"/>
    </row>
    <row r="137" spans="1:14">
      <c r="A137" s="279">
        <f t="shared" si="2"/>
        <v>9</v>
      </c>
      <c r="B137" s="415" t="str">
        <f>$L$10</f>
        <v>Team 7</v>
      </c>
      <c r="C137" s="278" t="str">
        <f t="array" ref="C137">IFERROR(INDEX([1]Sheet1!$D$2:$D$113,MATCH(1,($B137= [1]Sheet1!$C$2:$C$113)*($A137=[1]Sheet1!$B$2:$B$113),0)),INDEX([1]Sheet1!$C$2:$C$113,MATCH(1,($B137= [1]Sheet1!$D$2:$D$113)*($A137=[1]Sheet1!$B$2:$B$113),0)))</f>
        <v>Team 8</v>
      </c>
      <c r="D137" s="302">
        <f t="array" ref="D137">IFERROR(INDEX([1]Sheet1!$E$2:$E$113,MATCH(1,($B137= [1]Sheet1!$C$2:$C$113)*($A137=[1]Sheet1!$B$2:$B$113),0)),INDEX([1]Sheet1!$F$2:$F$113,MATCH(1,($B137= [1]Sheet1!$D$2:$D$113)*($A137=[1]Sheet1!$B$2:$B$113),0)))</f>
        <v>90.25</v>
      </c>
      <c r="E137" s="302">
        <f t="array" ref="E137">IF($A137&gt;Standings!$Q$27,"",INDEX($D$3:$D$226,(MATCH(1,($B$3:$B$226=$C137)*($A$3:$A$226=$A137),0))))</f>
        <v>132.35</v>
      </c>
      <c r="F137" s="303">
        <f>IF(A137&gt;Standings!$Q$27,"",IFERROR(VLOOKUP($B137,'[2]Week 9 '!B$2:C$17,2,0),"No FAAB Entered"))</f>
        <v>0</v>
      </c>
      <c r="G137" s="303">
        <f>IF(A137&gt;Standings!$Q$27,"",H137-I137)</f>
        <v>0</v>
      </c>
      <c r="H137" s="303">
        <f>IF(A137&gt;Standings!$Q$27,"",I121)</f>
        <v>100</v>
      </c>
      <c r="I137" s="304">
        <f>IF(A137&gt;Standings!$Q$27,"",100-F137)</f>
        <v>100</v>
      </c>
      <c r="J137" s="137"/>
      <c r="M137" s="137"/>
    </row>
    <row r="138" spans="1:14">
      <c r="A138" s="279">
        <f t="shared" si="2"/>
        <v>9</v>
      </c>
      <c r="B138" s="415" t="str">
        <f>$L$11</f>
        <v>Team 8</v>
      </c>
      <c r="C138" s="278" t="str">
        <f t="array" ref="C138">IFERROR(INDEX([1]Sheet1!$D$2:$D$113,MATCH(1,($B138= [1]Sheet1!$C$2:$C$113)*($A138=[1]Sheet1!$B$2:$B$113),0)),INDEX([1]Sheet1!$C$2:$C$113,MATCH(1,($B138= [1]Sheet1!$D$2:$D$113)*($A138=[1]Sheet1!$B$2:$B$113),0)))</f>
        <v>Team 7</v>
      </c>
      <c r="D138" s="302">
        <f t="array" ref="D138">IFERROR(INDEX([1]Sheet1!$E$2:$E$113,MATCH(1,($B138= [1]Sheet1!$C$2:$C$113)*($A138=[1]Sheet1!$B$2:$B$113),0)),INDEX([1]Sheet1!$F$2:$F$113,MATCH(1,($B138= [1]Sheet1!$D$2:$D$113)*($A138=[1]Sheet1!$B$2:$B$113),0)))</f>
        <v>132.35</v>
      </c>
      <c r="E138" s="302">
        <f t="array" ref="E138">IF($A138&gt;Standings!$Q$27,"",INDEX($D$3:$D$226,(MATCH(1,($B$3:$B$226=$C138)*($A$3:$A$226=$A138),0))))</f>
        <v>90.25</v>
      </c>
      <c r="F138" s="303">
        <f>IF(A138&gt;Standings!$Q$27,"",IFERROR(VLOOKUP($B138,'[2]Week 9 '!B$2:C$17,2,0),"No FAAB Entered"))</f>
        <v>48</v>
      </c>
      <c r="G138" s="303">
        <f>IF(A138&gt;Standings!$Q$27,"",H138-I138)</f>
        <v>0</v>
      </c>
      <c r="H138" s="303">
        <f>IF(A138&gt;Standings!$Q$27,"",I122)</f>
        <v>52</v>
      </c>
      <c r="I138" s="304">
        <f>IF(A138&gt;Standings!$Q$27,"",100-F138)</f>
        <v>52</v>
      </c>
      <c r="J138" s="137"/>
      <c r="M138" s="137"/>
    </row>
    <row r="139" spans="1:14">
      <c r="A139" s="281">
        <f t="shared" si="2"/>
        <v>9</v>
      </c>
      <c r="B139" s="416" t="str">
        <f>$L$12</f>
        <v>Team 9</v>
      </c>
      <c r="C139" s="280" t="str">
        <f t="array" ref="C139">IFERROR(INDEX([1]Sheet1!$D$2:$D$113,MATCH(1,($B139= [1]Sheet1!$C$2:$C$113)*($A139=[1]Sheet1!$B$2:$B$113),0)),INDEX([1]Sheet1!$C$2:$C$113,MATCH(1,($B139= [1]Sheet1!$D$2:$D$113)*($A139=[1]Sheet1!$B$2:$B$113),0)))</f>
        <v>Team 13</v>
      </c>
      <c r="D139" s="309">
        <f t="array" ref="D139">IFERROR(INDEX([1]Sheet1!$E$2:$E$113,MATCH(1,($B139= [1]Sheet1!$C$2:$C$113)*($A139=[1]Sheet1!$B$2:$B$113),0)),INDEX([1]Sheet1!$F$2:$F$113,MATCH(1,($B139= [1]Sheet1!$D$2:$D$113)*($A139=[1]Sheet1!$B$2:$B$113),0)))</f>
        <v>117.03</v>
      </c>
      <c r="E139" s="309">
        <f t="array" ref="E139">IF($A139&gt;Standings!$Q$27,"",INDEX($D$3:$D$226,(MATCH(1,($B$3:$B$226=$C139)*($A$3:$A$226=$A139),0))))</f>
        <v>90.79</v>
      </c>
      <c r="F139" s="310">
        <f>IF(A139&gt;Standings!$Q$27,"",IFERROR(VLOOKUP($B139,'[2]Week 9 '!B$2:C$17,2,0),"No FAAB Entered"))</f>
        <v>47</v>
      </c>
      <c r="G139" s="310">
        <f>IF(A139&gt;Standings!$Q$27,"",H139-I139)</f>
        <v>0</v>
      </c>
      <c r="H139" s="310">
        <f>IF(A139&gt;Standings!$Q$27,"",I123)</f>
        <v>53</v>
      </c>
      <c r="I139" s="311">
        <f>IF(A139&gt;Standings!$Q$27,"",100-F139)</f>
        <v>53</v>
      </c>
      <c r="J139" s="137"/>
      <c r="M139" s="137"/>
    </row>
    <row r="140" spans="1:14">
      <c r="A140" s="281">
        <f t="shared" si="2"/>
        <v>9</v>
      </c>
      <c r="B140" s="416" t="str">
        <f>$L$13</f>
        <v>Team 10</v>
      </c>
      <c r="C140" s="280" t="str">
        <f t="array" ref="C140">IFERROR(INDEX([1]Sheet1!$D$2:$D$113,MATCH(1,($B140= [1]Sheet1!$C$2:$C$113)*($A140=[1]Sheet1!$B$2:$B$113),0)),INDEX([1]Sheet1!$C$2:$C$113,MATCH(1,($B140= [1]Sheet1!$D$2:$D$113)*($A140=[1]Sheet1!$B$2:$B$113),0)))</f>
        <v>Team 6</v>
      </c>
      <c r="D140" s="309">
        <f t="array" ref="D140">IFERROR(INDEX([1]Sheet1!$E$2:$E$113,MATCH(1,($B140= [1]Sheet1!$C$2:$C$113)*($A140=[1]Sheet1!$B$2:$B$113),0)),INDEX([1]Sheet1!$F$2:$F$113,MATCH(1,($B140= [1]Sheet1!$D$2:$D$113)*($A140=[1]Sheet1!$B$2:$B$113),0)))</f>
        <v>117.32</v>
      </c>
      <c r="E140" s="309">
        <f t="array" ref="E140">IF($A140&gt;Standings!$Q$27,"",INDEX($D$3:$D$226,(MATCH(1,($B$3:$B$226=$C140)*($A$3:$A$226=$A140),0))))</f>
        <v>73.540000000000006</v>
      </c>
      <c r="F140" s="310">
        <f>IF(A140&gt;Standings!$Q$27,"",IFERROR(VLOOKUP($B140,'[2]Week 9 '!B$2:C$17,2,0),"No FAAB Entered"))</f>
        <v>73</v>
      </c>
      <c r="G140" s="310">
        <f>IF(A140&gt;Standings!$Q$27,"",H140-I140)</f>
        <v>0</v>
      </c>
      <c r="H140" s="310">
        <f>IF(A140&gt;Standings!$Q$27,"",I124)</f>
        <v>27</v>
      </c>
      <c r="I140" s="311">
        <f>IF(A140&gt;Standings!$Q$27,"",100-F140)</f>
        <v>27</v>
      </c>
      <c r="J140" s="137"/>
      <c r="M140" s="137"/>
    </row>
    <row r="141" spans="1:14">
      <c r="A141" s="281">
        <f t="shared" si="2"/>
        <v>9</v>
      </c>
      <c r="B141" s="416" t="str">
        <f>$L$14</f>
        <v>Team 11</v>
      </c>
      <c r="C141" s="280" t="str">
        <f t="array" ref="C141">IFERROR(INDEX([1]Sheet1!$D$2:$D$113,MATCH(1,($B141= [1]Sheet1!$C$2:$C$113)*($A141=[1]Sheet1!$B$2:$B$113),0)),INDEX([1]Sheet1!$C$2:$C$113,MATCH(1,($B141= [1]Sheet1!$D$2:$D$113)*($A141=[1]Sheet1!$B$2:$B$113),0)))</f>
        <v>Team 4</v>
      </c>
      <c r="D141" s="309">
        <f t="array" ref="D141">IFERROR(INDEX([1]Sheet1!$E$2:$E$113,MATCH(1,($B141= [1]Sheet1!$C$2:$C$113)*($A141=[1]Sheet1!$B$2:$B$113),0)),INDEX([1]Sheet1!$F$2:$F$113,MATCH(1,($B141= [1]Sheet1!$D$2:$D$113)*($A141=[1]Sheet1!$B$2:$B$113),0)))</f>
        <v>95.29</v>
      </c>
      <c r="E141" s="309">
        <f t="array" ref="E141">IF($A141&gt;Standings!$Q$27,"",INDEX($D$3:$D$226,(MATCH(1,($B$3:$B$226=$C141)*($A$3:$A$226=$A141),0))))</f>
        <v>56.32</v>
      </c>
      <c r="F141" s="310">
        <f>IF(A141&gt;Standings!$Q$27,"",IFERROR(VLOOKUP($B141,'[2]Week 9 '!B$2:C$17,2,0),"No FAAB Entered"))</f>
        <v>100</v>
      </c>
      <c r="G141" s="310">
        <f>IF(A141&gt;Standings!$Q$27,"",H141-I141)</f>
        <v>9</v>
      </c>
      <c r="H141" s="310">
        <f>IF(A141&gt;Standings!$Q$27,"",I125)</f>
        <v>9</v>
      </c>
      <c r="I141" s="311">
        <f>IF(A141&gt;Standings!$Q$27,"",100-F141)</f>
        <v>0</v>
      </c>
      <c r="J141" s="137"/>
      <c r="M141" s="137"/>
    </row>
    <row r="142" spans="1:14">
      <c r="A142" s="281">
        <f t="shared" si="2"/>
        <v>9</v>
      </c>
      <c r="B142" s="416" t="str">
        <f>$L$15</f>
        <v>Team 12</v>
      </c>
      <c r="C142" s="280" t="str">
        <f t="array" ref="C142">IFERROR(INDEX([1]Sheet1!$D$2:$D$113,MATCH(1,($B142= [1]Sheet1!$C$2:$C$113)*($A142=[1]Sheet1!$B$2:$B$113),0)),INDEX([1]Sheet1!$C$2:$C$113,MATCH(1,($B142= [1]Sheet1!$D$2:$D$113)*($A142=[1]Sheet1!$B$2:$B$113),0)))</f>
        <v>Team 3</v>
      </c>
      <c r="D142" s="309">
        <f t="array" ref="D142">IFERROR(INDEX([1]Sheet1!$E$2:$E$113,MATCH(1,($B142= [1]Sheet1!$C$2:$C$113)*($A142=[1]Sheet1!$B$2:$B$113),0)),INDEX([1]Sheet1!$F$2:$F$113,MATCH(1,($B142= [1]Sheet1!$D$2:$D$113)*($A142=[1]Sheet1!$B$2:$B$113),0)))</f>
        <v>87.25</v>
      </c>
      <c r="E142" s="309">
        <f t="array" ref="E142">IF($A142&gt;Standings!$Q$27,"",INDEX($D$3:$D$226,(MATCH(1,($B$3:$B$226=$C142)*($A$3:$A$226=$A142),0))))</f>
        <v>87.41</v>
      </c>
      <c r="F142" s="310">
        <f>IF(A142&gt;Standings!$Q$27,"",IFERROR(VLOOKUP($B142,'[2]Week 9 '!B$2:C$17,2,0),"No FAAB Entered"))</f>
        <v>62</v>
      </c>
      <c r="G142" s="310">
        <f>IF(A142&gt;Standings!$Q$27,"",H142-I142)</f>
        <v>0</v>
      </c>
      <c r="H142" s="310">
        <f>IF(A142&gt;Standings!$Q$27,"",I126)</f>
        <v>38</v>
      </c>
      <c r="I142" s="311">
        <f>IF(A142&gt;Standings!$Q$27,"",100-F142)</f>
        <v>38</v>
      </c>
      <c r="J142" s="137"/>
      <c r="M142" s="137"/>
    </row>
    <row r="143" spans="1:14">
      <c r="A143" s="281">
        <f t="shared" si="2"/>
        <v>9</v>
      </c>
      <c r="B143" s="416" t="str">
        <f>$L$16</f>
        <v>Team 13</v>
      </c>
      <c r="C143" s="280" t="str">
        <f t="array" ref="C143">IFERROR(INDEX([1]Sheet1!$D$2:$D$113,MATCH(1,($B143= [1]Sheet1!$C$2:$C$113)*($A143=[1]Sheet1!$B$2:$B$113),0)),INDEX([1]Sheet1!$C$2:$C$113,MATCH(1,($B143= [1]Sheet1!$D$2:$D$113)*($A143=[1]Sheet1!$B$2:$B$113),0)))</f>
        <v>Team 9</v>
      </c>
      <c r="D143" s="309">
        <f t="array" ref="D143">IFERROR(INDEX([1]Sheet1!$E$2:$E$113,MATCH(1,($B143= [1]Sheet1!$C$2:$C$113)*($A143=[1]Sheet1!$B$2:$B$113),0)),INDEX([1]Sheet1!$F$2:$F$113,MATCH(1,($B143= [1]Sheet1!$D$2:$D$113)*($A143=[1]Sheet1!$B$2:$B$113),0)))</f>
        <v>90.79</v>
      </c>
      <c r="E143" s="309">
        <f t="array" ref="E143">IF($A143&gt;Standings!$Q$27,"",INDEX($D$3:$D$226,(MATCH(1,($B$3:$B$226=$C143)*($A$3:$A$226=$A143),0))))</f>
        <v>117.03</v>
      </c>
      <c r="F143" s="310">
        <f>IF(A143&gt;Standings!$Q$27,"",IFERROR(VLOOKUP($B143,'[2]Week 9 '!B$2:C$17,2,0),"No FAAB Entered"))</f>
        <v>94</v>
      </c>
      <c r="G143" s="310">
        <f>IF(A143&gt;Standings!$Q$27,"",H143-I143)</f>
        <v>0</v>
      </c>
      <c r="H143" s="310">
        <f>IF(A143&gt;Standings!$Q$27,"",I127)</f>
        <v>6</v>
      </c>
      <c r="I143" s="311">
        <f>IF(A143&gt;Standings!$Q$27,"",100-F143)</f>
        <v>6</v>
      </c>
      <c r="J143" s="137"/>
      <c r="M143" s="137"/>
    </row>
    <row r="144" spans="1:14">
      <c r="A144" s="281">
        <f t="shared" si="2"/>
        <v>9</v>
      </c>
      <c r="B144" s="416" t="str">
        <f>$L$17</f>
        <v>Team 14</v>
      </c>
      <c r="C144" s="280" t="str">
        <f t="array" ref="C144">IFERROR(INDEX([1]Sheet1!$D$2:$D$113,MATCH(1,($B144= [1]Sheet1!$C$2:$C$113)*($A144=[1]Sheet1!$B$2:$B$113),0)),INDEX([1]Sheet1!$C$2:$C$113,MATCH(1,($B144= [1]Sheet1!$D$2:$D$113)*($A144=[1]Sheet1!$B$2:$B$113),0)))</f>
        <v>Team 15</v>
      </c>
      <c r="D144" s="309">
        <f t="array" ref="D144">IFERROR(INDEX([1]Sheet1!$E$2:$E$113,MATCH(1,($B144= [1]Sheet1!$C$2:$C$113)*($A144=[1]Sheet1!$B$2:$B$113),0)),INDEX([1]Sheet1!$F$2:$F$113,MATCH(1,($B144= [1]Sheet1!$D$2:$D$113)*($A144=[1]Sheet1!$B$2:$B$113),0)))</f>
        <v>135.29</v>
      </c>
      <c r="E144" s="309">
        <f t="array" ref="E144">IF($A144&gt;Standings!$Q$27,"",INDEX($D$3:$D$226,(MATCH(1,($B$3:$B$226=$C144)*($A$3:$A$226=$A144),0))))</f>
        <v>82.36</v>
      </c>
      <c r="F144" s="310">
        <f>IF(A144&gt;Standings!$Q$27,"",IFERROR(VLOOKUP($B144,'[2]Week 9 '!B$2:C$17,2,0),"No FAAB Entered"))</f>
        <v>5</v>
      </c>
      <c r="G144" s="310">
        <f>IF(A144&gt;Standings!$Q$27,"",H144-I144)</f>
        <v>0</v>
      </c>
      <c r="H144" s="310">
        <f>IF(A144&gt;Standings!$Q$27,"",I128)</f>
        <v>95</v>
      </c>
      <c r="I144" s="311">
        <f>IF(A144&gt;Standings!$Q$27,"",100-F144)</f>
        <v>95</v>
      </c>
      <c r="J144" s="137"/>
      <c r="M144" s="137"/>
    </row>
    <row r="145" spans="1:13">
      <c r="A145" s="281">
        <f t="shared" si="2"/>
        <v>9</v>
      </c>
      <c r="B145" s="416" t="str">
        <f>$L$18</f>
        <v>Team 15</v>
      </c>
      <c r="C145" s="280" t="str">
        <f t="array" ref="C145">IFERROR(INDEX([1]Sheet1!$D$2:$D$113,MATCH(1,($B145= [1]Sheet1!$C$2:$C$113)*($A145=[1]Sheet1!$B$2:$B$113),0)),INDEX([1]Sheet1!$C$2:$C$113,MATCH(1,($B145= [1]Sheet1!$D$2:$D$113)*($A145=[1]Sheet1!$B$2:$B$113),0)))</f>
        <v>Team 14</v>
      </c>
      <c r="D145" s="309">
        <f t="array" ref="D145">IFERROR(INDEX([1]Sheet1!$E$2:$E$113,MATCH(1,($B145= [1]Sheet1!$C$2:$C$113)*($A145=[1]Sheet1!$B$2:$B$113),0)),INDEX([1]Sheet1!$F$2:$F$113,MATCH(1,($B145= [1]Sheet1!$D$2:$D$113)*($A145=[1]Sheet1!$B$2:$B$113),0)))</f>
        <v>82.36</v>
      </c>
      <c r="E145" s="309">
        <f t="array" ref="E145">IF($A145&gt;Standings!$Q$27,"",INDEX($D$3:$D$226,(MATCH(1,($B$3:$B$226=$C145)*($A$3:$A$226=$A145),0))))</f>
        <v>135.29</v>
      </c>
      <c r="F145" s="310">
        <f>IF(A145&gt;Standings!$Q$27,"",IFERROR(VLOOKUP($B145,'[2]Week 9 '!B$2:C$17,2,0),"No FAAB Entered"))</f>
        <v>79</v>
      </c>
      <c r="G145" s="310">
        <f>IF(A145&gt;Standings!$Q$27,"",H145-I145)</f>
        <v>19</v>
      </c>
      <c r="H145" s="310">
        <f>IF(A145&gt;Standings!$Q$27,"",I129)</f>
        <v>40</v>
      </c>
      <c r="I145" s="311">
        <f>IF(A145&gt;Standings!$Q$27,"",100-F145)</f>
        <v>21</v>
      </c>
      <c r="J145" s="137"/>
      <c r="M145" s="137"/>
    </row>
    <row r="146" spans="1:13" ht="16" thickBot="1">
      <c r="A146" s="283">
        <f t="shared" si="2"/>
        <v>9</v>
      </c>
      <c r="B146" s="417" t="str">
        <f>$L$19</f>
        <v>Team 16</v>
      </c>
      <c r="C146" s="282" t="str">
        <f t="array" ref="C146">IFERROR(INDEX([1]Sheet1!$D$2:$D$113,MATCH(1,($B146= [1]Sheet1!$C$2:$C$113)*($A146=[1]Sheet1!$B$2:$B$113),0)),INDEX([1]Sheet1!$C$2:$C$113,MATCH(1,($B146= [1]Sheet1!$D$2:$D$113)*($A146=[1]Sheet1!$B$2:$B$113),0)))</f>
        <v>Team 5</v>
      </c>
      <c r="D146" s="312">
        <f t="array" ref="D146">IFERROR(INDEX([1]Sheet1!$E$2:$E$113,MATCH(1,($B146= [1]Sheet1!$C$2:$C$113)*($A146=[1]Sheet1!$B$2:$B$113),0)),INDEX([1]Sheet1!$F$2:$F$113,MATCH(1,($B146= [1]Sheet1!$D$2:$D$113)*($A146=[1]Sheet1!$B$2:$B$113),0)))</f>
        <v>87.91</v>
      </c>
      <c r="E146" s="312">
        <f t="array" ref="E146">IF($A146&gt;Standings!$Q$27,"",INDEX($D$3:$D$226,(MATCH(1,($B$3:$B$226=$C146)*($A$3:$A$226=$A146),0))))</f>
        <v>157.65</v>
      </c>
      <c r="F146" s="313">
        <f>IF(A146&gt;Standings!$Q$27,"",IFERROR(VLOOKUP($B146,'[2]Week 9 '!B$2:C$17,2,0),"No FAAB Entered"))</f>
        <v>100</v>
      </c>
      <c r="G146" s="313">
        <f>IF(A146&gt;Standings!$Q$27,"",H146-I146)</f>
        <v>0</v>
      </c>
      <c r="H146" s="313">
        <f>IF(A146&gt;Standings!$Q$27,"",I130)</f>
        <v>0</v>
      </c>
      <c r="I146" s="314">
        <f>IF(A146&gt;Standings!$Q$27,"",100-F146)</f>
        <v>0</v>
      </c>
      <c r="J146" s="137"/>
      <c r="M146" s="137"/>
    </row>
    <row r="147" spans="1:13">
      <c r="A147" s="277">
        <f t="shared" si="2"/>
        <v>10</v>
      </c>
      <c r="B147" s="414" t="str">
        <f>$L$4</f>
        <v>Team 1</v>
      </c>
      <c r="C147" s="276" t="str">
        <f t="array" ref="C147">IFERROR(INDEX([1]Sheet1!$D$2:$D$113,MATCH(1,($B147= [1]Sheet1!$C$2:$C$113)*($A147=[1]Sheet1!$B$2:$B$113),0)),INDEX([1]Sheet1!$C$2:$C$113,MATCH(1,($B147= [1]Sheet1!$D$2:$D$113)*($A147=[1]Sheet1!$B$2:$B$113),0)))</f>
        <v>Team 9</v>
      </c>
      <c r="D147" s="295">
        <f t="array" ref="D147">IFERROR(INDEX([1]Sheet1!$E$2:$E$113,MATCH(1,($B147= [1]Sheet1!$C$2:$C$113)*($A147=[1]Sheet1!$B$2:$B$113),0)),INDEX([1]Sheet1!$F$2:$F$113,MATCH(1,($B147= [1]Sheet1!$D$2:$D$113)*($A147=[1]Sheet1!$B$2:$B$113),0)))</f>
        <v>73.91</v>
      </c>
      <c r="E147" s="295">
        <f t="array" ref="E147">IF($A147&gt;Standings!$Q$27,"",INDEX($D$3:$D$226,(MATCH(1,($B$3:$B$226=$C147)*($A$3:$A$226=$A147),0))))</f>
        <v>124.62</v>
      </c>
      <c r="F147" s="296">
        <f>IF(A147&gt;Standings!$Q$27,"",IFERROR(VLOOKUP($B147,'[2]Week 10 '!B$2:C$17,2,0),"No FAAB Entered"))</f>
        <v>85</v>
      </c>
      <c r="G147" s="296">
        <f>IF(A147&gt;Standings!$Q$27,"",H147-I147)</f>
        <v>0</v>
      </c>
      <c r="H147" s="296">
        <f>IF(A147&gt;Standings!$Q$27,"",I131)</f>
        <v>15</v>
      </c>
      <c r="I147" s="297">
        <f>IF(A147&gt;Standings!$Q$27,"",100-F147)</f>
        <v>15</v>
      </c>
      <c r="J147" s="137"/>
      <c r="M147" s="137"/>
    </row>
    <row r="148" spans="1:13">
      <c r="A148" s="279">
        <f t="shared" ref="A148:A226" si="3">A132+1</f>
        <v>10</v>
      </c>
      <c r="B148" s="415" t="str">
        <f>$L$5</f>
        <v>Team 2</v>
      </c>
      <c r="C148" s="278" t="str">
        <f t="array" ref="C148">IFERROR(INDEX([1]Sheet1!$D$2:$D$113,MATCH(1,($B148= [1]Sheet1!$C$2:$C$113)*($A148=[1]Sheet1!$B$2:$B$113),0)),INDEX([1]Sheet1!$C$2:$C$113,MATCH(1,($B148= [1]Sheet1!$D$2:$D$113)*($A148=[1]Sheet1!$B$2:$B$113),0)))</f>
        <v>Team 13</v>
      </c>
      <c r="D148" s="302">
        <f t="array" ref="D148">IFERROR(INDEX([1]Sheet1!$E$2:$E$113,MATCH(1,($B148= [1]Sheet1!$C$2:$C$113)*($A148=[1]Sheet1!$B$2:$B$113),0)),INDEX([1]Sheet1!$F$2:$F$113,MATCH(1,($B148= [1]Sheet1!$D$2:$D$113)*($A148=[1]Sheet1!$B$2:$B$113),0)))</f>
        <v>72.900000000000006</v>
      </c>
      <c r="E148" s="302">
        <f t="array" ref="E148">IF($A148&gt;Standings!$Q$27,"",INDEX($D$3:$D$226,(MATCH(1,($B$3:$B$226=$C148)*($A$3:$A$226=$A148),0))))</f>
        <v>85.59</v>
      </c>
      <c r="F148" s="303">
        <f>IF(A148&gt;Standings!$Q$27,"",IFERROR(VLOOKUP($B148,'[2]Week 10 '!B$2:C$17,2,0),"No FAAB Entered"))</f>
        <v>88</v>
      </c>
      <c r="G148" s="303">
        <f>IF(A148&gt;Standings!$Q$27,"",H148-I148)</f>
        <v>6</v>
      </c>
      <c r="H148" s="303">
        <f>IF(A148&gt;Standings!$Q$27,"",I132)</f>
        <v>18</v>
      </c>
      <c r="I148" s="304">
        <f>IF(A148&gt;Standings!$Q$27,"",100-F148)</f>
        <v>12</v>
      </c>
      <c r="J148" s="137"/>
      <c r="M148" s="137"/>
    </row>
    <row r="149" spans="1:13">
      <c r="A149" s="279">
        <f t="shared" si="3"/>
        <v>10</v>
      </c>
      <c r="B149" s="415" t="str">
        <f>$L$6</f>
        <v>Team 3</v>
      </c>
      <c r="C149" s="278" t="str">
        <f t="array" ref="C149">IFERROR(INDEX([1]Sheet1!$D$2:$D$113,MATCH(1,($B149= [1]Sheet1!$C$2:$C$113)*($A149=[1]Sheet1!$B$2:$B$113),0)),INDEX([1]Sheet1!$C$2:$C$113,MATCH(1,($B149= [1]Sheet1!$D$2:$D$113)*($A149=[1]Sheet1!$B$2:$B$113),0)))</f>
        <v>Team 5</v>
      </c>
      <c r="D149" s="302">
        <f t="array" ref="D149">IFERROR(INDEX([1]Sheet1!$E$2:$E$113,MATCH(1,($B149= [1]Sheet1!$C$2:$C$113)*($A149=[1]Sheet1!$B$2:$B$113),0)),INDEX([1]Sheet1!$F$2:$F$113,MATCH(1,($B149= [1]Sheet1!$D$2:$D$113)*($A149=[1]Sheet1!$B$2:$B$113),0)))</f>
        <v>71.05</v>
      </c>
      <c r="E149" s="302">
        <f t="array" ref="E149">IF($A149&gt;Standings!$Q$27,"",INDEX($D$3:$D$226,(MATCH(1,($B$3:$B$226=$C149)*($A$3:$A$226=$A149),0))))</f>
        <v>112.46</v>
      </c>
      <c r="F149" s="303">
        <f>IF(A149&gt;Standings!$Q$27,"",IFERROR(VLOOKUP($B149,'[2]Week 10 '!B$2:C$17,2,0),"No FAAB Entered"))</f>
        <v>68</v>
      </c>
      <c r="G149" s="303">
        <f>IF(A149&gt;Standings!$Q$27,"",H149-I149)</f>
        <v>0</v>
      </c>
      <c r="H149" s="303">
        <f>IF(A149&gt;Standings!$Q$27,"",I133)</f>
        <v>32</v>
      </c>
      <c r="I149" s="304">
        <f>IF(A149&gt;Standings!$Q$27,"",100-F149)</f>
        <v>32</v>
      </c>
      <c r="J149" s="137"/>
      <c r="M149" s="137"/>
    </row>
    <row r="150" spans="1:13">
      <c r="A150" s="279">
        <f t="shared" si="3"/>
        <v>10</v>
      </c>
      <c r="B150" s="415" t="str">
        <f>$L$7</f>
        <v>Team 4</v>
      </c>
      <c r="C150" s="278" t="str">
        <f t="array" ref="C150">IFERROR(INDEX([1]Sheet1!$D$2:$D$113,MATCH(1,($B150= [1]Sheet1!$C$2:$C$113)*($A150=[1]Sheet1!$B$2:$B$113),0)),INDEX([1]Sheet1!$C$2:$C$113,MATCH(1,($B150= [1]Sheet1!$D$2:$D$113)*($A150=[1]Sheet1!$B$2:$B$113),0)))</f>
        <v>Team 7</v>
      </c>
      <c r="D150" s="302">
        <f t="array" ref="D150">IFERROR(INDEX([1]Sheet1!$E$2:$E$113,MATCH(1,($B150= [1]Sheet1!$C$2:$C$113)*($A150=[1]Sheet1!$B$2:$B$113),0)),INDEX([1]Sheet1!$F$2:$F$113,MATCH(1,($B150= [1]Sheet1!$D$2:$D$113)*($A150=[1]Sheet1!$B$2:$B$113),0)))</f>
        <v>100.87</v>
      </c>
      <c r="E150" s="302">
        <f t="array" ref="E150">IF($A150&gt;Standings!$Q$27,"",INDEX($D$3:$D$226,(MATCH(1,($B$3:$B$226=$C150)*($A$3:$A$226=$A150),0))))</f>
        <v>104.01</v>
      </c>
      <c r="F150" s="303">
        <f>IF(A150&gt;Standings!$Q$27,"",IFERROR(VLOOKUP($B150,'[2]Week 10 '!B$2:C$17,2,0),"No FAAB Entered"))</f>
        <v>61</v>
      </c>
      <c r="G150" s="303">
        <f>IF(A150&gt;Standings!$Q$27,"",H150-I150)</f>
        <v>13</v>
      </c>
      <c r="H150" s="303">
        <f>IF(A150&gt;Standings!$Q$27,"",I134)</f>
        <v>52</v>
      </c>
      <c r="I150" s="304">
        <f>IF(A150&gt;Standings!$Q$27,"",100-F150)</f>
        <v>39</v>
      </c>
      <c r="J150" s="137"/>
      <c r="M150" s="137"/>
    </row>
    <row r="151" spans="1:13">
      <c r="A151" s="279">
        <f t="shared" si="3"/>
        <v>10</v>
      </c>
      <c r="B151" s="415" t="str">
        <f>$L$8</f>
        <v>Team 5</v>
      </c>
      <c r="C151" s="278" t="str">
        <f t="array" ref="C151">IFERROR(INDEX([1]Sheet1!$D$2:$D$113,MATCH(1,($B151= [1]Sheet1!$C$2:$C$113)*($A151=[1]Sheet1!$B$2:$B$113),0)),INDEX([1]Sheet1!$C$2:$C$113,MATCH(1,($B151= [1]Sheet1!$D$2:$D$113)*($A151=[1]Sheet1!$B$2:$B$113),0)))</f>
        <v>Team 3</v>
      </c>
      <c r="D151" s="302">
        <f t="array" ref="D151">IFERROR(INDEX([1]Sheet1!$E$2:$E$113,MATCH(1,($B151= [1]Sheet1!$C$2:$C$113)*($A151=[1]Sheet1!$B$2:$B$113),0)),INDEX([1]Sheet1!$F$2:$F$113,MATCH(1,($B151= [1]Sheet1!$D$2:$D$113)*($A151=[1]Sheet1!$B$2:$B$113),0)))</f>
        <v>112.46</v>
      </c>
      <c r="E151" s="302">
        <f t="array" ref="E151">IF($A151&gt;Standings!$Q$27,"",INDEX($D$3:$D$226,(MATCH(1,($B$3:$B$226=$C151)*($A$3:$A$226=$A151),0))))</f>
        <v>71.05</v>
      </c>
      <c r="F151" s="303">
        <f>IF(A151&gt;Standings!$Q$27,"",IFERROR(VLOOKUP($B151,'[2]Week 10 '!B$2:C$17,2,0),"No FAAB Entered"))</f>
        <v>100</v>
      </c>
      <c r="G151" s="303">
        <f>IF(A151&gt;Standings!$Q$27,"",H151-I151)</f>
        <v>0</v>
      </c>
      <c r="H151" s="303">
        <f>IF(A151&gt;Standings!$Q$27,"",I135)</f>
        <v>0</v>
      </c>
      <c r="I151" s="304">
        <f>IF(A151&gt;Standings!$Q$27,"",100-F151)</f>
        <v>0</v>
      </c>
      <c r="J151" s="137"/>
      <c r="M151" s="137"/>
    </row>
    <row r="152" spans="1:13">
      <c r="A152" s="279">
        <f t="shared" si="3"/>
        <v>10</v>
      </c>
      <c r="B152" s="415" t="str">
        <f>$L$9</f>
        <v>Team 6</v>
      </c>
      <c r="C152" s="278" t="str">
        <f t="array" ref="C152">IFERROR(INDEX([1]Sheet1!$D$2:$D$113,MATCH(1,($B152= [1]Sheet1!$C$2:$C$113)*($A152=[1]Sheet1!$B$2:$B$113),0)),INDEX([1]Sheet1!$C$2:$C$113,MATCH(1,($B152= [1]Sheet1!$D$2:$D$113)*($A152=[1]Sheet1!$B$2:$B$113),0)))</f>
        <v>Team 15</v>
      </c>
      <c r="D152" s="302">
        <f t="array" ref="D152">IFERROR(INDEX([1]Sheet1!$E$2:$E$113,MATCH(1,($B152= [1]Sheet1!$C$2:$C$113)*($A152=[1]Sheet1!$B$2:$B$113),0)),INDEX([1]Sheet1!$F$2:$F$113,MATCH(1,($B152= [1]Sheet1!$D$2:$D$113)*($A152=[1]Sheet1!$B$2:$B$113),0)))</f>
        <v>128.55000000000001</v>
      </c>
      <c r="E152" s="302">
        <f t="array" ref="E152">IF($A152&gt;Standings!$Q$27,"",INDEX($D$3:$D$226,(MATCH(1,($B$3:$B$226=$C152)*($A$3:$A$226=$A152),0))))</f>
        <v>103.51</v>
      </c>
      <c r="F152" s="303">
        <f>IF(A152&gt;Standings!$Q$27,"",IFERROR(VLOOKUP($B152,'[2]Week 10 '!B$2:C$17,2,0),"No FAAB Entered"))</f>
        <v>64</v>
      </c>
      <c r="G152" s="303">
        <f>IF(A152&gt;Standings!$Q$27,"",H152-I152)</f>
        <v>0</v>
      </c>
      <c r="H152" s="303">
        <f>IF(A152&gt;Standings!$Q$27,"",I136)</f>
        <v>36</v>
      </c>
      <c r="I152" s="304">
        <f>IF(A152&gt;Standings!$Q$27,"",100-F152)</f>
        <v>36</v>
      </c>
      <c r="J152" s="315"/>
      <c r="M152" s="137"/>
    </row>
    <row r="153" spans="1:13">
      <c r="A153" s="279">
        <f t="shared" si="3"/>
        <v>10</v>
      </c>
      <c r="B153" s="415" t="str">
        <f>$L$10</f>
        <v>Team 7</v>
      </c>
      <c r="C153" s="278" t="str">
        <f t="array" ref="C153">IFERROR(INDEX([1]Sheet1!$D$2:$D$113,MATCH(1,($B153= [1]Sheet1!$C$2:$C$113)*($A153=[1]Sheet1!$B$2:$B$113),0)),INDEX([1]Sheet1!$C$2:$C$113,MATCH(1,($B153= [1]Sheet1!$D$2:$D$113)*($A153=[1]Sheet1!$B$2:$B$113),0)))</f>
        <v>Team 4</v>
      </c>
      <c r="D153" s="302">
        <f t="array" ref="D153">IFERROR(INDEX([1]Sheet1!$E$2:$E$113,MATCH(1,($B153= [1]Sheet1!$C$2:$C$113)*($A153=[1]Sheet1!$B$2:$B$113),0)),INDEX([1]Sheet1!$F$2:$F$113,MATCH(1,($B153= [1]Sheet1!$D$2:$D$113)*($A153=[1]Sheet1!$B$2:$B$113),0)))</f>
        <v>104.01</v>
      </c>
      <c r="E153" s="302">
        <f t="array" ref="E153">IF($A153&gt;Standings!$Q$27,"",INDEX($D$3:$D$226,(MATCH(1,($B$3:$B$226=$C153)*($A$3:$A$226=$A153),0))))</f>
        <v>100.87</v>
      </c>
      <c r="F153" s="303">
        <f>IF(A153&gt;Standings!$Q$27,"",IFERROR(VLOOKUP($B153,'[2]Week 10 '!B$2:C$17,2,0),"No FAAB Entered"))</f>
        <v>0</v>
      </c>
      <c r="G153" s="303">
        <f>IF(A153&gt;Standings!$Q$27,"",H153-I153)</f>
        <v>0</v>
      </c>
      <c r="H153" s="303">
        <f>IF(A153&gt;Standings!$Q$27,"",I137)</f>
        <v>100</v>
      </c>
      <c r="I153" s="304">
        <f>IF(A153&gt;Standings!$Q$27,"",100-F153)</f>
        <v>100</v>
      </c>
      <c r="J153" s="327"/>
      <c r="M153" s="137"/>
    </row>
    <row r="154" spans="1:13">
      <c r="A154" s="279">
        <f t="shared" si="3"/>
        <v>10</v>
      </c>
      <c r="B154" s="415" t="str">
        <f>$L$11</f>
        <v>Team 8</v>
      </c>
      <c r="C154" s="278" t="str">
        <f t="array" ref="C154">IFERROR(INDEX([1]Sheet1!$D$2:$D$113,MATCH(1,($B154= [1]Sheet1!$C$2:$C$113)*($A154=[1]Sheet1!$B$2:$B$113),0)),INDEX([1]Sheet1!$C$2:$C$113,MATCH(1,($B154= [1]Sheet1!$D$2:$D$113)*($A154=[1]Sheet1!$B$2:$B$113),0)))</f>
        <v>Team 11</v>
      </c>
      <c r="D154" s="302">
        <f t="array" ref="D154">IFERROR(INDEX([1]Sheet1!$E$2:$E$113,MATCH(1,($B154= [1]Sheet1!$C$2:$C$113)*($A154=[1]Sheet1!$B$2:$B$113),0)),INDEX([1]Sheet1!$F$2:$F$113,MATCH(1,($B154= [1]Sheet1!$D$2:$D$113)*($A154=[1]Sheet1!$B$2:$B$113),0)))</f>
        <v>89.63</v>
      </c>
      <c r="E154" s="302">
        <f t="array" ref="E154">IF($A154&gt;Standings!$Q$27,"",INDEX($D$3:$D$226,(MATCH(1,($B$3:$B$226=$C154)*($A$3:$A$226=$A154),0))))</f>
        <v>75.64</v>
      </c>
      <c r="F154" s="303">
        <f>IF(A154&gt;Standings!$Q$27,"",IFERROR(VLOOKUP($B154,'[2]Week 10 '!B$2:C$17,2,0),"No FAAB Entered"))</f>
        <v>48</v>
      </c>
      <c r="G154" s="303">
        <f>IF(A154&gt;Standings!$Q$27,"",H154-I154)</f>
        <v>0</v>
      </c>
      <c r="H154" s="303">
        <f>IF(A154&gt;Standings!$Q$27,"",I138)</f>
        <v>52</v>
      </c>
      <c r="I154" s="304">
        <f>IF(A154&gt;Standings!$Q$27,"",100-F154)</f>
        <v>52</v>
      </c>
      <c r="J154" s="118"/>
      <c r="M154" s="137"/>
    </row>
    <row r="155" spans="1:13">
      <c r="A155" s="281">
        <f t="shared" si="3"/>
        <v>10</v>
      </c>
      <c r="B155" s="416" t="str">
        <f>$L$12</f>
        <v>Team 9</v>
      </c>
      <c r="C155" s="280" t="str">
        <f t="array" ref="C155">IFERROR(INDEX([1]Sheet1!$D$2:$D$113,MATCH(1,($B155= [1]Sheet1!$C$2:$C$113)*($A155=[1]Sheet1!$B$2:$B$113),0)),INDEX([1]Sheet1!$C$2:$C$113,MATCH(1,($B155= [1]Sheet1!$D$2:$D$113)*($A155=[1]Sheet1!$B$2:$B$113),0)))</f>
        <v>Team 1</v>
      </c>
      <c r="D155" s="309">
        <f t="array" ref="D155">IFERROR(INDEX([1]Sheet1!$E$2:$E$113,MATCH(1,($B155= [1]Sheet1!$C$2:$C$113)*($A155=[1]Sheet1!$B$2:$B$113),0)),INDEX([1]Sheet1!$F$2:$F$113,MATCH(1,($B155= [1]Sheet1!$D$2:$D$113)*($A155=[1]Sheet1!$B$2:$B$113),0)))</f>
        <v>124.62</v>
      </c>
      <c r="E155" s="309">
        <f t="array" ref="E155">IF($A155&gt;Standings!$Q$27,"",INDEX($D$3:$D$226,(MATCH(1,($B$3:$B$226=$C155)*($A$3:$A$226=$A155),0))))</f>
        <v>73.91</v>
      </c>
      <c r="F155" s="310">
        <f>IF(A155&gt;Standings!$Q$27,"",IFERROR(VLOOKUP($B155,'[2]Week 10 '!B$2:C$17,2,0),"No FAAB Entered"))</f>
        <v>47</v>
      </c>
      <c r="G155" s="310">
        <f>IF(A155&gt;Standings!$Q$27,"",H155-I155)</f>
        <v>0</v>
      </c>
      <c r="H155" s="310">
        <f>IF(A155&gt;Standings!$Q$27,"",I139)</f>
        <v>53</v>
      </c>
      <c r="I155" s="311">
        <f>IF(A155&gt;Standings!$Q$27,"",100-F155)</f>
        <v>53</v>
      </c>
      <c r="J155" s="137"/>
      <c r="M155" s="137"/>
    </row>
    <row r="156" spans="1:13">
      <c r="A156" s="281">
        <f t="shared" si="3"/>
        <v>10</v>
      </c>
      <c r="B156" s="416" t="str">
        <f>$L$13</f>
        <v>Team 10</v>
      </c>
      <c r="C156" s="280" t="str">
        <f t="array" ref="C156">IFERROR(INDEX([1]Sheet1!$D$2:$D$113,MATCH(1,($B156= [1]Sheet1!$C$2:$C$113)*($A156=[1]Sheet1!$B$2:$B$113),0)),INDEX([1]Sheet1!$C$2:$C$113,MATCH(1,($B156= [1]Sheet1!$D$2:$D$113)*($A156=[1]Sheet1!$B$2:$B$113),0)))</f>
        <v>Team 14</v>
      </c>
      <c r="D156" s="309">
        <f t="array" ref="D156">IFERROR(INDEX([1]Sheet1!$E$2:$E$113,MATCH(1,($B156= [1]Sheet1!$C$2:$C$113)*($A156=[1]Sheet1!$B$2:$B$113),0)),INDEX([1]Sheet1!$F$2:$F$113,MATCH(1,($B156= [1]Sheet1!$D$2:$D$113)*($A156=[1]Sheet1!$B$2:$B$113),0)))</f>
        <v>59.04</v>
      </c>
      <c r="E156" s="309">
        <f t="array" ref="E156">IF($A156&gt;Standings!$Q$27,"",INDEX($D$3:$D$226,(MATCH(1,($B$3:$B$226=$C156)*($A$3:$A$226=$A156),0))))</f>
        <v>128.22</v>
      </c>
      <c r="F156" s="310">
        <f>IF(A156&gt;Standings!$Q$27,"",IFERROR(VLOOKUP($B156,'[2]Week 10 '!B$2:C$17,2,0),"No FAAB Entered"))</f>
        <v>73</v>
      </c>
      <c r="G156" s="310">
        <f>IF(A156&gt;Standings!$Q$27,"",H156-I156)</f>
        <v>0</v>
      </c>
      <c r="H156" s="310">
        <f>IF(A156&gt;Standings!$Q$27,"",I140)</f>
        <v>27</v>
      </c>
      <c r="I156" s="311">
        <f>IF(A156&gt;Standings!$Q$27,"",100-F156)</f>
        <v>27</v>
      </c>
      <c r="J156" s="137"/>
      <c r="M156" s="137"/>
    </row>
    <row r="157" spans="1:13">
      <c r="A157" s="281">
        <f t="shared" si="3"/>
        <v>10</v>
      </c>
      <c r="B157" s="416" t="str">
        <f>$L$14</f>
        <v>Team 11</v>
      </c>
      <c r="C157" s="280" t="str">
        <f t="array" ref="C157">IFERROR(INDEX([1]Sheet1!$D$2:$D$113,MATCH(1,($B157= [1]Sheet1!$C$2:$C$113)*($A157=[1]Sheet1!$B$2:$B$113),0)),INDEX([1]Sheet1!$C$2:$C$113,MATCH(1,($B157= [1]Sheet1!$D$2:$D$113)*($A157=[1]Sheet1!$B$2:$B$113),0)))</f>
        <v>Team 8</v>
      </c>
      <c r="D157" s="309">
        <f t="array" ref="D157">IFERROR(INDEX([1]Sheet1!$E$2:$E$113,MATCH(1,($B157= [1]Sheet1!$C$2:$C$113)*($A157=[1]Sheet1!$B$2:$B$113),0)),INDEX([1]Sheet1!$F$2:$F$113,MATCH(1,($B157= [1]Sheet1!$D$2:$D$113)*($A157=[1]Sheet1!$B$2:$B$113),0)))</f>
        <v>75.64</v>
      </c>
      <c r="E157" s="309">
        <f t="array" ref="E157">IF($A157&gt;Standings!$Q$27,"",INDEX($D$3:$D$226,(MATCH(1,($B$3:$B$226=$C157)*($A$3:$A$226=$A157),0))))</f>
        <v>89.63</v>
      </c>
      <c r="F157" s="310">
        <f>IF(A157&gt;Standings!$Q$27,"",IFERROR(VLOOKUP($B157,'[2]Week 10 '!B$2:C$17,2,0),"No FAAB Entered"))</f>
        <v>100</v>
      </c>
      <c r="G157" s="310">
        <f>IF(A157&gt;Standings!$Q$27,"",H157-I157)</f>
        <v>0</v>
      </c>
      <c r="H157" s="310">
        <f>IF(A157&gt;Standings!$Q$27,"",I141)</f>
        <v>0</v>
      </c>
      <c r="I157" s="311">
        <f>IF(A157&gt;Standings!$Q$27,"",100-F157)</f>
        <v>0</v>
      </c>
      <c r="J157" s="137"/>
      <c r="M157" s="137"/>
    </row>
    <row r="158" spans="1:13">
      <c r="A158" s="281">
        <f t="shared" si="3"/>
        <v>10</v>
      </c>
      <c r="B158" s="416" t="str">
        <f>$L$15</f>
        <v>Team 12</v>
      </c>
      <c r="C158" s="280" t="str">
        <f t="array" ref="C158">IFERROR(INDEX([1]Sheet1!$D$2:$D$113,MATCH(1,($B158= [1]Sheet1!$C$2:$C$113)*($A158=[1]Sheet1!$B$2:$B$113),0)),INDEX([1]Sheet1!$C$2:$C$113,MATCH(1,($B158= [1]Sheet1!$D$2:$D$113)*($A158=[1]Sheet1!$B$2:$B$113),0)))</f>
        <v>Team 16</v>
      </c>
      <c r="D158" s="309">
        <f t="array" ref="D158">IFERROR(INDEX([1]Sheet1!$E$2:$E$113,MATCH(1,($B158= [1]Sheet1!$C$2:$C$113)*($A158=[1]Sheet1!$B$2:$B$113),0)),INDEX([1]Sheet1!$F$2:$F$113,MATCH(1,($B158= [1]Sheet1!$D$2:$D$113)*($A158=[1]Sheet1!$B$2:$B$113),0)))</f>
        <v>77.27</v>
      </c>
      <c r="E158" s="309">
        <f t="array" ref="E158">IF($A158&gt;Standings!$Q$27,"",INDEX($D$3:$D$226,(MATCH(1,($B$3:$B$226=$C158)*($A$3:$A$226=$A158),0))))</f>
        <v>83.44</v>
      </c>
      <c r="F158" s="310">
        <f>IF(A158&gt;Standings!$Q$27,"",IFERROR(VLOOKUP($B158,'[2]Week 10 '!B$2:C$17,2,0),"No FAAB Entered"))</f>
        <v>62</v>
      </c>
      <c r="G158" s="310">
        <f>IF(A158&gt;Standings!$Q$27,"",H158-I158)</f>
        <v>0</v>
      </c>
      <c r="H158" s="310">
        <f>IF(A158&gt;Standings!$Q$27,"",I142)</f>
        <v>38</v>
      </c>
      <c r="I158" s="311">
        <f>IF(A158&gt;Standings!$Q$27,"",100-F158)</f>
        <v>38</v>
      </c>
      <c r="J158" s="137"/>
      <c r="M158" s="137"/>
    </row>
    <row r="159" spans="1:13">
      <c r="A159" s="281">
        <f t="shared" si="3"/>
        <v>10</v>
      </c>
      <c r="B159" s="416" t="str">
        <f>$L$16</f>
        <v>Team 13</v>
      </c>
      <c r="C159" s="280" t="str">
        <f t="array" ref="C159">IFERROR(INDEX([1]Sheet1!$D$2:$D$113,MATCH(1,($B159= [1]Sheet1!$C$2:$C$113)*($A159=[1]Sheet1!$B$2:$B$113),0)),INDEX([1]Sheet1!$C$2:$C$113,MATCH(1,($B159= [1]Sheet1!$D$2:$D$113)*($A159=[1]Sheet1!$B$2:$B$113),0)))</f>
        <v>Team 2</v>
      </c>
      <c r="D159" s="309">
        <f t="array" ref="D159">IFERROR(INDEX([1]Sheet1!$E$2:$E$113,MATCH(1,($B159= [1]Sheet1!$C$2:$C$113)*($A159=[1]Sheet1!$B$2:$B$113),0)),INDEX([1]Sheet1!$F$2:$F$113,MATCH(1,($B159= [1]Sheet1!$D$2:$D$113)*($A159=[1]Sheet1!$B$2:$B$113),0)))</f>
        <v>85.59</v>
      </c>
      <c r="E159" s="309">
        <f t="array" ref="E159">IF($A159&gt;Standings!$Q$27,"",INDEX($D$3:$D$226,(MATCH(1,($B$3:$B$226=$C159)*($A$3:$A$226=$A159),0))))</f>
        <v>72.900000000000006</v>
      </c>
      <c r="F159" s="310">
        <f>IF(A159&gt;Standings!$Q$27,"",IFERROR(VLOOKUP($B159,'[2]Week 10 '!B$2:C$17,2,0),"No FAAB Entered"))</f>
        <v>95</v>
      </c>
      <c r="G159" s="310">
        <f>IF(A159&gt;Standings!$Q$27,"",H159-I159)</f>
        <v>1</v>
      </c>
      <c r="H159" s="310">
        <f>IF(A159&gt;Standings!$Q$27,"",I143)</f>
        <v>6</v>
      </c>
      <c r="I159" s="311">
        <f>IF(A159&gt;Standings!$Q$27,"",100-F159)</f>
        <v>5</v>
      </c>
      <c r="J159" s="137"/>
      <c r="M159" s="137"/>
    </row>
    <row r="160" spans="1:13">
      <c r="A160" s="281">
        <f t="shared" si="3"/>
        <v>10</v>
      </c>
      <c r="B160" s="416" t="str">
        <f>$L$17</f>
        <v>Team 14</v>
      </c>
      <c r="C160" s="280" t="str">
        <f t="array" ref="C160">IFERROR(INDEX([1]Sheet1!$D$2:$D$113,MATCH(1,($B160= [1]Sheet1!$C$2:$C$113)*($A160=[1]Sheet1!$B$2:$B$113),0)),INDEX([1]Sheet1!$C$2:$C$113,MATCH(1,($B160= [1]Sheet1!$D$2:$D$113)*($A160=[1]Sheet1!$B$2:$B$113),0)))</f>
        <v>Team 10</v>
      </c>
      <c r="D160" s="309">
        <f t="array" ref="D160">IFERROR(INDEX([1]Sheet1!$E$2:$E$113,MATCH(1,($B160= [1]Sheet1!$C$2:$C$113)*($A160=[1]Sheet1!$B$2:$B$113),0)),INDEX([1]Sheet1!$F$2:$F$113,MATCH(1,($B160= [1]Sheet1!$D$2:$D$113)*($A160=[1]Sheet1!$B$2:$B$113),0)))</f>
        <v>128.22</v>
      </c>
      <c r="E160" s="309">
        <f t="array" ref="E160">IF($A160&gt;Standings!$Q$27,"",INDEX($D$3:$D$226,(MATCH(1,($B$3:$B$226=$C160)*($A$3:$A$226=$A160),0))))</f>
        <v>59.04</v>
      </c>
      <c r="F160" s="310">
        <f>IF(A160&gt;Standings!$Q$27,"",IFERROR(VLOOKUP($B160,'[2]Week 10 '!B$2:C$17,2,0),"No FAAB Entered"))</f>
        <v>5</v>
      </c>
      <c r="G160" s="310">
        <f>IF(A160&gt;Standings!$Q$27,"",H160-I160)</f>
        <v>0</v>
      </c>
      <c r="H160" s="310">
        <f>IF(A160&gt;Standings!$Q$27,"",I144)</f>
        <v>95</v>
      </c>
      <c r="I160" s="311">
        <f>IF(A160&gt;Standings!$Q$27,"",100-F160)</f>
        <v>95</v>
      </c>
      <c r="J160" s="137"/>
      <c r="M160" s="137"/>
    </row>
    <row r="161" spans="1:13">
      <c r="A161" s="281">
        <f t="shared" si="3"/>
        <v>10</v>
      </c>
      <c r="B161" s="416" t="str">
        <f>$L$18</f>
        <v>Team 15</v>
      </c>
      <c r="C161" s="280" t="str">
        <f t="array" ref="C161">IFERROR(INDEX([1]Sheet1!$D$2:$D$113,MATCH(1,($B161= [1]Sheet1!$C$2:$C$113)*($A161=[1]Sheet1!$B$2:$B$113),0)),INDEX([1]Sheet1!$C$2:$C$113,MATCH(1,($B161= [1]Sheet1!$D$2:$D$113)*($A161=[1]Sheet1!$B$2:$B$113),0)))</f>
        <v>Team 6</v>
      </c>
      <c r="D161" s="309">
        <f t="array" ref="D161">IFERROR(INDEX([1]Sheet1!$E$2:$E$113,MATCH(1,($B161= [1]Sheet1!$C$2:$C$113)*($A161=[1]Sheet1!$B$2:$B$113),0)),INDEX([1]Sheet1!$F$2:$F$113,MATCH(1,($B161= [1]Sheet1!$D$2:$D$113)*($A161=[1]Sheet1!$B$2:$B$113),0)))</f>
        <v>103.51</v>
      </c>
      <c r="E161" s="309">
        <f t="array" ref="E161">IF($A161&gt;Standings!$Q$27,"",INDEX($D$3:$D$226,(MATCH(1,($B$3:$B$226=$C161)*($A$3:$A$226=$A161),0))))</f>
        <v>128.55000000000001</v>
      </c>
      <c r="F161" s="310">
        <f>IF(A161&gt;Standings!$Q$27,"",IFERROR(VLOOKUP($B161,'[2]Week 10 '!B$2:C$17,2,0),"No FAAB Entered"))</f>
        <v>91</v>
      </c>
      <c r="G161" s="310">
        <f>IF(A161&gt;Standings!$Q$27,"",H161-I161)</f>
        <v>12</v>
      </c>
      <c r="H161" s="310">
        <f>IF(A161&gt;Standings!$Q$27,"",I145)</f>
        <v>21</v>
      </c>
      <c r="I161" s="311">
        <f>IF(A161&gt;Standings!$Q$27,"",100-F161)</f>
        <v>9</v>
      </c>
      <c r="J161" s="137"/>
      <c r="M161" s="137"/>
    </row>
    <row r="162" spans="1:13" ht="16" thickBot="1">
      <c r="A162" s="283">
        <f t="shared" si="3"/>
        <v>10</v>
      </c>
      <c r="B162" s="417" t="str">
        <f>$L$19</f>
        <v>Team 16</v>
      </c>
      <c r="C162" s="282" t="str">
        <f t="array" ref="C162">IFERROR(INDEX([1]Sheet1!$D$2:$D$113,MATCH(1,($B162= [1]Sheet1!$C$2:$C$113)*($A162=[1]Sheet1!$B$2:$B$113),0)),INDEX([1]Sheet1!$C$2:$C$113,MATCH(1,($B162= [1]Sheet1!$D$2:$D$113)*($A162=[1]Sheet1!$B$2:$B$113),0)))</f>
        <v>Team 12</v>
      </c>
      <c r="D162" s="312">
        <f t="array" ref="D162">IFERROR(INDEX([1]Sheet1!$E$2:$E$113,MATCH(1,($B162= [1]Sheet1!$C$2:$C$113)*($A162=[1]Sheet1!$B$2:$B$113),0)),INDEX([1]Sheet1!$F$2:$F$113,MATCH(1,($B162= [1]Sheet1!$D$2:$D$113)*($A162=[1]Sheet1!$B$2:$B$113),0)))</f>
        <v>83.44</v>
      </c>
      <c r="E162" s="312">
        <f t="array" ref="E162">IF($A162&gt;Standings!$Q$27,"",INDEX($D$3:$D$226,(MATCH(1,($B$3:$B$226=$C162)*($A$3:$A$226=$A162),0))))</f>
        <v>77.27</v>
      </c>
      <c r="F162" s="313">
        <f>IF(A162&gt;Standings!$Q$27,"",IFERROR(VLOOKUP($B162,'[2]Week 10 '!B$2:C$17,2,0),"No FAAB Entered"))</f>
        <v>100</v>
      </c>
      <c r="G162" s="313">
        <f>IF(A162&gt;Standings!$Q$27,"",H162-I162)</f>
        <v>0</v>
      </c>
      <c r="H162" s="313">
        <f>IF(A162&gt;Standings!$Q$27,"",I146)</f>
        <v>0</v>
      </c>
      <c r="I162" s="314">
        <f>IF(A162&gt;Standings!$Q$27,"",100-F162)</f>
        <v>0</v>
      </c>
      <c r="J162" s="137"/>
      <c r="M162" s="137"/>
    </row>
    <row r="163" spans="1:13">
      <c r="A163" s="277">
        <f t="shared" si="3"/>
        <v>11</v>
      </c>
      <c r="B163" s="414" t="str">
        <f>$L$4</f>
        <v>Team 1</v>
      </c>
      <c r="C163" s="276" t="str">
        <f t="array" ref="C163">IFERROR(INDEX([1]Sheet1!$D$2:$D$113,MATCH(1,($B163= [1]Sheet1!$C$2:$C$113)*($A163=[1]Sheet1!$B$2:$B$113),0)),INDEX([1]Sheet1!$C$2:$C$113,MATCH(1,($B163= [1]Sheet1!$D$2:$D$113)*($A163=[1]Sheet1!$B$2:$B$113),0)))</f>
        <v>Team 5</v>
      </c>
      <c r="D163" s="295">
        <f t="array" ref="D163">IFERROR(INDEX([1]Sheet1!$E$2:$E$113,MATCH(1,($B163= [1]Sheet1!$C$2:$C$113)*($A163=[1]Sheet1!$B$2:$B$113),0)),INDEX([1]Sheet1!$F$2:$F$113,MATCH(1,($B163= [1]Sheet1!$D$2:$D$113)*($A163=[1]Sheet1!$B$2:$B$113),0)))</f>
        <v>100.09</v>
      </c>
      <c r="E163" s="295">
        <f t="array" ref="E163">IF($A163&gt;Standings!$Q$27,"",INDEX($D$3:$D$226,(MATCH(1,($B$3:$B$226=$C163)*($A$3:$A$226=$A163),0))))</f>
        <v>127.2</v>
      </c>
      <c r="F163" s="296">
        <f>IF(A163&gt;Standings!$Q$27,"",IFERROR(VLOOKUP($B163,'[2]Week 11'!B$2:C$17,2,0),"No FAAB Entered"))</f>
        <v>93</v>
      </c>
      <c r="G163" s="296">
        <f>IF(A163&gt;Standings!$Q$27,"",H163-I163)</f>
        <v>8</v>
      </c>
      <c r="H163" s="296">
        <f>IF(A163&gt;Standings!$Q$27,"",I147)</f>
        <v>15</v>
      </c>
      <c r="I163" s="297">
        <f>IF(A163&gt;Standings!$Q$27,"",100-F163)</f>
        <v>7</v>
      </c>
      <c r="J163" s="137"/>
      <c r="M163" s="137"/>
    </row>
    <row r="164" spans="1:13">
      <c r="A164" s="279">
        <f t="shared" si="3"/>
        <v>11</v>
      </c>
      <c r="B164" s="415" t="str">
        <f>$L$5</f>
        <v>Team 2</v>
      </c>
      <c r="C164" s="278" t="str">
        <f t="array" ref="C164">IFERROR(INDEX([1]Sheet1!$D$2:$D$113,MATCH(1,($B164= [1]Sheet1!$C$2:$C$113)*($A164=[1]Sheet1!$B$2:$B$113),0)),INDEX([1]Sheet1!$C$2:$C$113,MATCH(1,($B164= [1]Sheet1!$D$2:$D$113)*($A164=[1]Sheet1!$B$2:$B$113),0)))</f>
        <v>Team 16</v>
      </c>
      <c r="D164" s="302">
        <f t="array" ref="D164">IFERROR(INDEX([1]Sheet1!$E$2:$E$113,MATCH(1,($B164= [1]Sheet1!$C$2:$C$113)*($A164=[1]Sheet1!$B$2:$B$113),0)),INDEX([1]Sheet1!$F$2:$F$113,MATCH(1,($B164= [1]Sheet1!$D$2:$D$113)*($A164=[1]Sheet1!$B$2:$B$113),0)))</f>
        <v>92.94</v>
      </c>
      <c r="E164" s="302">
        <f t="array" ref="E164">IF($A164&gt;Standings!$Q$27,"",INDEX($D$3:$D$226,(MATCH(1,($B$3:$B$226=$C164)*($A$3:$A$226=$A164),0))))</f>
        <v>99.54</v>
      </c>
      <c r="F164" s="303">
        <f>IF(A164&gt;Standings!$Q$27,"",IFERROR(VLOOKUP($B164,'[2]Week 11'!B$2:C$17,2,0),"No FAAB Entered"))</f>
        <v>98</v>
      </c>
      <c r="G164" s="303">
        <f>IF(A164&gt;Standings!$Q$27,"",H164-I164)</f>
        <v>10</v>
      </c>
      <c r="H164" s="303">
        <f>IF(A164&gt;Standings!$Q$27,"",I148)</f>
        <v>12</v>
      </c>
      <c r="I164" s="304">
        <f>IF(A164&gt;Standings!$Q$27,"",100-F164)</f>
        <v>2</v>
      </c>
      <c r="J164" s="137"/>
      <c r="M164" s="137"/>
    </row>
    <row r="165" spans="1:13">
      <c r="A165" s="279">
        <f t="shared" si="3"/>
        <v>11</v>
      </c>
      <c r="B165" s="415" t="str">
        <f>$L$6</f>
        <v>Team 3</v>
      </c>
      <c r="C165" s="278" t="str">
        <f t="array" ref="C165">IFERROR(INDEX([1]Sheet1!$D$2:$D$113,MATCH(1,($B165= [1]Sheet1!$C$2:$C$113)*($A165=[1]Sheet1!$B$2:$B$113),0)),INDEX([1]Sheet1!$C$2:$C$113,MATCH(1,($B165= [1]Sheet1!$D$2:$D$113)*($A165=[1]Sheet1!$B$2:$B$113),0)))</f>
        <v>Team 9</v>
      </c>
      <c r="D165" s="302">
        <f t="array" ref="D165">IFERROR(INDEX([1]Sheet1!$E$2:$E$113,MATCH(1,($B165= [1]Sheet1!$C$2:$C$113)*($A165=[1]Sheet1!$B$2:$B$113),0)),INDEX([1]Sheet1!$F$2:$F$113,MATCH(1,($B165= [1]Sheet1!$D$2:$D$113)*($A165=[1]Sheet1!$B$2:$B$113),0)))</f>
        <v>112.3</v>
      </c>
      <c r="E165" s="302">
        <f t="array" ref="E165">IF($A165&gt;Standings!$Q$27,"",INDEX($D$3:$D$226,(MATCH(1,($B$3:$B$226=$C165)*($A$3:$A$226=$A165),0))))</f>
        <v>129.88</v>
      </c>
      <c r="F165" s="303">
        <f>IF(A165&gt;Standings!$Q$27,"",IFERROR(VLOOKUP($B165,'[2]Week 11'!B$2:C$17,2,0),"No FAAB Entered"))</f>
        <v>68</v>
      </c>
      <c r="G165" s="303">
        <f>IF(A165&gt;Standings!$Q$27,"",H165-I165)</f>
        <v>0</v>
      </c>
      <c r="H165" s="303">
        <f>IF(A165&gt;Standings!$Q$27,"",I149)</f>
        <v>32</v>
      </c>
      <c r="I165" s="304">
        <f>IF(A165&gt;Standings!$Q$27,"",100-F165)</f>
        <v>32</v>
      </c>
      <c r="J165" s="137"/>
      <c r="M165" s="137"/>
    </row>
    <row r="166" spans="1:13">
      <c r="A166" s="279">
        <f t="shared" si="3"/>
        <v>11</v>
      </c>
      <c r="B166" s="415" t="str">
        <f>$L$7</f>
        <v>Team 4</v>
      </c>
      <c r="C166" s="278" t="str">
        <f t="array" ref="C166">IFERROR(INDEX([1]Sheet1!$D$2:$D$113,MATCH(1,($B166= [1]Sheet1!$C$2:$C$113)*($A166=[1]Sheet1!$B$2:$B$113),0)),INDEX([1]Sheet1!$C$2:$C$113,MATCH(1,($B166= [1]Sheet1!$D$2:$D$113)*($A166=[1]Sheet1!$B$2:$B$113),0)))</f>
        <v>Team 10</v>
      </c>
      <c r="D166" s="302">
        <f t="array" ref="D166">IFERROR(INDEX([1]Sheet1!$E$2:$E$113,MATCH(1,($B166= [1]Sheet1!$C$2:$C$113)*($A166=[1]Sheet1!$B$2:$B$113),0)),INDEX([1]Sheet1!$F$2:$F$113,MATCH(1,($B166= [1]Sheet1!$D$2:$D$113)*($A166=[1]Sheet1!$B$2:$B$113),0)))</f>
        <v>91.73</v>
      </c>
      <c r="E166" s="302">
        <f t="array" ref="E166">IF($A166&gt;Standings!$Q$27,"",INDEX($D$3:$D$226,(MATCH(1,($B$3:$B$226=$C166)*($A$3:$A$226=$A166),0))))</f>
        <v>91.31</v>
      </c>
      <c r="F166" s="303">
        <f>IF(A166&gt;Standings!$Q$27,"",IFERROR(VLOOKUP($B166,'[2]Week 11'!B$2:C$17,2,0),"No FAAB Entered"))</f>
        <v>64</v>
      </c>
      <c r="G166" s="303">
        <f>IF(A166&gt;Standings!$Q$27,"",H166-I166)</f>
        <v>3</v>
      </c>
      <c r="H166" s="303">
        <f>IF(A166&gt;Standings!$Q$27,"",I150)</f>
        <v>39</v>
      </c>
      <c r="I166" s="304">
        <f>IF(A166&gt;Standings!$Q$27,"",100-F166)</f>
        <v>36</v>
      </c>
      <c r="J166" s="137"/>
      <c r="M166" s="137"/>
    </row>
    <row r="167" spans="1:13">
      <c r="A167" s="279">
        <f t="shared" si="3"/>
        <v>11</v>
      </c>
      <c r="B167" s="415" t="str">
        <f>$L$8</f>
        <v>Team 5</v>
      </c>
      <c r="C167" s="278" t="str">
        <f t="array" ref="C167">IFERROR(INDEX([1]Sheet1!$D$2:$D$113,MATCH(1,($B167= [1]Sheet1!$C$2:$C$113)*($A167=[1]Sheet1!$B$2:$B$113),0)),INDEX([1]Sheet1!$C$2:$C$113,MATCH(1,($B167= [1]Sheet1!$D$2:$D$113)*($A167=[1]Sheet1!$B$2:$B$113),0)))</f>
        <v>Team 1</v>
      </c>
      <c r="D167" s="302">
        <f t="array" ref="D167">IFERROR(INDEX([1]Sheet1!$E$2:$E$113,MATCH(1,($B167= [1]Sheet1!$C$2:$C$113)*($A167=[1]Sheet1!$B$2:$B$113),0)),INDEX([1]Sheet1!$F$2:$F$113,MATCH(1,($B167= [1]Sheet1!$D$2:$D$113)*($A167=[1]Sheet1!$B$2:$B$113),0)))</f>
        <v>127.2</v>
      </c>
      <c r="E167" s="302">
        <f t="array" ref="E167">IF($A167&gt;Standings!$Q$27,"",INDEX($D$3:$D$226,(MATCH(1,($B$3:$B$226=$C167)*($A$3:$A$226=$A167),0))))</f>
        <v>100.09</v>
      </c>
      <c r="F167" s="303">
        <f>IF(A167&gt;Standings!$Q$27,"",IFERROR(VLOOKUP($B167,'[2]Week 11'!B$2:C$17,2,0),"No FAAB Entered"))</f>
        <v>100</v>
      </c>
      <c r="G167" s="303">
        <f>IF(A167&gt;Standings!$Q$27,"",H167-I167)</f>
        <v>0</v>
      </c>
      <c r="H167" s="303">
        <f>IF(A167&gt;Standings!$Q$27,"",I151)</f>
        <v>0</v>
      </c>
      <c r="I167" s="304">
        <f>IF(A167&gt;Standings!$Q$27,"",100-F167)</f>
        <v>0</v>
      </c>
      <c r="J167" s="137"/>
      <c r="M167" s="137"/>
    </row>
    <row r="168" spans="1:13">
      <c r="A168" s="279">
        <f t="shared" si="3"/>
        <v>11</v>
      </c>
      <c r="B168" s="415" t="str">
        <f>$L$9</f>
        <v>Team 6</v>
      </c>
      <c r="C168" s="278" t="str">
        <f t="array" ref="C168">IFERROR(INDEX([1]Sheet1!$D$2:$D$113,MATCH(1,($B168= [1]Sheet1!$C$2:$C$113)*($A168=[1]Sheet1!$B$2:$B$113),0)),INDEX([1]Sheet1!$C$2:$C$113,MATCH(1,($B168= [1]Sheet1!$D$2:$D$113)*($A168=[1]Sheet1!$B$2:$B$113),0)))</f>
        <v>Team 11</v>
      </c>
      <c r="D168" s="302">
        <f t="array" ref="D168">IFERROR(INDEX([1]Sheet1!$E$2:$E$113,MATCH(1,($B168= [1]Sheet1!$C$2:$C$113)*($A168=[1]Sheet1!$B$2:$B$113),0)),INDEX([1]Sheet1!$F$2:$F$113,MATCH(1,($B168= [1]Sheet1!$D$2:$D$113)*($A168=[1]Sheet1!$B$2:$B$113),0)))</f>
        <v>83.37</v>
      </c>
      <c r="E168" s="302">
        <f t="array" ref="E168">IF($A168&gt;Standings!$Q$27,"",INDEX($D$3:$D$226,(MATCH(1,($B$3:$B$226=$C168)*($A$3:$A$226=$A168),0))))</f>
        <v>79.53</v>
      </c>
      <c r="F168" s="303">
        <f>IF(A168&gt;Standings!$Q$27,"",IFERROR(VLOOKUP($B168,'[2]Week 11'!B$2:C$17,2,0),"No FAAB Entered"))</f>
        <v>64</v>
      </c>
      <c r="G168" s="303">
        <f>IF(A168&gt;Standings!$Q$27,"",H168-I168)</f>
        <v>0</v>
      </c>
      <c r="H168" s="303">
        <f>IF(A168&gt;Standings!$Q$27,"",I152)</f>
        <v>36</v>
      </c>
      <c r="I168" s="304">
        <f>IF(A168&gt;Standings!$Q$27,"",100-F168)</f>
        <v>36</v>
      </c>
      <c r="J168" s="137"/>
      <c r="M168" s="137"/>
    </row>
    <row r="169" spans="1:13">
      <c r="A169" s="279">
        <f t="shared" si="3"/>
        <v>11</v>
      </c>
      <c r="B169" s="415" t="str">
        <f>$L$10</f>
        <v>Team 7</v>
      </c>
      <c r="C169" s="278" t="str">
        <f t="array" ref="C169">IFERROR(INDEX([1]Sheet1!$D$2:$D$113,MATCH(1,($B169= [1]Sheet1!$C$2:$C$113)*($A169=[1]Sheet1!$B$2:$B$113),0)),INDEX([1]Sheet1!$C$2:$C$113,MATCH(1,($B169= [1]Sheet1!$D$2:$D$113)*($A169=[1]Sheet1!$B$2:$B$113),0)))</f>
        <v>Team 14</v>
      </c>
      <c r="D169" s="302">
        <f t="array" ref="D169">IFERROR(INDEX([1]Sheet1!$E$2:$E$113,MATCH(1,($B169= [1]Sheet1!$C$2:$C$113)*($A169=[1]Sheet1!$B$2:$B$113),0)),INDEX([1]Sheet1!$F$2:$F$113,MATCH(1,($B169= [1]Sheet1!$D$2:$D$113)*($A169=[1]Sheet1!$B$2:$B$113),0)))</f>
        <v>121.21</v>
      </c>
      <c r="E169" s="302">
        <f t="array" ref="E169">IF($A169&gt;Standings!$Q$27,"",INDEX($D$3:$D$226,(MATCH(1,($B$3:$B$226=$C169)*($A$3:$A$226=$A169),0))))</f>
        <v>120.56</v>
      </c>
      <c r="F169" s="303">
        <f>IF(A169&gt;Standings!$Q$27,"",IFERROR(VLOOKUP($B169,'[2]Week 11'!B$2:C$17,2,0),"No FAAB Entered"))</f>
        <v>30</v>
      </c>
      <c r="G169" s="303">
        <f>IF(A169&gt;Standings!$Q$27,"",H169-I169)</f>
        <v>30</v>
      </c>
      <c r="H169" s="303">
        <f>IF(A169&gt;Standings!$Q$27,"",I153)</f>
        <v>100</v>
      </c>
      <c r="I169" s="304">
        <f>IF(A169&gt;Standings!$Q$27,"",100-F169)</f>
        <v>70</v>
      </c>
      <c r="J169" s="137"/>
      <c r="M169" s="137"/>
    </row>
    <row r="170" spans="1:13">
      <c r="A170" s="279">
        <f t="shared" si="3"/>
        <v>11</v>
      </c>
      <c r="B170" s="415" t="str">
        <f>$L$11</f>
        <v>Team 8</v>
      </c>
      <c r="C170" s="278" t="str">
        <f t="array" ref="C170">IFERROR(INDEX([1]Sheet1!$D$2:$D$113,MATCH(1,($B170= [1]Sheet1!$C$2:$C$113)*($A170=[1]Sheet1!$B$2:$B$113),0)),INDEX([1]Sheet1!$C$2:$C$113,MATCH(1,($B170= [1]Sheet1!$D$2:$D$113)*($A170=[1]Sheet1!$B$2:$B$113),0)))</f>
        <v>Team 15</v>
      </c>
      <c r="D170" s="302">
        <f t="array" ref="D170">IFERROR(INDEX([1]Sheet1!$E$2:$E$113,MATCH(1,($B170= [1]Sheet1!$C$2:$C$113)*($A170=[1]Sheet1!$B$2:$B$113),0)),INDEX([1]Sheet1!$F$2:$F$113,MATCH(1,($B170= [1]Sheet1!$D$2:$D$113)*($A170=[1]Sheet1!$B$2:$B$113),0)))</f>
        <v>104.72</v>
      </c>
      <c r="E170" s="302">
        <f t="array" ref="E170">IF($A170&gt;Standings!$Q$27,"",INDEX($D$3:$D$226,(MATCH(1,($B$3:$B$226=$C170)*($A$3:$A$226=$A170),0))))</f>
        <v>114.22</v>
      </c>
      <c r="F170" s="303">
        <f>IF(A170&gt;Standings!$Q$27,"",IFERROR(VLOOKUP($B170,'[2]Week 11'!B$2:C$17,2,0),"No FAAB Entered"))</f>
        <v>48</v>
      </c>
      <c r="G170" s="303">
        <f>IF(A170&gt;Standings!$Q$27,"",H170-I170)</f>
        <v>0</v>
      </c>
      <c r="H170" s="303">
        <f>IF(A170&gt;Standings!$Q$27,"",I154)</f>
        <v>52</v>
      </c>
      <c r="I170" s="304">
        <f>IF(A170&gt;Standings!$Q$27,"",100-F170)</f>
        <v>52</v>
      </c>
      <c r="J170" s="137"/>
      <c r="M170" s="137"/>
    </row>
    <row r="171" spans="1:13">
      <c r="A171" s="281">
        <f t="shared" si="3"/>
        <v>11</v>
      </c>
      <c r="B171" s="416" t="str">
        <f>$L$12</f>
        <v>Team 9</v>
      </c>
      <c r="C171" s="280" t="str">
        <f t="array" ref="C171">IFERROR(INDEX([1]Sheet1!$D$2:$D$113,MATCH(1,($B171= [1]Sheet1!$C$2:$C$113)*($A171=[1]Sheet1!$B$2:$B$113),0)),INDEX([1]Sheet1!$C$2:$C$113,MATCH(1,($B171= [1]Sheet1!$D$2:$D$113)*($A171=[1]Sheet1!$B$2:$B$113),0)))</f>
        <v>Team 3</v>
      </c>
      <c r="D171" s="309">
        <f t="array" ref="D171">IFERROR(INDEX([1]Sheet1!$E$2:$E$113,MATCH(1,($B171= [1]Sheet1!$C$2:$C$113)*($A171=[1]Sheet1!$B$2:$B$113),0)),INDEX([1]Sheet1!$F$2:$F$113,MATCH(1,($B171= [1]Sheet1!$D$2:$D$113)*($A171=[1]Sheet1!$B$2:$B$113),0)))</f>
        <v>129.88</v>
      </c>
      <c r="E171" s="309">
        <f t="array" ref="E171">IF($A171&gt;Standings!$Q$27,"",INDEX($D$3:$D$226,(MATCH(1,($B$3:$B$226=$C171)*($A$3:$A$226=$A171),0))))</f>
        <v>112.3</v>
      </c>
      <c r="F171" s="310">
        <f>IF(A171&gt;Standings!$Q$27,"",IFERROR(VLOOKUP($B171,'[2]Week 11'!B$2:C$17,2,0),"No FAAB Entered"))</f>
        <v>52</v>
      </c>
      <c r="G171" s="310">
        <f>IF(A171&gt;Standings!$Q$27,"",H171-I171)</f>
        <v>5</v>
      </c>
      <c r="H171" s="310">
        <f>IF(A171&gt;Standings!$Q$27,"",I155)</f>
        <v>53</v>
      </c>
      <c r="I171" s="311">
        <f>IF(A171&gt;Standings!$Q$27,"",100-F171)</f>
        <v>48</v>
      </c>
      <c r="J171" s="315"/>
      <c r="M171" s="137"/>
    </row>
    <row r="172" spans="1:13">
      <c r="A172" s="281">
        <f t="shared" si="3"/>
        <v>11</v>
      </c>
      <c r="B172" s="416" t="str">
        <f>$L$13</f>
        <v>Team 10</v>
      </c>
      <c r="C172" s="280" t="str">
        <f t="array" ref="C172">IFERROR(INDEX([1]Sheet1!$D$2:$D$113,MATCH(1,($B172= [1]Sheet1!$C$2:$C$113)*($A172=[1]Sheet1!$B$2:$B$113),0)),INDEX([1]Sheet1!$C$2:$C$113,MATCH(1,($B172= [1]Sheet1!$D$2:$D$113)*($A172=[1]Sheet1!$B$2:$B$113),0)))</f>
        <v>Team 4</v>
      </c>
      <c r="D172" s="309">
        <f t="array" ref="D172">IFERROR(INDEX([1]Sheet1!$E$2:$E$113,MATCH(1,($B172= [1]Sheet1!$C$2:$C$113)*($A172=[1]Sheet1!$B$2:$B$113),0)),INDEX([1]Sheet1!$F$2:$F$113,MATCH(1,($B172= [1]Sheet1!$D$2:$D$113)*($A172=[1]Sheet1!$B$2:$B$113),0)))</f>
        <v>91.31</v>
      </c>
      <c r="E172" s="309">
        <f t="array" ref="E172">IF($A172&gt;Standings!$Q$27,"",INDEX($D$3:$D$226,(MATCH(1,($B$3:$B$226=$C172)*($A$3:$A$226=$A172),0))))</f>
        <v>91.73</v>
      </c>
      <c r="F172" s="310">
        <f>IF(A172&gt;Standings!$Q$27,"",IFERROR(VLOOKUP($B172,'[2]Week 11'!B$2:C$17,2,0),"No FAAB Entered"))</f>
        <v>73</v>
      </c>
      <c r="G172" s="310">
        <f>IF(A172&gt;Standings!$Q$27,"",H172-I172)</f>
        <v>0</v>
      </c>
      <c r="H172" s="310">
        <f>IF(A172&gt;Standings!$Q$27,"",I156)</f>
        <v>27</v>
      </c>
      <c r="I172" s="311">
        <f>IF(A172&gt;Standings!$Q$27,"",100-F172)</f>
        <v>27</v>
      </c>
      <c r="J172" s="327"/>
      <c r="M172" s="137"/>
    </row>
    <row r="173" spans="1:13">
      <c r="A173" s="281">
        <f t="shared" si="3"/>
        <v>11</v>
      </c>
      <c r="B173" s="416" t="str">
        <f>$L$14</f>
        <v>Team 11</v>
      </c>
      <c r="C173" s="280" t="str">
        <f t="array" ref="C173">IFERROR(INDEX([1]Sheet1!$D$2:$D$113,MATCH(1,($B173= [1]Sheet1!$C$2:$C$113)*($A173=[1]Sheet1!$B$2:$B$113),0)),INDEX([1]Sheet1!$C$2:$C$113,MATCH(1,($B173= [1]Sheet1!$D$2:$D$113)*($A173=[1]Sheet1!$B$2:$B$113),0)))</f>
        <v>Team 6</v>
      </c>
      <c r="D173" s="309">
        <f t="array" ref="D173">IFERROR(INDEX([1]Sheet1!$E$2:$E$113,MATCH(1,($B173= [1]Sheet1!$C$2:$C$113)*($A173=[1]Sheet1!$B$2:$B$113),0)),INDEX([1]Sheet1!$F$2:$F$113,MATCH(1,($B173= [1]Sheet1!$D$2:$D$113)*($A173=[1]Sheet1!$B$2:$B$113),0)))</f>
        <v>79.53</v>
      </c>
      <c r="E173" s="309">
        <f t="array" ref="E173">IF($A173&gt;Standings!$Q$27,"",INDEX($D$3:$D$226,(MATCH(1,($B$3:$B$226=$C173)*($A$3:$A$226=$A173),0))))</f>
        <v>83.37</v>
      </c>
      <c r="F173" s="310">
        <f>IF(A173&gt;Standings!$Q$27,"",IFERROR(VLOOKUP($B173,'[2]Week 11'!B$2:C$17,2,0),"No FAAB Entered"))</f>
        <v>100</v>
      </c>
      <c r="G173" s="310">
        <f>IF(A173&gt;Standings!$Q$27,"",H173-I173)</f>
        <v>0</v>
      </c>
      <c r="H173" s="310">
        <f>IF(A173&gt;Standings!$Q$27,"",I157)</f>
        <v>0</v>
      </c>
      <c r="I173" s="311">
        <f>IF(A173&gt;Standings!$Q$27,"",100-F173)</f>
        <v>0</v>
      </c>
      <c r="J173" s="118"/>
      <c r="M173" s="137"/>
    </row>
    <row r="174" spans="1:13">
      <c r="A174" s="281">
        <f t="shared" si="3"/>
        <v>11</v>
      </c>
      <c r="B174" s="416" t="str">
        <f>$L$15</f>
        <v>Team 12</v>
      </c>
      <c r="C174" s="280" t="str">
        <f t="array" ref="C174">IFERROR(INDEX([1]Sheet1!$D$2:$D$113,MATCH(1,($B174= [1]Sheet1!$C$2:$C$113)*($A174=[1]Sheet1!$B$2:$B$113),0)),INDEX([1]Sheet1!$C$2:$C$113,MATCH(1,($B174= [1]Sheet1!$D$2:$D$113)*($A174=[1]Sheet1!$B$2:$B$113),0)))</f>
        <v>Team 13</v>
      </c>
      <c r="D174" s="309">
        <f t="array" ref="D174">IFERROR(INDEX([1]Sheet1!$E$2:$E$113,MATCH(1,($B174= [1]Sheet1!$C$2:$C$113)*($A174=[1]Sheet1!$B$2:$B$113),0)),INDEX([1]Sheet1!$F$2:$F$113,MATCH(1,($B174= [1]Sheet1!$D$2:$D$113)*($A174=[1]Sheet1!$B$2:$B$113),0)))</f>
        <v>69.319999999999993</v>
      </c>
      <c r="E174" s="309">
        <f t="array" ref="E174">IF($A174&gt;Standings!$Q$27,"",INDEX($D$3:$D$226,(MATCH(1,($B$3:$B$226=$C174)*($A$3:$A$226=$A174),0))))</f>
        <v>85.8</v>
      </c>
      <c r="F174" s="310">
        <f>IF(A174&gt;Standings!$Q$27,"",IFERROR(VLOOKUP($B174,'[2]Week 11'!B$2:C$17,2,0),"No FAAB Entered"))</f>
        <v>62</v>
      </c>
      <c r="G174" s="310">
        <f>IF(A174&gt;Standings!$Q$27,"",H174-I174)</f>
        <v>0</v>
      </c>
      <c r="H174" s="310">
        <f>IF(A174&gt;Standings!$Q$27,"",I158)</f>
        <v>38</v>
      </c>
      <c r="I174" s="311">
        <f>IF(A174&gt;Standings!$Q$27,"",100-F174)</f>
        <v>38</v>
      </c>
      <c r="J174" s="137"/>
      <c r="M174" s="137"/>
    </row>
    <row r="175" spans="1:13">
      <c r="A175" s="281">
        <f t="shared" si="3"/>
        <v>11</v>
      </c>
      <c r="B175" s="416" t="str">
        <f>$L$16</f>
        <v>Team 13</v>
      </c>
      <c r="C175" s="280" t="str">
        <f t="array" ref="C175">IFERROR(INDEX([1]Sheet1!$D$2:$D$113,MATCH(1,($B175= [1]Sheet1!$C$2:$C$113)*($A175=[1]Sheet1!$B$2:$B$113),0)),INDEX([1]Sheet1!$C$2:$C$113,MATCH(1,($B175= [1]Sheet1!$D$2:$D$113)*($A175=[1]Sheet1!$B$2:$B$113),0)))</f>
        <v>Team 12</v>
      </c>
      <c r="D175" s="309">
        <f t="array" ref="D175">IFERROR(INDEX([1]Sheet1!$E$2:$E$113,MATCH(1,($B175= [1]Sheet1!$C$2:$C$113)*($A175=[1]Sheet1!$B$2:$B$113),0)),INDEX([1]Sheet1!$F$2:$F$113,MATCH(1,($B175= [1]Sheet1!$D$2:$D$113)*($A175=[1]Sheet1!$B$2:$B$113),0)))</f>
        <v>85.8</v>
      </c>
      <c r="E175" s="309">
        <f t="array" ref="E175">IF($A175&gt;Standings!$Q$27,"",INDEX($D$3:$D$226,(MATCH(1,($B$3:$B$226=$C175)*($A$3:$A$226=$A175),0))))</f>
        <v>69.319999999999993</v>
      </c>
      <c r="F175" s="310">
        <f>IF(A175&gt;Standings!$Q$27,"",IFERROR(VLOOKUP($B175,'[2]Week 11'!B$2:C$17,2,0),"No FAAB Entered"))</f>
        <v>100</v>
      </c>
      <c r="G175" s="310">
        <f>IF(A175&gt;Standings!$Q$27,"",H175-I175)</f>
        <v>5</v>
      </c>
      <c r="H175" s="310">
        <f>IF(A175&gt;Standings!$Q$27,"",I159)</f>
        <v>5</v>
      </c>
      <c r="I175" s="311">
        <f>IF(A175&gt;Standings!$Q$27,"",100-F175)</f>
        <v>0</v>
      </c>
      <c r="J175" s="137"/>
      <c r="M175" s="137"/>
    </row>
    <row r="176" spans="1:13">
      <c r="A176" s="281">
        <f t="shared" si="3"/>
        <v>11</v>
      </c>
      <c r="B176" s="416" t="str">
        <f>$L$17</f>
        <v>Team 14</v>
      </c>
      <c r="C176" s="280" t="str">
        <f t="array" ref="C176">IFERROR(INDEX([1]Sheet1!$D$2:$D$113,MATCH(1,($B176= [1]Sheet1!$C$2:$C$113)*($A176=[1]Sheet1!$B$2:$B$113),0)),INDEX([1]Sheet1!$C$2:$C$113,MATCH(1,($B176= [1]Sheet1!$D$2:$D$113)*($A176=[1]Sheet1!$B$2:$B$113),0)))</f>
        <v>Team 7</v>
      </c>
      <c r="D176" s="309">
        <f t="array" ref="D176">IFERROR(INDEX([1]Sheet1!$E$2:$E$113,MATCH(1,($B176= [1]Sheet1!$C$2:$C$113)*($A176=[1]Sheet1!$B$2:$B$113),0)),INDEX([1]Sheet1!$F$2:$F$113,MATCH(1,($B176= [1]Sheet1!$D$2:$D$113)*($A176=[1]Sheet1!$B$2:$B$113),0)))</f>
        <v>120.56</v>
      </c>
      <c r="E176" s="309">
        <f t="array" ref="E176">IF($A176&gt;Standings!$Q$27,"",INDEX($D$3:$D$226,(MATCH(1,($B$3:$B$226=$C176)*($A$3:$A$226=$A176),0))))</f>
        <v>121.21</v>
      </c>
      <c r="F176" s="310">
        <f>IF(A176&gt;Standings!$Q$27,"",IFERROR(VLOOKUP($B176,'[2]Week 11'!B$2:C$17,2,0),"No FAAB Entered"))</f>
        <v>5</v>
      </c>
      <c r="G176" s="310">
        <f>IF(A176&gt;Standings!$Q$27,"",H176-I176)</f>
        <v>0</v>
      </c>
      <c r="H176" s="310">
        <f>IF(A176&gt;Standings!$Q$27,"",I160)</f>
        <v>95</v>
      </c>
      <c r="I176" s="311">
        <f>IF(A176&gt;Standings!$Q$27,"",100-F176)</f>
        <v>95</v>
      </c>
      <c r="J176" s="137"/>
      <c r="M176" s="137"/>
    </row>
    <row r="177" spans="1:13">
      <c r="A177" s="281">
        <f t="shared" si="3"/>
        <v>11</v>
      </c>
      <c r="B177" s="416" t="str">
        <f>$L$18</f>
        <v>Team 15</v>
      </c>
      <c r="C177" s="280" t="str">
        <f t="array" ref="C177">IFERROR(INDEX([1]Sheet1!$D$2:$D$113,MATCH(1,($B177= [1]Sheet1!$C$2:$C$113)*($A177=[1]Sheet1!$B$2:$B$113),0)),INDEX([1]Sheet1!$C$2:$C$113,MATCH(1,($B177= [1]Sheet1!$D$2:$D$113)*($A177=[1]Sheet1!$B$2:$B$113),0)))</f>
        <v>Team 8</v>
      </c>
      <c r="D177" s="309">
        <f t="array" ref="D177">IFERROR(INDEX([1]Sheet1!$E$2:$E$113,MATCH(1,($B177= [1]Sheet1!$C$2:$C$113)*($A177=[1]Sheet1!$B$2:$B$113),0)),INDEX([1]Sheet1!$F$2:$F$113,MATCH(1,($B177= [1]Sheet1!$D$2:$D$113)*($A177=[1]Sheet1!$B$2:$B$113),0)))</f>
        <v>114.22</v>
      </c>
      <c r="E177" s="309">
        <f t="array" ref="E177">IF($A177&gt;Standings!$Q$27,"",INDEX($D$3:$D$226,(MATCH(1,($B$3:$B$226=$C177)*($A$3:$A$226=$A177),0))))</f>
        <v>104.72</v>
      </c>
      <c r="F177" s="310">
        <f>IF(A177&gt;Standings!$Q$27,"",IFERROR(VLOOKUP($B177,'[2]Week 11'!B$2:C$17,2,0),"No FAAB Entered"))</f>
        <v>91</v>
      </c>
      <c r="G177" s="310">
        <f>IF(A177&gt;Standings!$Q$27,"",H177-I177)</f>
        <v>0</v>
      </c>
      <c r="H177" s="310">
        <f>IF(A177&gt;Standings!$Q$27,"",I161)</f>
        <v>9</v>
      </c>
      <c r="I177" s="311">
        <f>IF(A177&gt;Standings!$Q$27,"",100-F177)</f>
        <v>9</v>
      </c>
      <c r="J177" s="137"/>
      <c r="M177" s="137"/>
    </row>
    <row r="178" spans="1:13" ht="16" thickBot="1">
      <c r="A178" s="283">
        <f t="shared" si="3"/>
        <v>11</v>
      </c>
      <c r="B178" s="417" t="str">
        <f>$L$19</f>
        <v>Team 16</v>
      </c>
      <c r="C178" s="282" t="str">
        <f t="array" ref="C178">IFERROR(INDEX([1]Sheet1!$D$2:$D$113,MATCH(1,($B178= [1]Sheet1!$C$2:$C$113)*($A178=[1]Sheet1!$B$2:$B$113),0)),INDEX([1]Sheet1!$C$2:$C$113,MATCH(1,($B178= [1]Sheet1!$D$2:$D$113)*($A178=[1]Sheet1!$B$2:$B$113),0)))</f>
        <v>Team 2</v>
      </c>
      <c r="D178" s="312">
        <f t="array" ref="D178">IFERROR(INDEX([1]Sheet1!$E$2:$E$113,MATCH(1,($B178= [1]Sheet1!$C$2:$C$113)*($A178=[1]Sheet1!$B$2:$B$113),0)),INDEX([1]Sheet1!$F$2:$F$113,MATCH(1,($B178= [1]Sheet1!$D$2:$D$113)*($A178=[1]Sheet1!$B$2:$B$113),0)))</f>
        <v>99.54</v>
      </c>
      <c r="E178" s="312">
        <f t="array" ref="E178">IF($A178&gt;Standings!$Q$27,"",INDEX($D$3:$D$226,(MATCH(1,($B$3:$B$226=$C178)*($A$3:$A$226=$A178),0))))</f>
        <v>92.94</v>
      </c>
      <c r="F178" s="313">
        <f>IF(A178&gt;Standings!$Q$27,"",IFERROR(VLOOKUP($B178,'[2]Week 11'!B$2:C$17,2,0),"No FAAB Entered"))</f>
        <v>100</v>
      </c>
      <c r="G178" s="313">
        <f>IF(A178&gt;Standings!$Q$27,"",H178-I178)</f>
        <v>0</v>
      </c>
      <c r="H178" s="313">
        <f>IF(A178&gt;Standings!$Q$27,"",I162)</f>
        <v>0</v>
      </c>
      <c r="I178" s="314">
        <f>IF(A178&gt;Standings!$Q$27,"",100-F178)</f>
        <v>0</v>
      </c>
      <c r="J178" s="137"/>
      <c r="M178" s="137"/>
    </row>
    <row r="179" spans="1:13">
      <c r="A179" s="277">
        <f t="shared" si="3"/>
        <v>12</v>
      </c>
      <c r="B179" s="414" t="str">
        <f>$L$4</f>
        <v>Team 1</v>
      </c>
      <c r="C179" s="276" t="str">
        <f t="array" ref="C179">IFERROR(INDEX([1]Sheet1!$D$2:$D$113,MATCH(1,($B179= [1]Sheet1!$C$2:$C$113)*($A179=[1]Sheet1!$B$2:$B$113),0)),INDEX([1]Sheet1!$C$2:$C$113,MATCH(1,($B179= [1]Sheet1!$D$2:$D$113)*($A179=[1]Sheet1!$B$2:$B$113),0)))</f>
        <v>Team 12</v>
      </c>
      <c r="D179" s="295">
        <f t="array" ref="D179">IFERROR(INDEX([1]Sheet1!$E$2:$E$113,MATCH(1,($B179= [1]Sheet1!$C$2:$C$113)*($A179=[1]Sheet1!$B$2:$B$113),0)),INDEX([1]Sheet1!$F$2:$F$113,MATCH(1,($B179= [1]Sheet1!$D$2:$D$113)*($A179=[1]Sheet1!$B$2:$B$113),0)))</f>
        <v>98.98</v>
      </c>
      <c r="E179" s="295">
        <f t="array" ref="E179">IF($A179&gt;Standings!$Q$27,"",INDEX($D$3:$D$226,(MATCH(1,($B$3:$B$226=$C179)*($A$3:$A$226=$A179),0))))</f>
        <v>85.52</v>
      </c>
      <c r="F179" s="296">
        <f>IF(A179&gt;Standings!$Q$27,"",IFERROR(VLOOKUP($B179,'[2]Week 12'!B$2:C$17,2,0),"No FAAB Entered"))</f>
        <v>93</v>
      </c>
      <c r="G179" s="296">
        <f>IF(A179&gt;Standings!$Q$27,"",H179-I179)</f>
        <v>0</v>
      </c>
      <c r="H179" s="296">
        <f>IF(A179&gt;Standings!$Q$27,"",I163)</f>
        <v>7</v>
      </c>
      <c r="I179" s="297">
        <f>IF(A179&gt;Standings!$Q$27,"",100-F179)</f>
        <v>7</v>
      </c>
      <c r="J179" s="137"/>
      <c r="M179" s="137"/>
    </row>
    <row r="180" spans="1:13">
      <c r="A180" s="279">
        <f t="shared" si="3"/>
        <v>12</v>
      </c>
      <c r="B180" s="415" t="str">
        <f>$L$5</f>
        <v>Team 2</v>
      </c>
      <c r="C180" s="278" t="str">
        <f t="array" ref="C180">IFERROR(INDEX([1]Sheet1!$D$2:$D$113,MATCH(1,($B180= [1]Sheet1!$C$2:$C$113)*($A180=[1]Sheet1!$B$2:$B$113),0)),INDEX([1]Sheet1!$C$2:$C$113,MATCH(1,($B180= [1]Sheet1!$D$2:$D$113)*($A180=[1]Sheet1!$B$2:$B$113),0)))</f>
        <v>Team 3</v>
      </c>
      <c r="D180" s="302">
        <f t="array" ref="D180">IFERROR(INDEX([1]Sheet1!$E$2:$E$113,MATCH(1,($B180= [1]Sheet1!$C$2:$C$113)*($A180=[1]Sheet1!$B$2:$B$113),0)),INDEX([1]Sheet1!$F$2:$F$113,MATCH(1,($B180= [1]Sheet1!$D$2:$D$113)*($A180=[1]Sheet1!$B$2:$B$113),0)))</f>
        <v>97.24</v>
      </c>
      <c r="E180" s="302">
        <f t="array" ref="E180">IF($A180&gt;Standings!$Q$27,"",INDEX($D$3:$D$226,(MATCH(1,($B$3:$B$226=$C180)*($A$3:$A$226=$A180),0))))</f>
        <v>87.75</v>
      </c>
      <c r="F180" s="303">
        <f>IF(A180&gt;Standings!$Q$27,"",IFERROR(VLOOKUP($B180,'[2]Week 12'!B$2:C$17,2,0),"No FAAB Entered"))</f>
        <v>98</v>
      </c>
      <c r="G180" s="303">
        <f>IF(A180&gt;Standings!$Q$27,"",H180-I180)</f>
        <v>0</v>
      </c>
      <c r="H180" s="303">
        <f>IF(A180&gt;Standings!$Q$27,"",I164)</f>
        <v>2</v>
      </c>
      <c r="I180" s="304">
        <f>IF(A180&gt;Standings!$Q$27,"",100-F180)</f>
        <v>2</v>
      </c>
      <c r="J180" s="137"/>
      <c r="M180" s="137"/>
    </row>
    <row r="181" spans="1:13">
      <c r="A181" s="279">
        <f t="shared" si="3"/>
        <v>12</v>
      </c>
      <c r="B181" s="415" t="str">
        <f>$L$6</f>
        <v>Team 3</v>
      </c>
      <c r="C181" s="278" t="str">
        <f t="array" ref="C181">IFERROR(INDEX([1]Sheet1!$D$2:$D$113,MATCH(1,($B181= [1]Sheet1!$C$2:$C$113)*($A181=[1]Sheet1!$B$2:$B$113),0)),INDEX([1]Sheet1!$C$2:$C$113,MATCH(1,($B181= [1]Sheet1!$D$2:$D$113)*($A181=[1]Sheet1!$B$2:$B$113),0)))</f>
        <v>Team 2</v>
      </c>
      <c r="D181" s="302">
        <f t="array" ref="D181">IFERROR(INDEX([1]Sheet1!$E$2:$E$113,MATCH(1,($B181= [1]Sheet1!$C$2:$C$113)*($A181=[1]Sheet1!$B$2:$B$113),0)),INDEX([1]Sheet1!$F$2:$F$113,MATCH(1,($B181= [1]Sheet1!$D$2:$D$113)*($A181=[1]Sheet1!$B$2:$B$113),0)))</f>
        <v>87.75</v>
      </c>
      <c r="E181" s="302">
        <f t="array" ref="E181">IF($A181&gt;Standings!$Q$27,"",INDEX($D$3:$D$226,(MATCH(1,($B$3:$B$226=$C181)*($A$3:$A$226=$A181),0))))</f>
        <v>97.24</v>
      </c>
      <c r="F181" s="303">
        <f>IF(A181&gt;Standings!$Q$27,"",IFERROR(VLOOKUP($B181,'[2]Week 12'!B$2:C$17,2,0),"No FAAB Entered"))</f>
        <v>68</v>
      </c>
      <c r="G181" s="303">
        <f>IF(A181&gt;Standings!$Q$27,"",H181-I181)</f>
        <v>0</v>
      </c>
      <c r="H181" s="303">
        <f>IF(A181&gt;Standings!$Q$27,"",I165)</f>
        <v>32</v>
      </c>
      <c r="I181" s="304">
        <f>IF(A181&gt;Standings!$Q$27,"",100-F181)</f>
        <v>32</v>
      </c>
      <c r="J181" s="137"/>
      <c r="M181" s="137"/>
    </row>
    <row r="182" spans="1:13">
      <c r="A182" s="279">
        <f t="shared" si="3"/>
        <v>12</v>
      </c>
      <c r="B182" s="415" t="str">
        <f>$L$7</f>
        <v>Team 4</v>
      </c>
      <c r="C182" s="278" t="str">
        <f t="array" ref="C182">IFERROR(INDEX([1]Sheet1!$D$2:$D$113,MATCH(1,($B182= [1]Sheet1!$C$2:$C$113)*($A182=[1]Sheet1!$B$2:$B$113),0)),INDEX([1]Sheet1!$C$2:$C$113,MATCH(1,($B182= [1]Sheet1!$D$2:$D$113)*($A182=[1]Sheet1!$B$2:$B$113),0)))</f>
        <v>Team 15</v>
      </c>
      <c r="D182" s="302">
        <f t="array" ref="D182">IFERROR(INDEX([1]Sheet1!$E$2:$E$113,MATCH(1,($B182= [1]Sheet1!$C$2:$C$113)*($A182=[1]Sheet1!$B$2:$B$113),0)),INDEX([1]Sheet1!$F$2:$F$113,MATCH(1,($B182= [1]Sheet1!$D$2:$D$113)*($A182=[1]Sheet1!$B$2:$B$113),0)))</f>
        <v>117.48</v>
      </c>
      <c r="E182" s="302">
        <f t="array" ref="E182">IF($A182&gt;Standings!$Q$27,"",INDEX($D$3:$D$226,(MATCH(1,($B$3:$B$226=$C182)*($A$3:$A$226=$A182),0))))</f>
        <v>64.040000000000006</v>
      </c>
      <c r="F182" s="303">
        <f>IF(A182&gt;Standings!$Q$27,"",IFERROR(VLOOKUP($B182,'[2]Week 12'!B$2:C$17,2,0),"No FAAB Entered"))</f>
        <v>70</v>
      </c>
      <c r="G182" s="303">
        <f>IF(A182&gt;Standings!$Q$27,"",H182-I182)</f>
        <v>6</v>
      </c>
      <c r="H182" s="303">
        <f>IF(A182&gt;Standings!$Q$27,"",I166)</f>
        <v>36</v>
      </c>
      <c r="I182" s="304">
        <f>IF(A182&gt;Standings!$Q$27,"",100-F182)</f>
        <v>30</v>
      </c>
      <c r="J182" s="137"/>
      <c r="M182" s="137"/>
    </row>
    <row r="183" spans="1:13">
      <c r="A183" s="279">
        <f t="shared" si="3"/>
        <v>12</v>
      </c>
      <c r="B183" s="415" t="str">
        <f>$L$8</f>
        <v>Team 5</v>
      </c>
      <c r="C183" s="278" t="str">
        <f t="array" ref="C183">IFERROR(INDEX([1]Sheet1!$D$2:$D$113,MATCH(1,($B183= [1]Sheet1!$C$2:$C$113)*($A183=[1]Sheet1!$B$2:$B$113),0)),INDEX([1]Sheet1!$C$2:$C$113,MATCH(1,($B183= [1]Sheet1!$D$2:$D$113)*($A183=[1]Sheet1!$B$2:$B$113),0)))</f>
        <v>Team 13</v>
      </c>
      <c r="D183" s="302">
        <f t="array" ref="D183">IFERROR(INDEX([1]Sheet1!$E$2:$E$113,MATCH(1,($B183= [1]Sheet1!$C$2:$C$113)*($A183=[1]Sheet1!$B$2:$B$113),0)),INDEX([1]Sheet1!$F$2:$F$113,MATCH(1,($B183= [1]Sheet1!$D$2:$D$113)*($A183=[1]Sheet1!$B$2:$B$113),0)))</f>
        <v>88.25</v>
      </c>
      <c r="E183" s="302">
        <f t="array" ref="E183">IF($A183&gt;Standings!$Q$27,"",INDEX($D$3:$D$226,(MATCH(1,($B$3:$B$226=$C183)*($A$3:$A$226=$A183),0))))</f>
        <v>72.25</v>
      </c>
      <c r="F183" s="303">
        <f>IF(A183&gt;Standings!$Q$27,"",IFERROR(VLOOKUP($B183,'[2]Week 12'!B$2:C$17,2,0),"No FAAB Entered"))</f>
        <v>100</v>
      </c>
      <c r="G183" s="303">
        <f>IF(A183&gt;Standings!$Q$27,"",H183-I183)</f>
        <v>0</v>
      </c>
      <c r="H183" s="303">
        <f>IF(A183&gt;Standings!$Q$27,"",I167)</f>
        <v>0</v>
      </c>
      <c r="I183" s="304">
        <f>IF(A183&gt;Standings!$Q$27,"",100-F183)</f>
        <v>0</v>
      </c>
      <c r="J183" s="137"/>
      <c r="M183" s="137"/>
    </row>
    <row r="184" spans="1:13">
      <c r="A184" s="279">
        <f t="shared" si="3"/>
        <v>12</v>
      </c>
      <c r="B184" s="415" t="str">
        <f>$L$9</f>
        <v>Team 6</v>
      </c>
      <c r="C184" s="278" t="str">
        <f t="array" ref="C184">IFERROR(INDEX([1]Sheet1!$D$2:$D$113,MATCH(1,($B184= [1]Sheet1!$C$2:$C$113)*($A184=[1]Sheet1!$B$2:$B$113),0)),INDEX([1]Sheet1!$C$2:$C$113,MATCH(1,($B184= [1]Sheet1!$D$2:$D$113)*($A184=[1]Sheet1!$B$2:$B$113),0)))</f>
        <v>Team 7</v>
      </c>
      <c r="D184" s="302">
        <f t="array" ref="D184">IFERROR(INDEX([1]Sheet1!$E$2:$E$113,MATCH(1,($B184= [1]Sheet1!$C$2:$C$113)*($A184=[1]Sheet1!$B$2:$B$113),0)),INDEX([1]Sheet1!$F$2:$F$113,MATCH(1,($B184= [1]Sheet1!$D$2:$D$113)*($A184=[1]Sheet1!$B$2:$B$113),0)))</f>
        <v>112.45</v>
      </c>
      <c r="E184" s="302">
        <f t="array" ref="E184">IF($A184&gt;Standings!$Q$27,"",INDEX($D$3:$D$226,(MATCH(1,($B$3:$B$226=$C184)*($A$3:$A$226=$A184),0))))</f>
        <v>98.78</v>
      </c>
      <c r="F184" s="303">
        <f>IF(A184&gt;Standings!$Q$27,"",IFERROR(VLOOKUP($B184,'[2]Week 12'!B$2:C$17,2,0),"No FAAB Entered"))</f>
        <v>64</v>
      </c>
      <c r="G184" s="303">
        <f>IF(A184&gt;Standings!$Q$27,"",H184-I184)</f>
        <v>0</v>
      </c>
      <c r="H184" s="303">
        <f>IF(A184&gt;Standings!$Q$27,"",I168)</f>
        <v>36</v>
      </c>
      <c r="I184" s="304">
        <f>IF(A184&gt;Standings!$Q$27,"",100-F184)</f>
        <v>36</v>
      </c>
      <c r="J184" s="137"/>
      <c r="M184" s="137"/>
    </row>
    <row r="185" spans="1:13">
      <c r="A185" s="279">
        <f t="shared" si="3"/>
        <v>12</v>
      </c>
      <c r="B185" s="415" t="str">
        <f>$L$10</f>
        <v>Team 7</v>
      </c>
      <c r="C185" s="278" t="str">
        <f t="array" ref="C185">IFERROR(INDEX([1]Sheet1!$D$2:$D$113,MATCH(1,($B185= [1]Sheet1!$C$2:$C$113)*($A185=[1]Sheet1!$B$2:$B$113),0)),INDEX([1]Sheet1!$C$2:$C$113,MATCH(1,($B185= [1]Sheet1!$D$2:$D$113)*($A185=[1]Sheet1!$B$2:$B$113),0)))</f>
        <v>Team 6</v>
      </c>
      <c r="D185" s="302">
        <f t="array" ref="D185">IFERROR(INDEX([1]Sheet1!$E$2:$E$113,MATCH(1,($B185= [1]Sheet1!$C$2:$C$113)*($A185=[1]Sheet1!$B$2:$B$113),0)),INDEX([1]Sheet1!$F$2:$F$113,MATCH(1,($B185= [1]Sheet1!$D$2:$D$113)*($A185=[1]Sheet1!$B$2:$B$113),0)))</f>
        <v>98.78</v>
      </c>
      <c r="E185" s="302">
        <f t="array" ref="E185">IF($A185&gt;Standings!$Q$27,"",INDEX($D$3:$D$226,(MATCH(1,($B$3:$B$226=$C185)*($A$3:$A$226=$A185),0))))</f>
        <v>112.45</v>
      </c>
      <c r="F185" s="303">
        <f>IF(A185&gt;Standings!$Q$27,"",IFERROR(VLOOKUP($B185,'[2]Week 12'!B$2:C$17,2,0),"No FAAB Entered"))</f>
        <v>30</v>
      </c>
      <c r="G185" s="303">
        <f>IF(A185&gt;Standings!$Q$27,"",H185-I185)</f>
        <v>0</v>
      </c>
      <c r="H185" s="303">
        <f>IF(A185&gt;Standings!$Q$27,"",I169)</f>
        <v>70</v>
      </c>
      <c r="I185" s="304">
        <f>IF(A185&gt;Standings!$Q$27,"",100-F185)</f>
        <v>70</v>
      </c>
      <c r="J185" s="137"/>
      <c r="M185" s="137"/>
    </row>
    <row r="186" spans="1:13">
      <c r="A186" s="279">
        <f t="shared" si="3"/>
        <v>12</v>
      </c>
      <c r="B186" s="415" t="str">
        <f>$L$11</f>
        <v>Team 8</v>
      </c>
      <c r="C186" s="278" t="str">
        <f t="array" ref="C186">IFERROR(INDEX([1]Sheet1!$D$2:$D$113,MATCH(1,($B186= [1]Sheet1!$C$2:$C$113)*($A186=[1]Sheet1!$B$2:$B$113),0)),INDEX([1]Sheet1!$C$2:$C$113,MATCH(1,($B186= [1]Sheet1!$D$2:$D$113)*($A186=[1]Sheet1!$B$2:$B$113),0)))</f>
        <v>Team 10</v>
      </c>
      <c r="D186" s="302">
        <f t="array" ref="D186">IFERROR(INDEX([1]Sheet1!$E$2:$E$113,MATCH(1,($B186= [1]Sheet1!$C$2:$C$113)*($A186=[1]Sheet1!$B$2:$B$113),0)),INDEX([1]Sheet1!$F$2:$F$113,MATCH(1,($B186= [1]Sheet1!$D$2:$D$113)*($A186=[1]Sheet1!$B$2:$B$113),0)))</f>
        <v>140.47999999999999</v>
      </c>
      <c r="E186" s="302">
        <f t="array" ref="E186">IF($A186&gt;Standings!$Q$27,"",INDEX($D$3:$D$226,(MATCH(1,($B$3:$B$226=$C186)*($A$3:$A$226=$A186),0))))</f>
        <v>51.3</v>
      </c>
      <c r="F186" s="303">
        <f>IF(A186&gt;Standings!$Q$27,"",IFERROR(VLOOKUP($B186,'[2]Week 12'!B$2:C$17,2,0),"No FAAB Entered"))</f>
        <v>48</v>
      </c>
      <c r="G186" s="303">
        <f>IF(A186&gt;Standings!$Q$27,"",H186-I186)</f>
        <v>0</v>
      </c>
      <c r="H186" s="303">
        <f>IF(A186&gt;Standings!$Q$27,"",I170)</f>
        <v>52</v>
      </c>
      <c r="I186" s="304">
        <f>IF(A186&gt;Standings!$Q$27,"",100-F186)</f>
        <v>52</v>
      </c>
      <c r="J186" s="137"/>
      <c r="M186" s="137"/>
    </row>
    <row r="187" spans="1:13">
      <c r="A187" s="281">
        <f t="shared" si="3"/>
        <v>12</v>
      </c>
      <c r="B187" s="416" t="str">
        <f>$L$12</f>
        <v>Team 9</v>
      </c>
      <c r="C187" s="280" t="str">
        <f t="array" ref="C187">IFERROR(INDEX([1]Sheet1!$D$2:$D$113,MATCH(1,($B187= [1]Sheet1!$C$2:$C$113)*($A187=[1]Sheet1!$B$2:$B$113),0)),INDEX([1]Sheet1!$C$2:$C$113,MATCH(1,($B187= [1]Sheet1!$D$2:$D$113)*($A187=[1]Sheet1!$B$2:$B$113),0)))</f>
        <v>Team 16</v>
      </c>
      <c r="D187" s="309">
        <f t="array" ref="D187">IFERROR(INDEX([1]Sheet1!$E$2:$E$113,MATCH(1,($B187= [1]Sheet1!$C$2:$C$113)*($A187=[1]Sheet1!$B$2:$B$113),0)),INDEX([1]Sheet1!$F$2:$F$113,MATCH(1,($B187= [1]Sheet1!$D$2:$D$113)*($A187=[1]Sheet1!$B$2:$B$113),0)))</f>
        <v>137.66</v>
      </c>
      <c r="E187" s="309">
        <f t="array" ref="E187">IF($A187&gt;Standings!$Q$27,"",INDEX($D$3:$D$226,(MATCH(1,($B$3:$B$226=$C187)*($A$3:$A$226=$A187),0))))</f>
        <v>113.41</v>
      </c>
      <c r="F187" s="310">
        <f>IF(A187&gt;Standings!$Q$27,"",IFERROR(VLOOKUP($B187,'[2]Week 12'!B$2:C$17,2,0),"No FAAB Entered"))</f>
        <v>52</v>
      </c>
      <c r="G187" s="310">
        <f>IF(A187&gt;Standings!$Q$27,"",H187-I187)</f>
        <v>0</v>
      </c>
      <c r="H187" s="310">
        <f>IF(A187&gt;Standings!$Q$27,"",I171)</f>
        <v>48</v>
      </c>
      <c r="I187" s="311">
        <f>IF(A187&gt;Standings!$Q$27,"",100-F187)</f>
        <v>48</v>
      </c>
      <c r="J187" s="137"/>
      <c r="M187" s="137"/>
    </row>
    <row r="188" spans="1:13">
      <c r="A188" s="281">
        <f t="shared" si="3"/>
        <v>12</v>
      </c>
      <c r="B188" s="416" t="str">
        <f>$L$13</f>
        <v>Team 10</v>
      </c>
      <c r="C188" s="280" t="str">
        <f t="array" ref="C188">IFERROR(INDEX([1]Sheet1!$D$2:$D$113,MATCH(1,($B188= [1]Sheet1!$C$2:$C$113)*($A188=[1]Sheet1!$B$2:$B$113),0)),INDEX([1]Sheet1!$C$2:$C$113,MATCH(1,($B188= [1]Sheet1!$D$2:$D$113)*($A188=[1]Sheet1!$B$2:$B$113),0)))</f>
        <v>Team 8</v>
      </c>
      <c r="D188" s="309">
        <f t="array" ref="D188">IFERROR(INDEX([1]Sheet1!$E$2:$E$113,MATCH(1,($B188= [1]Sheet1!$C$2:$C$113)*($A188=[1]Sheet1!$B$2:$B$113),0)),INDEX([1]Sheet1!$F$2:$F$113,MATCH(1,($B188= [1]Sheet1!$D$2:$D$113)*($A188=[1]Sheet1!$B$2:$B$113),0)))</f>
        <v>51.3</v>
      </c>
      <c r="E188" s="309">
        <f t="array" ref="E188">IF($A188&gt;Standings!$Q$27,"",INDEX($D$3:$D$226,(MATCH(1,($B$3:$B$226=$C188)*($A$3:$A$226=$A188),0))))</f>
        <v>140.47999999999999</v>
      </c>
      <c r="F188" s="310">
        <f>IF(A188&gt;Standings!$Q$27,"",IFERROR(VLOOKUP($B188,'[2]Week 12'!B$2:C$17,2,0),"No FAAB Entered"))</f>
        <v>73</v>
      </c>
      <c r="G188" s="310">
        <f>IF(A188&gt;Standings!$Q$27,"",H188-I188)</f>
        <v>0</v>
      </c>
      <c r="H188" s="310">
        <f>IF(A188&gt;Standings!$Q$27,"",I172)</f>
        <v>27</v>
      </c>
      <c r="I188" s="311">
        <f>IF(A188&gt;Standings!$Q$27,"",100-F188)</f>
        <v>27</v>
      </c>
      <c r="J188" s="137"/>
      <c r="M188" s="137"/>
    </row>
    <row r="189" spans="1:13">
      <c r="A189" s="281">
        <f t="shared" si="3"/>
        <v>12</v>
      </c>
      <c r="B189" s="416" t="str">
        <f>$L$14</f>
        <v>Team 11</v>
      </c>
      <c r="C189" s="280" t="str">
        <f t="array" ref="C189">IFERROR(INDEX([1]Sheet1!$D$2:$D$113,MATCH(1,($B189= [1]Sheet1!$C$2:$C$113)*($A189=[1]Sheet1!$B$2:$B$113),0)),INDEX([1]Sheet1!$C$2:$C$113,MATCH(1,($B189= [1]Sheet1!$D$2:$D$113)*($A189=[1]Sheet1!$B$2:$B$113),0)))</f>
        <v>Team 14</v>
      </c>
      <c r="D189" s="309">
        <f t="array" ref="D189">IFERROR(INDEX([1]Sheet1!$E$2:$E$113,MATCH(1,($B189= [1]Sheet1!$C$2:$C$113)*($A189=[1]Sheet1!$B$2:$B$113),0)),INDEX([1]Sheet1!$F$2:$F$113,MATCH(1,($B189= [1]Sheet1!$D$2:$D$113)*($A189=[1]Sheet1!$B$2:$B$113),0)))</f>
        <v>116.15</v>
      </c>
      <c r="E189" s="309">
        <f t="array" ref="E189">IF($A189&gt;Standings!$Q$27,"",INDEX($D$3:$D$226,(MATCH(1,($B$3:$B$226=$C189)*($A$3:$A$226=$A189),0))))</f>
        <v>106.11</v>
      </c>
      <c r="F189" s="310">
        <f>IF(A189&gt;Standings!$Q$27,"",IFERROR(VLOOKUP($B189,'[2]Week 12'!B$2:C$17,2,0),"No FAAB Entered"))</f>
        <v>100</v>
      </c>
      <c r="G189" s="310">
        <f>IF(A189&gt;Standings!$Q$27,"",H189-I189)</f>
        <v>0</v>
      </c>
      <c r="H189" s="310">
        <f>IF(A189&gt;Standings!$Q$27,"",I173)</f>
        <v>0</v>
      </c>
      <c r="I189" s="311">
        <f>IF(A189&gt;Standings!$Q$27,"",100-F189)</f>
        <v>0</v>
      </c>
      <c r="J189" s="137"/>
      <c r="M189" s="137"/>
    </row>
    <row r="190" spans="1:13">
      <c r="A190" s="281">
        <f t="shared" si="3"/>
        <v>12</v>
      </c>
      <c r="B190" s="416" t="str">
        <f>$L$15</f>
        <v>Team 12</v>
      </c>
      <c r="C190" s="280" t="str">
        <f t="array" ref="C190">IFERROR(INDEX([1]Sheet1!$D$2:$D$113,MATCH(1,($B190= [1]Sheet1!$C$2:$C$113)*($A190=[1]Sheet1!$B$2:$B$113),0)),INDEX([1]Sheet1!$C$2:$C$113,MATCH(1,($B190= [1]Sheet1!$D$2:$D$113)*($A190=[1]Sheet1!$B$2:$B$113),0)))</f>
        <v>Team 1</v>
      </c>
      <c r="D190" s="309">
        <f t="array" ref="D190">IFERROR(INDEX([1]Sheet1!$E$2:$E$113,MATCH(1,($B190= [1]Sheet1!$C$2:$C$113)*($A190=[1]Sheet1!$B$2:$B$113),0)),INDEX([1]Sheet1!$F$2:$F$113,MATCH(1,($B190= [1]Sheet1!$D$2:$D$113)*($A190=[1]Sheet1!$B$2:$B$113),0)))</f>
        <v>85.52</v>
      </c>
      <c r="E190" s="309">
        <f t="array" ref="E190">IF($A190&gt;Standings!$Q$27,"",INDEX($D$3:$D$226,(MATCH(1,($B$3:$B$226=$C190)*($A$3:$A$226=$A190),0))))</f>
        <v>98.98</v>
      </c>
      <c r="F190" s="310">
        <f>IF(A190&gt;Standings!$Q$27,"",IFERROR(VLOOKUP($B190,'[2]Week 12'!B$2:C$17,2,0),"No FAAB Entered"))</f>
        <v>62</v>
      </c>
      <c r="G190" s="310">
        <f>IF(A190&gt;Standings!$Q$27,"",H190-I190)</f>
        <v>0</v>
      </c>
      <c r="H190" s="310">
        <f>IF(A190&gt;Standings!$Q$27,"",I174)</f>
        <v>38</v>
      </c>
      <c r="I190" s="311">
        <f>IF(A190&gt;Standings!$Q$27,"",100-F190)</f>
        <v>38</v>
      </c>
      <c r="J190" s="315"/>
      <c r="M190" s="137"/>
    </row>
    <row r="191" spans="1:13">
      <c r="A191" s="281">
        <f t="shared" si="3"/>
        <v>12</v>
      </c>
      <c r="B191" s="416" t="str">
        <f>$L$16</f>
        <v>Team 13</v>
      </c>
      <c r="C191" s="280" t="str">
        <f t="array" ref="C191">IFERROR(INDEX([1]Sheet1!$D$2:$D$113,MATCH(1,($B191= [1]Sheet1!$C$2:$C$113)*($A191=[1]Sheet1!$B$2:$B$113),0)),INDEX([1]Sheet1!$C$2:$C$113,MATCH(1,($B191= [1]Sheet1!$D$2:$D$113)*($A191=[1]Sheet1!$B$2:$B$113),0)))</f>
        <v>Team 5</v>
      </c>
      <c r="D191" s="309">
        <f t="array" ref="D191">IFERROR(INDEX([1]Sheet1!$E$2:$E$113,MATCH(1,($B191= [1]Sheet1!$C$2:$C$113)*($A191=[1]Sheet1!$B$2:$B$113),0)),INDEX([1]Sheet1!$F$2:$F$113,MATCH(1,($B191= [1]Sheet1!$D$2:$D$113)*($A191=[1]Sheet1!$B$2:$B$113),0)))</f>
        <v>72.25</v>
      </c>
      <c r="E191" s="309">
        <f t="array" ref="E191">IF($A191&gt;Standings!$Q$27,"",INDEX($D$3:$D$226,(MATCH(1,($B$3:$B$226=$C191)*($A$3:$A$226=$A191),0))))</f>
        <v>88.25</v>
      </c>
      <c r="F191" s="310">
        <f>IF(A191&gt;Standings!$Q$27,"",IFERROR(VLOOKUP($B191,'[2]Week 12'!B$2:C$17,2,0),"No FAAB Entered"))</f>
        <v>100</v>
      </c>
      <c r="G191" s="310">
        <f>IF(A191&gt;Standings!$Q$27,"",H191-I191)</f>
        <v>0</v>
      </c>
      <c r="H191" s="310">
        <f>IF(A191&gt;Standings!$Q$27,"",I175)</f>
        <v>0</v>
      </c>
      <c r="I191" s="311">
        <f>IF(A191&gt;Standings!$Q$27,"",100-F191)</f>
        <v>0</v>
      </c>
      <c r="J191" s="327"/>
      <c r="M191" s="137"/>
    </row>
    <row r="192" spans="1:13">
      <c r="A192" s="281">
        <f t="shared" si="3"/>
        <v>12</v>
      </c>
      <c r="B192" s="416" t="str">
        <f>$L$17</f>
        <v>Team 14</v>
      </c>
      <c r="C192" s="280" t="str">
        <f t="array" ref="C192">IFERROR(INDEX([1]Sheet1!$D$2:$D$113,MATCH(1,($B192= [1]Sheet1!$C$2:$C$113)*($A192=[1]Sheet1!$B$2:$B$113),0)),INDEX([1]Sheet1!$C$2:$C$113,MATCH(1,($B192= [1]Sheet1!$D$2:$D$113)*($A192=[1]Sheet1!$B$2:$B$113),0)))</f>
        <v>Team 11</v>
      </c>
      <c r="D192" s="309">
        <f t="array" ref="D192">IFERROR(INDEX([1]Sheet1!$E$2:$E$113,MATCH(1,($B192= [1]Sheet1!$C$2:$C$113)*($A192=[1]Sheet1!$B$2:$B$113),0)),INDEX([1]Sheet1!$F$2:$F$113,MATCH(1,($B192= [1]Sheet1!$D$2:$D$113)*($A192=[1]Sheet1!$B$2:$B$113),0)))</f>
        <v>106.11</v>
      </c>
      <c r="E192" s="309">
        <f t="array" ref="E192">IF($A192&gt;Standings!$Q$27,"",INDEX($D$3:$D$226,(MATCH(1,($B$3:$B$226=$C192)*($A$3:$A$226=$A192),0))))</f>
        <v>116.15</v>
      </c>
      <c r="F192" s="310">
        <f>IF(A192&gt;Standings!$Q$27,"",IFERROR(VLOOKUP($B192,'[2]Week 12'!B$2:C$17,2,0),"No FAAB Entered"))</f>
        <v>40</v>
      </c>
      <c r="G192" s="310">
        <f>IF(A192&gt;Standings!$Q$27,"",H192-I192)</f>
        <v>35</v>
      </c>
      <c r="H192" s="310">
        <f>IF(A192&gt;Standings!$Q$27,"",I176)</f>
        <v>95</v>
      </c>
      <c r="I192" s="311">
        <f>IF(A192&gt;Standings!$Q$27,"",100-F192)</f>
        <v>60</v>
      </c>
      <c r="J192" s="118"/>
      <c r="M192" s="137"/>
    </row>
    <row r="193" spans="1:13">
      <c r="A193" s="281">
        <f t="shared" si="3"/>
        <v>12</v>
      </c>
      <c r="B193" s="416" t="str">
        <f>$L$18</f>
        <v>Team 15</v>
      </c>
      <c r="C193" s="280" t="str">
        <f t="array" ref="C193">IFERROR(INDEX([1]Sheet1!$D$2:$D$113,MATCH(1,($B193= [1]Sheet1!$C$2:$C$113)*($A193=[1]Sheet1!$B$2:$B$113),0)),INDEX([1]Sheet1!$C$2:$C$113,MATCH(1,($B193= [1]Sheet1!$D$2:$D$113)*($A193=[1]Sheet1!$B$2:$B$113),0)))</f>
        <v>Team 4</v>
      </c>
      <c r="D193" s="309">
        <f t="array" ref="D193">IFERROR(INDEX([1]Sheet1!$E$2:$E$113,MATCH(1,($B193= [1]Sheet1!$C$2:$C$113)*($A193=[1]Sheet1!$B$2:$B$113),0)),INDEX([1]Sheet1!$F$2:$F$113,MATCH(1,($B193= [1]Sheet1!$D$2:$D$113)*($A193=[1]Sheet1!$B$2:$B$113),0)))</f>
        <v>64.040000000000006</v>
      </c>
      <c r="E193" s="309">
        <f t="array" ref="E193">IF($A193&gt;Standings!$Q$27,"",INDEX($D$3:$D$226,(MATCH(1,($B$3:$B$226=$C193)*($A$3:$A$226=$A193),0))))</f>
        <v>117.48</v>
      </c>
      <c r="F193" s="310">
        <f>IF(A193&gt;Standings!$Q$27,"",IFERROR(VLOOKUP($B193,'[2]Week 12'!B$2:C$17,2,0),"No FAAB Entered"))</f>
        <v>91</v>
      </c>
      <c r="G193" s="310">
        <f>IF(A193&gt;Standings!$Q$27,"",H193-I193)</f>
        <v>0</v>
      </c>
      <c r="H193" s="310">
        <f>IF(A193&gt;Standings!$Q$27,"",I177)</f>
        <v>9</v>
      </c>
      <c r="I193" s="311">
        <f>IF(A193&gt;Standings!$Q$27,"",100-F193)</f>
        <v>9</v>
      </c>
      <c r="J193" s="137"/>
      <c r="M193" s="137"/>
    </row>
    <row r="194" spans="1:13" ht="16" thickBot="1">
      <c r="A194" s="283">
        <f t="shared" si="3"/>
        <v>12</v>
      </c>
      <c r="B194" s="417" t="str">
        <f>$L$19</f>
        <v>Team 16</v>
      </c>
      <c r="C194" s="282" t="str">
        <f t="array" ref="C194">IFERROR(INDEX([1]Sheet1!$D$2:$D$113,MATCH(1,($B194= [1]Sheet1!$C$2:$C$113)*($A194=[1]Sheet1!$B$2:$B$113),0)),INDEX([1]Sheet1!$C$2:$C$113,MATCH(1,($B194= [1]Sheet1!$D$2:$D$113)*($A194=[1]Sheet1!$B$2:$B$113),0)))</f>
        <v>Team 9</v>
      </c>
      <c r="D194" s="312">
        <f t="array" ref="D194">IFERROR(INDEX([1]Sheet1!$E$2:$E$113,MATCH(1,($B194= [1]Sheet1!$C$2:$C$113)*($A194=[1]Sheet1!$B$2:$B$113),0)),INDEX([1]Sheet1!$F$2:$F$113,MATCH(1,($B194= [1]Sheet1!$D$2:$D$113)*($A194=[1]Sheet1!$B$2:$B$113),0)))</f>
        <v>113.41</v>
      </c>
      <c r="E194" s="312">
        <f t="array" ref="E194">IF($A194&gt;Standings!$Q$27,"",INDEX($D$3:$D$226,(MATCH(1,($B$3:$B$226=$C194)*($A$3:$A$226=$A194),0))))</f>
        <v>137.66</v>
      </c>
      <c r="F194" s="313">
        <f>IF(A194&gt;Standings!$Q$27,"",IFERROR(VLOOKUP($B194,'[2]Week 12'!B$2:C$17,2,0),"No FAAB Entered"))</f>
        <v>100</v>
      </c>
      <c r="G194" s="313">
        <f>IF(A194&gt;Standings!$Q$27,"",H194-I194)</f>
        <v>0</v>
      </c>
      <c r="H194" s="313">
        <f>IF(A194&gt;Standings!$Q$27,"",I178)</f>
        <v>0</v>
      </c>
      <c r="I194" s="314">
        <f>IF(A194&gt;Standings!$Q$27,"",100-F194)</f>
        <v>0</v>
      </c>
      <c r="J194" s="137"/>
      <c r="M194" s="137"/>
    </row>
    <row r="195" spans="1:13">
      <c r="A195" s="277">
        <f t="shared" si="3"/>
        <v>13</v>
      </c>
      <c r="B195" s="414" t="str">
        <f>$L$4</f>
        <v>Team 1</v>
      </c>
      <c r="C195" s="276" t="str">
        <f t="array" ref="C195">IFERROR(INDEX([1]Sheet1!$D$2:$D$113,MATCH(1,($B195= [1]Sheet1!$C$2:$C$113)*($A195=[1]Sheet1!$B$2:$B$113),0)),INDEX([1]Sheet1!$C$2:$C$113,MATCH(1,($B195= [1]Sheet1!$D$2:$D$113)*($A195=[1]Sheet1!$B$2:$B$113),0)))</f>
        <v>Team 13</v>
      </c>
      <c r="D195" s="295">
        <f t="array" ref="D195">IFERROR(INDEX([1]Sheet1!$E$2:$E$113,MATCH(1,($B195= [1]Sheet1!$C$2:$C$113)*($A195=[1]Sheet1!$B$2:$B$113),0)),INDEX([1]Sheet1!$F$2:$F$113,MATCH(1,($B195= [1]Sheet1!$D$2:$D$113)*($A195=[1]Sheet1!$B$2:$B$113),0)))</f>
        <v>95.1</v>
      </c>
      <c r="E195" s="325">
        <f t="array" ref="E195">IF($A195&gt;Standings!$Q$27,"",INDEX($D$3:$D$226,(MATCH(1,($B$3:$B$226=$C195)*($A$3:$A$226=$A195),0))))</f>
        <v>72.98</v>
      </c>
      <c r="F195" s="296">
        <f>IF(A195&gt;Standings!$Q$27,"",IFERROR(VLOOKUP($B195,'[2]Week 13'!B$2:C$17,2,0),"No FAAB Entered"))</f>
        <v>96</v>
      </c>
      <c r="G195" s="296">
        <f>IF(A195&gt;Standings!$Q$27,"",H195-I195)</f>
        <v>3</v>
      </c>
      <c r="H195" s="296">
        <f>IF(A195&gt;Standings!$Q$27,"",I179)</f>
        <v>7</v>
      </c>
      <c r="I195" s="297">
        <f>IF(A195&gt;Standings!$Q$27,"",100-F195)</f>
        <v>4</v>
      </c>
      <c r="J195" s="137"/>
      <c r="M195" s="137"/>
    </row>
    <row r="196" spans="1:13">
      <c r="A196" s="279">
        <f t="shared" si="3"/>
        <v>13</v>
      </c>
      <c r="B196" s="415" t="str">
        <f>$L$5</f>
        <v>Team 2</v>
      </c>
      <c r="C196" s="278" t="str">
        <f t="array" ref="C196">IFERROR(INDEX([1]Sheet1!$D$2:$D$113,MATCH(1,($B196= [1]Sheet1!$C$2:$C$113)*($A196=[1]Sheet1!$B$2:$B$113),0)),INDEX([1]Sheet1!$C$2:$C$113,MATCH(1,($B196= [1]Sheet1!$D$2:$D$113)*($A196=[1]Sheet1!$B$2:$B$113),0)))</f>
        <v>Team 9</v>
      </c>
      <c r="D196" s="302">
        <f t="array" ref="D196">IFERROR(INDEX([1]Sheet1!$E$2:$E$113,MATCH(1,($B196= [1]Sheet1!$C$2:$C$113)*($A196=[1]Sheet1!$B$2:$B$113),0)),INDEX([1]Sheet1!$F$2:$F$113,MATCH(1,($B196= [1]Sheet1!$D$2:$D$113)*($A196=[1]Sheet1!$B$2:$B$113),0)))</f>
        <v>90.75</v>
      </c>
      <c r="E196" s="326">
        <f t="array" ref="E196">IF($A196&gt;Standings!$Q$27,"",INDEX($D$3:$D$226,(MATCH(1,($B$3:$B$226=$C196)*($A$3:$A$226=$A196),0))))</f>
        <v>144.69</v>
      </c>
      <c r="F196" s="303">
        <f>IF(A196&gt;Standings!$Q$27,"",IFERROR(VLOOKUP($B196,'[2]Week 13'!B$2:C$17,2,0),"No FAAB Entered"))</f>
        <v>98</v>
      </c>
      <c r="G196" s="303">
        <f>IF(A196&gt;Standings!$Q$27,"",H196-I196)</f>
        <v>0</v>
      </c>
      <c r="H196" s="303">
        <f>IF(A196&gt;Standings!$Q$27,"",I180)</f>
        <v>2</v>
      </c>
      <c r="I196" s="304">
        <f>IF(A196&gt;Standings!$Q$27,"",100-F196)</f>
        <v>2</v>
      </c>
      <c r="J196" s="137"/>
      <c r="M196" s="137"/>
    </row>
    <row r="197" spans="1:13">
      <c r="A197" s="279">
        <f t="shared" si="3"/>
        <v>13</v>
      </c>
      <c r="B197" s="415" t="str">
        <f>$L$6</f>
        <v>Team 3</v>
      </c>
      <c r="C197" s="278" t="str">
        <f t="array" ref="C197">IFERROR(INDEX([1]Sheet1!$D$2:$D$113,MATCH(1,($B197= [1]Sheet1!$C$2:$C$113)*($A197=[1]Sheet1!$B$2:$B$113),0)),INDEX([1]Sheet1!$C$2:$C$113,MATCH(1,($B197= [1]Sheet1!$D$2:$D$113)*($A197=[1]Sheet1!$B$2:$B$113),0)))</f>
        <v>Team 16</v>
      </c>
      <c r="D197" s="302">
        <f t="array" ref="D197">IFERROR(INDEX([1]Sheet1!$E$2:$E$113,MATCH(1,($B197= [1]Sheet1!$C$2:$C$113)*($A197=[1]Sheet1!$B$2:$B$113),0)),INDEX([1]Sheet1!$F$2:$F$113,MATCH(1,($B197= [1]Sheet1!$D$2:$D$113)*($A197=[1]Sheet1!$B$2:$B$113),0)))</f>
        <v>105.17</v>
      </c>
      <c r="E197" s="326">
        <f t="array" ref="E197">IF($A197&gt;Standings!$Q$27,"",INDEX($D$3:$D$226,(MATCH(1,($B$3:$B$226=$C197)*($A$3:$A$226=$A197),0))))</f>
        <v>83.64</v>
      </c>
      <c r="F197" s="303">
        <f>IF(A197&gt;Standings!$Q$27,"",IFERROR(VLOOKUP($B197,'[2]Week 13'!B$2:C$17,2,0),"No FAAB Entered"))</f>
        <v>68</v>
      </c>
      <c r="G197" s="303">
        <f>IF(A197&gt;Standings!$Q$27,"",H197-I197)</f>
        <v>0</v>
      </c>
      <c r="H197" s="303">
        <f>IF(A197&gt;Standings!$Q$27,"",I181)</f>
        <v>32</v>
      </c>
      <c r="I197" s="304">
        <f>IF(A197&gt;Standings!$Q$27,"",100-F197)</f>
        <v>32</v>
      </c>
      <c r="J197" s="137"/>
      <c r="M197" s="137"/>
    </row>
    <row r="198" spans="1:13">
      <c r="A198" s="279">
        <f t="shared" si="3"/>
        <v>13</v>
      </c>
      <c r="B198" s="415" t="str">
        <f>$L$7</f>
        <v>Team 4</v>
      </c>
      <c r="C198" s="278" t="str">
        <f t="array" ref="C198">IFERROR(INDEX([1]Sheet1!$D$2:$D$113,MATCH(1,($B198= [1]Sheet1!$C$2:$C$113)*($A198=[1]Sheet1!$B$2:$B$113),0)),INDEX([1]Sheet1!$C$2:$C$113,MATCH(1,($B198= [1]Sheet1!$D$2:$D$113)*($A198=[1]Sheet1!$B$2:$B$113),0)))</f>
        <v>Team 8</v>
      </c>
      <c r="D198" s="302">
        <f t="array" ref="D198">IFERROR(INDEX([1]Sheet1!$E$2:$E$113,MATCH(1,($B198= [1]Sheet1!$C$2:$C$113)*($A198=[1]Sheet1!$B$2:$B$113),0)),INDEX([1]Sheet1!$F$2:$F$113,MATCH(1,($B198= [1]Sheet1!$D$2:$D$113)*($A198=[1]Sheet1!$B$2:$B$113),0)))</f>
        <v>104.84</v>
      </c>
      <c r="E198" s="326">
        <f t="array" ref="E198">IF($A198&gt;Standings!$Q$27,"",INDEX($D$3:$D$226,(MATCH(1,($B$3:$B$226=$C198)*($A$3:$A$226=$A198),0))))</f>
        <v>102.1</v>
      </c>
      <c r="F198" s="303">
        <f>IF(A198&gt;Standings!$Q$27,"",IFERROR(VLOOKUP($B198,'[2]Week 13'!B$2:C$17,2,0),"No FAAB Entered"))</f>
        <v>72</v>
      </c>
      <c r="G198" s="303">
        <f>IF(A198&gt;Standings!$Q$27,"",H198-I198)</f>
        <v>2</v>
      </c>
      <c r="H198" s="303">
        <f>IF(A198&gt;Standings!$Q$27,"",I182)</f>
        <v>30</v>
      </c>
      <c r="I198" s="304">
        <f>IF(A198&gt;Standings!$Q$27,"",100-F198)</f>
        <v>28</v>
      </c>
      <c r="J198" s="137"/>
      <c r="M198" s="137"/>
    </row>
    <row r="199" spans="1:13">
      <c r="A199" s="279">
        <f t="shared" si="3"/>
        <v>13</v>
      </c>
      <c r="B199" s="415" t="str">
        <f>$L$8</f>
        <v>Team 5</v>
      </c>
      <c r="C199" s="278" t="str">
        <f t="array" ref="C199">IFERROR(INDEX([1]Sheet1!$D$2:$D$113,MATCH(1,($B199= [1]Sheet1!$C$2:$C$113)*($A199=[1]Sheet1!$B$2:$B$113),0)),INDEX([1]Sheet1!$C$2:$C$113,MATCH(1,($B199= [1]Sheet1!$D$2:$D$113)*($A199=[1]Sheet1!$B$2:$B$113),0)))</f>
        <v>Team 12</v>
      </c>
      <c r="D199" s="302">
        <f t="array" ref="D199">IFERROR(INDEX([1]Sheet1!$E$2:$E$113,MATCH(1,($B199= [1]Sheet1!$C$2:$C$113)*($A199=[1]Sheet1!$B$2:$B$113),0)),INDEX([1]Sheet1!$F$2:$F$113,MATCH(1,($B199= [1]Sheet1!$D$2:$D$113)*($A199=[1]Sheet1!$B$2:$B$113),0)))</f>
        <v>90.68</v>
      </c>
      <c r="E199" s="326">
        <f t="array" ref="E199">IF($A199&gt;Standings!$Q$27,"",INDEX($D$3:$D$226,(MATCH(1,($B$3:$B$226=$C199)*($A$3:$A$226=$A199),0))))</f>
        <v>90.95</v>
      </c>
      <c r="F199" s="303">
        <f>IF(A199&gt;Standings!$Q$27,"",IFERROR(VLOOKUP($B199,'[2]Week 13'!B$2:C$17,2,0),"No FAAB Entered"))</f>
        <v>100</v>
      </c>
      <c r="G199" s="303">
        <f>IF(A199&gt;Standings!$Q$27,"",H199-I199)</f>
        <v>0</v>
      </c>
      <c r="H199" s="303">
        <f>IF(A199&gt;Standings!$Q$27,"",I183)</f>
        <v>0</v>
      </c>
      <c r="I199" s="304">
        <f>IF(A199&gt;Standings!$Q$27,"",100-F199)</f>
        <v>0</v>
      </c>
      <c r="J199" s="137"/>
      <c r="M199" s="137"/>
    </row>
    <row r="200" spans="1:13">
      <c r="A200" s="279">
        <f t="shared" si="3"/>
        <v>13</v>
      </c>
      <c r="B200" s="415" t="str">
        <f>$L$9</f>
        <v>Team 6</v>
      </c>
      <c r="C200" s="278" t="str">
        <f t="array" ref="C200">IFERROR(INDEX([1]Sheet1!$D$2:$D$113,MATCH(1,($B200= [1]Sheet1!$C$2:$C$113)*($A200=[1]Sheet1!$B$2:$B$113),0)),INDEX([1]Sheet1!$C$2:$C$113,MATCH(1,($B200= [1]Sheet1!$D$2:$D$113)*($A200=[1]Sheet1!$B$2:$B$113),0)))</f>
        <v>Team 14</v>
      </c>
      <c r="D200" s="302">
        <f t="array" ref="D200">IFERROR(INDEX([1]Sheet1!$E$2:$E$113,MATCH(1,($B200= [1]Sheet1!$C$2:$C$113)*($A200=[1]Sheet1!$B$2:$B$113),0)),INDEX([1]Sheet1!$F$2:$F$113,MATCH(1,($B200= [1]Sheet1!$D$2:$D$113)*($A200=[1]Sheet1!$B$2:$B$113),0)))</f>
        <v>101.68</v>
      </c>
      <c r="E200" s="326">
        <f t="array" ref="E200">IF($A200&gt;Standings!$Q$27,"",INDEX($D$3:$D$226,(MATCH(1,($B$3:$B$226=$C200)*($A$3:$A$226=$A200),0))))</f>
        <v>114.13</v>
      </c>
      <c r="F200" s="303">
        <f>IF(A200&gt;Standings!$Q$27,"",IFERROR(VLOOKUP($B200,'[2]Week 13'!B$2:C$17,2,0),"No FAAB Entered"))</f>
        <v>64</v>
      </c>
      <c r="G200" s="303">
        <f>IF(A200&gt;Standings!$Q$27,"",H200-I200)</f>
        <v>0</v>
      </c>
      <c r="H200" s="303">
        <f>IF(A200&gt;Standings!$Q$27,"",I184)</f>
        <v>36</v>
      </c>
      <c r="I200" s="304">
        <f>IF(A200&gt;Standings!$Q$27,"",100-F200)</f>
        <v>36</v>
      </c>
      <c r="J200" s="137"/>
      <c r="M200" s="137"/>
    </row>
    <row r="201" spans="1:13">
      <c r="A201" s="279">
        <f t="shared" si="3"/>
        <v>13</v>
      </c>
      <c r="B201" s="415" t="str">
        <f>$L$10</f>
        <v>Team 7</v>
      </c>
      <c r="C201" s="278" t="str">
        <f t="array" ref="C201">IFERROR(INDEX([1]Sheet1!$D$2:$D$113,MATCH(1,($B201= [1]Sheet1!$C$2:$C$113)*($A201=[1]Sheet1!$B$2:$B$113),0)),INDEX([1]Sheet1!$C$2:$C$113,MATCH(1,($B201= [1]Sheet1!$D$2:$D$113)*($A201=[1]Sheet1!$B$2:$B$113),0)))</f>
        <v>Team 11</v>
      </c>
      <c r="D201" s="302">
        <f t="array" ref="D201">IFERROR(INDEX([1]Sheet1!$E$2:$E$113,MATCH(1,($B201= [1]Sheet1!$C$2:$C$113)*($A201=[1]Sheet1!$B$2:$B$113),0)),INDEX([1]Sheet1!$F$2:$F$113,MATCH(1,($B201= [1]Sheet1!$D$2:$D$113)*($A201=[1]Sheet1!$B$2:$B$113),0)))</f>
        <v>84.18</v>
      </c>
      <c r="E201" s="326">
        <f t="array" ref="E201">IF($A201&gt;Standings!$Q$27,"",INDEX($D$3:$D$226,(MATCH(1,($B$3:$B$226=$C201)*($A$3:$A$226=$A201),0))))</f>
        <v>110.41</v>
      </c>
      <c r="F201" s="303">
        <f>IF(A201&gt;Standings!$Q$27,"",IFERROR(VLOOKUP($B201,'[2]Week 13'!B$2:C$17,2,0),"No FAAB Entered"))</f>
        <v>30</v>
      </c>
      <c r="G201" s="303">
        <f>IF(A201&gt;Standings!$Q$27,"",H201-I201)</f>
        <v>0</v>
      </c>
      <c r="H201" s="303">
        <f>IF(A201&gt;Standings!$Q$27,"",I185)</f>
        <v>70</v>
      </c>
      <c r="I201" s="304">
        <f>IF(A201&gt;Standings!$Q$27,"",100-F201)</f>
        <v>70</v>
      </c>
      <c r="J201" s="137"/>
      <c r="M201" s="137"/>
    </row>
    <row r="202" spans="1:13">
      <c r="A202" s="279">
        <f t="shared" si="3"/>
        <v>13</v>
      </c>
      <c r="B202" s="415" t="str">
        <f>$L$11</f>
        <v>Team 8</v>
      </c>
      <c r="C202" s="278" t="str">
        <f t="array" ref="C202">IFERROR(INDEX([1]Sheet1!$D$2:$D$113,MATCH(1,($B202= [1]Sheet1!$C$2:$C$113)*($A202=[1]Sheet1!$B$2:$B$113),0)),INDEX([1]Sheet1!$C$2:$C$113,MATCH(1,($B202= [1]Sheet1!$D$2:$D$113)*($A202=[1]Sheet1!$B$2:$B$113),0)))</f>
        <v>Team 4</v>
      </c>
      <c r="D202" s="302">
        <f t="array" ref="D202">IFERROR(INDEX([1]Sheet1!$E$2:$E$113,MATCH(1,($B202= [1]Sheet1!$C$2:$C$113)*($A202=[1]Sheet1!$B$2:$B$113),0)),INDEX([1]Sheet1!$F$2:$F$113,MATCH(1,($B202= [1]Sheet1!$D$2:$D$113)*($A202=[1]Sheet1!$B$2:$B$113),0)))</f>
        <v>102.1</v>
      </c>
      <c r="E202" s="326">
        <f t="array" ref="E202">IF($A202&gt;Standings!$Q$27,"",INDEX($D$3:$D$226,(MATCH(1,($B$3:$B$226=$C202)*($A$3:$A$226=$A202),0))))</f>
        <v>104.84</v>
      </c>
      <c r="F202" s="303">
        <f>IF(A202&gt;Standings!$Q$27,"",IFERROR(VLOOKUP($B202,'[2]Week 13'!B$2:C$17,2,0),"No FAAB Entered"))</f>
        <v>48</v>
      </c>
      <c r="G202" s="303">
        <f>IF(A202&gt;Standings!$Q$27,"",H202-I202)</f>
        <v>0</v>
      </c>
      <c r="H202" s="303">
        <f>IF(A202&gt;Standings!$Q$27,"",I186)</f>
        <v>52</v>
      </c>
      <c r="I202" s="304">
        <f>IF(A202&gt;Standings!$Q$27,"",100-F202)</f>
        <v>52</v>
      </c>
      <c r="J202" s="137"/>
      <c r="M202" s="137"/>
    </row>
    <row r="203" spans="1:13">
      <c r="A203" s="281">
        <f t="shared" si="3"/>
        <v>13</v>
      </c>
      <c r="B203" s="416" t="str">
        <f>$L$12</f>
        <v>Team 9</v>
      </c>
      <c r="C203" s="280" t="str">
        <f t="array" ref="C203">IFERROR(INDEX([1]Sheet1!$D$2:$D$113,MATCH(1,($B203= [1]Sheet1!$C$2:$C$113)*($A203=[1]Sheet1!$B$2:$B$113),0)),INDEX([1]Sheet1!$C$2:$C$113,MATCH(1,($B203= [1]Sheet1!$D$2:$D$113)*($A203=[1]Sheet1!$B$2:$B$113),0)))</f>
        <v>Team 2</v>
      </c>
      <c r="D203" s="309">
        <f t="array" ref="D203">IFERROR(INDEX([1]Sheet1!$E$2:$E$113,MATCH(1,($B203= [1]Sheet1!$C$2:$C$113)*($A203=[1]Sheet1!$B$2:$B$113),0)),INDEX([1]Sheet1!$F$2:$F$113,MATCH(1,($B203= [1]Sheet1!$D$2:$D$113)*($A203=[1]Sheet1!$B$2:$B$113),0)))</f>
        <v>144.69</v>
      </c>
      <c r="E203" s="328">
        <f t="array" ref="E203">IF($A203&gt;Standings!$Q$27,"",INDEX($D$3:$D$226,(MATCH(1,($B$3:$B$226=$C203)*($A$3:$A$226=$A203),0))))</f>
        <v>90.75</v>
      </c>
      <c r="F203" s="310">
        <f>IF(A203&gt;Standings!$Q$27,"",IFERROR(VLOOKUP($B203,'[2]Week 13'!B$2:C$17,2,0),"No FAAB Entered"))</f>
        <v>52</v>
      </c>
      <c r="G203" s="310">
        <f>IF(A203&gt;Standings!$Q$27,"",H203-I203)</f>
        <v>0</v>
      </c>
      <c r="H203" s="310">
        <f>IF(A203&gt;Standings!$Q$27,"",I187)</f>
        <v>48</v>
      </c>
      <c r="I203" s="311">
        <f>IF(A203&gt;Standings!$Q$27,"",100-F203)</f>
        <v>48</v>
      </c>
      <c r="J203" s="137"/>
      <c r="M203" s="137"/>
    </row>
    <row r="204" spans="1:13">
      <c r="A204" s="281">
        <f t="shared" si="3"/>
        <v>13</v>
      </c>
      <c r="B204" s="416" t="str">
        <f>$L$13</f>
        <v>Team 10</v>
      </c>
      <c r="C204" s="280" t="str">
        <f t="array" ref="C204">IFERROR(INDEX([1]Sheet1!$D$2:$D$113,MATCH(1,($B204= [1]Sheet1!$C$2:$C$113)*($A204=[1]Sheet1!$B$2:$B$113),0)),INDEX([1]Sheet1!$C$2:$C$113,MATCH(1,($B204= [1]Sheet1!$D$2:$D$113)*($A204=[1]Sheet1!$B$2:$B$113),0)))</f>
        <v>Team 15</v>
      </c>
      <c r="D204" s="309">
        <f t="array" ref="D204">IFERROR(INDEX([1]Sheet1!$E$2:$E$113,MATCH(1,($B204= [1]Sheet1!$C$2:$C$113)*($A204=[1]Sheet1!$B$2:$B$113),0)),INDEX([1]Sheet1!$F$2:$F$113,MATCH(1,($B204= [1]Sheet1!$D$2:$D$113)*($A204=[1]Sheet1!$B$2:$B$113),0)))</f>
        <v>84.35</v>
      </c>
      <c r="E204" s="328">
        <f t="array" ref="E204">IF($A204&gt;Standings!$Q$27,"",INDEX($D$3:$D$226,(MATCH(1,($B$3:$B$226=$C204)*($A$3:$A$226=$A204),0))))</f>
        <v>184.43</v>
      </c>
      <c r="F204" s="310">
        <f>IF(A204&gt;Standings!$Q$27,"",IFERROR(VLOOKUP($B204,'[2]Week 13'!B$2:C$17,2,0),"No FAAB Entered"))</f>
        <v>100</v>
      </c>
      <c r="G204" s="310">
        <f>IF(A204&gt;Standings!$Q$27,"",H204-I204)</f>
        <v>27</v>
      </c>
      <c r="H204" s="310">
        <f>IF(A204&gt;Standings!$Q$27,"",I188)</f>
        <v>27</v>
      </c>
      <c r="I204" s="311">
        <f>IF(A204&gt;Standings!$Q$27,"",100-F204)</f>
        <v>0</v>
      </c>
      <c r="J204" s="137"/>
      <c r="M204" s="137"/>
    </row>
    <row r="205" spans="1:13">
      <c r="A205" s="281">
        <f t="shared" si="3"/>
        <v>13</v>
      </c>
      <c r="B205" s="416" t="str">
        <f>$L$14</f>
        <v>Team 11</v>
      </c>
      <c r="C205" s="280" t="str">
        <f t="array" ref="C205">IFERROR(INDEX([1]Sheet1!$D$2:$D$113,MATCH(1,($B205= [1]Sheet1!$C$2:$C$113)*($A205=[1]Sheet1!$B$2:$B$113),0)),INDEX([1]Sheet1!$C$2:$C$113,MATCH(1,($B205= [1]Sheet1!$D$2:$D$113)*($A205=[1]Sheet1!$B$2:$B$113),0)))</f>
        <v>Team 7</v>
      </c>
      <c r="D205" s="309">
        <f t="array" ref="D205">IFERROR(INDEX([1]Sheet1!$E$2:$E$113,MATCH(1,($B205= [1]Sheet1!$C$2:$C$113)*($A205=[1]Sheet1!$B$2:$B$113),0)),INDEX([1]Sheet1!$F$2:$F$113,MATCH(1,($B205= [1]Sheet1!$D$2:$D$113)*($A205=[1]Sheet1!$B$2:$B$113),0)))</f>
        <v>110.41</v>
      </c>
      <c r="E205" s="328">
        <f t="array" ref="E205">IF($A205&gt;Standings!$Q$27,"",INDEX($D$3:$D$226,(MATCH(1,($B$3:$B$226=$C205)*($A$3:$A$226=$A205),0))))</f>
        <v>84.18</v>
      </c>
      <c r="F205" s="310">
        <f>IF(A205&gt;Standings!$Q$27,"",IFERROR(VLOOKUP($B205,'[2]Week 13'!B$2:C$17,2,0),"No FAAB Entered"))</f>
        <v>100</v>
      </c>
      <c r="G205" s="310">
        <f>IF(A205&gt;Standings!$Q$27,"",H205-I205)</f>
        <v>0</v>
      </c>
      <c r="H205" s="310">
        <f>IF(A205&gt;Standings!$Q$27,"",I189)</f>
        <v>0</v>
      </c>
      <c r="I205" s="311">
        <f>IF(A205&gt;Standings!$Q$27,"",100-F205)</f>
        <v>0</v>
      </c>
      <c r="J205" s="137"/>
      <c r="M205" s="137"/>
    </row>
    <row r="206" spans="1:13">
      <c r="A206" s="281">
        <f t="shared" si="3"/>
        <v>13</v>
      </c>
      <c r="B206" s="416" t="str">
        <f>$L$15</f>
        <v>Team 12</v>
      </c>
      <c r="C206" s="280" t="str">
        <f t="array" ref="C206">IFERROR(INDEX([1]Sheet1!$D$2:$D$113,MATCH(1,($B206= [1]Sheet1!$C$2:$C$113)*($A206=[1]Sheet1!$B$2:$B$113),0)),INDEX([1]Sheet1!$C$2:$C$113,MATCH(1,($B206= [1]Sheet1!$D$2:$D$113)*($A206=[1]Sheet1!$B$2:$B$113),0)))</f>
        <v>Team 5</v>
      </c>
      <c r="D206" s="309">
        <f t="array" ref="D206">IFERROR(INDEX([1]Sheet1!$E$2:$E$113,MATCH(1,($B206= [1]Sheet1!$C$2:$C$113)*($A206=[1]Sheet1!$B$2:$B$113),0)),INDEX([1]Sheet1!$F$2:$F$113,MATCH(1,($B206= [1]Sheet1!$D$2:$D$113)*($A206=[1]Sheet1!$B$2:$B$113),0)))</f>
        <v>90.95</v>
      </c>
      <c r="E206" s="328">
        <f t="array" ref="E206">IF($A206&gt;Standings!$Q$27,"",INDEX($D$3:$D$226,(MATCH(1,($B$3:$B$226=$C206)*($A$3:$A$226=$A206),0))))</f>
        <v>90.68</v>
      </c>
      <c r="F206" s="310">
        <f>IF(A206&gt;Standings!$Q$27,"",IFERROR(VLOOKUP($B206,'[2]Week 13'!B$2:C$17,2,0),"No FAAB Entered"))</f>
        <v>62</v>
      </c>
      <c r="G206" s="310">
        <f>IF(A206&gt;Standings!$Q$27,"",H206-I206)</f>
        <v>0</v>
      </c>
      <c r="H206" s="310">
        <f>IF(A206&gt;Standings!$Q$27,"",I190)</f>
        <v>38</v>
      </c>
      <c r="I206" s="311">
        <f>IF(A206&gt;Standings!$Q$27,"",100-F206)</f>
        <v>38</v>
      </c>
      <c r="J206" s="137"/>
      <c r="M206" s="137"/>
    </row>
    <row r="207" spans="1:13">
      <c r="A207" s="281">
        <f t="shared" si="3"/>
        <v>13</v>
      </c>
      <c r="B207" s="416" t="str">
        <f>$L$16</f>
        <v>Team 13</v>
      </c>
      <c r="C207" s="280" t="str">
        <f t="array" ref="C207">IFERROR(INDEX([1]Sheet1!$D$2:$D$113,MATCH(1,($B207= [1]Sheet1!$C$2:$C$113)*($A207=[1]Sheet1!$B$2:$B$113),0)),INDEX([1]Sheet1!$C$2:$C$113,MATCH(1,($B207= [1]Sheet1!$D$2:$D$113)*($A207=[1]Sheet1!$B$2:$B$113),0)))</f>
        <v>Team 1</v>
      </c>
      <c r="D207" s="309">
        <f t="array" ref="D207">IFERROR(INDEX([1]Sheet1!$E$2:$E$113,MATCH(1,($B207= [1]Sheet1!$C$2:$C$113)*($A207=[1]Sheet1!$B$2:$B$113),0)),INDEX([1]Sheet1!$F$2:$F$113,MATCH(1,($B207= [1]Sheet1!$D$2:$D$113)*($A207=[1]Sheet1!$B$2:$B$113),0)))</f>
        <v>72.98</v>
      </c>
      <c r="E207" s="328">
        <f t="array" ref="E207">IF($A207&gt;Standings!$Q$27,"",INDEX($D$3:$D$226,(MATCH(1,($B$3:$B$226=$C207)*($A$3:$A$226=$A207),0))))</f>
        <v>95.1</v>
      </c>
      <c r="F207" s="310">
        <f>IF(A207&gt;Standings!$Q$27,"",IFERROR(VLOOKUP($B207,'[2]Week 13'!B$2:C$17,2,0),"No FAAB Entered"))</f>
        <v>100</v>
      </c>
      <c r="G207" s="310">
        <f>IF(A207&gt;Standings!$Q$27,"",H207-I207)</f>
        <v>0</v>
      </c>
      <c r="H207" s="310">
        <f>IF(A207&gt;Standings!$Q$27,"",I191)</f>
        <v>0</v>
      </c>
      <c r="I207" s="311">
        <f>IF(A207&gt;Standings!$Q$27,"",100-F207)</f>
        <v>0</v>
      </c>
      <c r="J207" s="137"/>
      <c r="M207" s="137"/>
    </row>
    <row r="208" spans="1:13">
      <c r="A208" s="281">
        <f t="shared" si="3"/>
        <v>13</v>
      </c>
      <c r="B208" s="416" t="str">
        <f>$L$17</f>
        <v>Team 14</v>
      </c>
      <c r="C208" s="280" t="str">
        <f t="array" ref="C208">IFERROR(INDEX([1]Sheet1!$D$2:$D$113,MATCH(1,($B208= [1]Sheet1!$C$2:$C$113)*($A208=[1]Sheet1!$B$2:$B$113),0)),INDEX([1]Sheet1!$C$2:$C$113,MATCH(1,($B208= [1]Sheet1!$D$2:$D$113)*($A208=[1]Sheet1!$B$2:$B$113),0)))</f>
        <v>Team 6</v>
      </c>
      <c r="D208" s="309">
        <f t="array" ref="D208">IFERROR(INDEX([1]Sheet1!$E$2:$E$113,MATCH(1,($B208= [1]Sheet1!$C$2:$C$113)*($A208=[1]Sheet1!$B$2:$B$113),0)),INDEX([1]Sheet1!$F$2:$F$113,MATCH(1,($B208= [1]Sheet1!$D$2:$D$113)*($A208=[1]Sheet1!$B$2:$B$113),0)))</f>
        <v>114.13</v>
      </c>
      <c r="E208" s="328">
        <f t="array" ref="E208">IF($A208&gt;Standings!$Q$27,"",INDEX($D$3:$D$226,(MATCH(1,($B$3:$B$226=$C208)*($A$3:$A$226=$A208),0))))</f>
        <v>101.68</v>
      </c>
      <c r="F208" s="310">
        <f>IF(A208&gt;Standings!$Q$27,"",IFERROR(VLOOKUP($B208,'[2]Week 13'!B$2:C$17,2,0),"No FAAB Entered"))</f>
        <v>40</v>
      </c>
      <c r="G208" s="310">
        <f>IF(A208&gt;Standings!$Q$27,"",H208-I208)</f>
        <v>0</v>
      </c>
      <c r="H208" s="310">
        <f>IF(A208&gt;Standings!$Q$27,"",I192)</f>
        <v>60</v>
      </c>
      <c r="I208" s="311">
        <f>IF(A208&gt;Standings!$Q$27,"",100-F208)</f>
        <v>60</v>
      </c>
      <c r="J208" s="137"/>
      <c r="M208" s="137"/>
    </row>
    <row r="209" spans="1:13">
      <c r="A209" s="281">
        <f t="shared" si="3"/>
        <v>13</v>
      </c>
      <c r="B209" s="416" t="str">
        <f>$L$18</f>
        <v>Team 15</v>
      </c>
      <c r="C209" s="280" t="str">
        <f t="array" ref="C209">IFERROR(INDEX([1]Sheet1!$D$2:$D$113,MATCH(1,($B209= [1]Sheet1!$C$2:$C$113)*($A209=[1]Sheet1!$B$2:$B$113),0)),INDEX([1]Sheet1!$C$2:$C$113,MATCH(1,($B209= [1]Sheet1!$D$2:$D$113)*($A209=[1]Sheet1!$B$2:$B$113),0)))</f>
        <v>Team 10</v>
      </c>
      <c r="D209" s="309">
        <f t="array" ref="D209">IFERROR(INDEX([1]Sheet1!$E$2:$E$113,MATCH(1,($B209= [1]Sheet1!$C$2:$C$113)*($A209=[1]Sheet1!$B$2:$B$113),0)),INDEX([1]Sheet1!$F$2:$F$113,MATCH(1,($B209= [1]Sheet1!$D$2:$D$113)*($A209=[1]Sheet1!$B$2:$B$113),0)))</f>
        <v>184.43</v>
      </c>
      <c r="E209" s="328">
        <f t="array" ref="E209">IF($A209&gt;Standings!$Q$27,"",INDEX($D$3:$D$226,(MATCH(1,($B$3:$B$226=$C209)*($A$3:$A$226=$A209),0))))</f>
        <v>84.35</v>
      </c>
      <c r="F209" s="310">
        <f>IF(A209&gt;Standings!$Q$27,"",IFERROR(VLOOKUP($B209,'[2]Week 13'!B$2:C$17,2,0),"No FAAB Entered"))</f>
        <v>100</v>
      </c>
      <c r="G209" s="310">
        <f>IF(A209&gt;Standings!$Q$27,"",H209-I209)</f>
        <v>9</v>
      </c>
      <c r="H209" s="310">
        <f>IF(A209&gt;Standings!$Q$27,"",I193)</f>
        <v>9</v>
      </c>
      <c r="I209" s="311">
        <f>IF(A209&gt;Standings!$Q$27,"",100-F209)</f>
        <v>0</v>
      </c>
      <c r="J209" s="315"/>
      <c r="M209" s="137"/>
    </row>
    <row r="210" spans="1:13" ht="16" thickBot="1">
      <c r="A210" s="283">
        <f t="shared" si="3"/>
        <v>13</v>
      </c>
      <c r="B210" s="417" t="str">
        <f>$L$19</f>
        <v>Team 16</v>
      </c>
      <c r="C210" s="282" t="str">
        <f t="array" ref="C210">IFERROR(INDEX([1]Sheet1!$D$2:$D$113,MATCH(1,($B210= [1]Sheet1!$C$2:$C$113)*($A210=[1]Sheet1!$B$2:$B$113),0)),INDEX([1]Sheet1!$C$2:$C$113,MATCH(1,($B210= [1]Sheet1!$D$2:$D$113)*($A210=[1]Sheet1!$B$2:$B$113),0)))</f>
        <v>Team 3</v>
      </c>
      <c r="D210" s="312">
        <f t="array" ref="D210">IFERROR(INDEX([1]Sheet1!$E$2:$E$113,MATCH(1,($B210= [1]Sheet1!$C$2:$C$113)*($A210=[1]Sheet1!$B$2:$B$113),0)),INDEX([1]Sheet1!$F$2:$F$113,MATCH(1,($B210= [1]Sheet1!$D$2:$D$113)*($A210=[1]Sheet1!$B$2:$B$113),0)))</f>
        <v>83.64</v>
      </c>
      <c r="E210" s="329">
        <f t="array" ref="E210">IF($A210&gt;Standings!$Q$27,"",INDEX($D$3:$D$226,(MATCH(1,($B$3:$B$226=$C210)*($A$3:$A$226=$A210),0))))</f>
        <v>105.17</v>
      </c>
      <c r="F210" s="313">
        <f>IF(A210&gt;Standings!$Q$27,"",IFERROR(VLOOKUP($B210,'[2]Week 13'!B$2:C$17,2,0),"No FAAB Entered"))</f>
        <v>100</v>
      </c>
      <c r="G210" s="313">
        <f>IF(A210&gt;Standings!$Q$27,"",H210-I210)</f>
        <v>0</v>
      </c>
      <c r="H210" s="313">
        <f>IF(A210&gt;Standings!$Q$27,"",I194)</f>
        <v>0</v>
      </c>
      <c r="I210" s="314">
        <f>IF(A210&gt;Standings!$Q$27,"",100-F210)</f>
        <v>0</v>
      </c>
      <c r="J210" s="327"/>
      <c r="M210" s="137"/>
    </row>
    <row r="211" spans="1:13">
      <c r="A211" s="277">
        <f t="shared" si="3"/>
        <v>14</v>
      </c>
      <c r="B211" s="414" t="str">
        <f>$L$4</f>
        <v>Team 1</v>
      </c>
      <c r="C211" s="276" t="str">
        <f t="array" ref="C211">IFERROR(INDEX([1]Sheet1!$D$2:$D$113,MATCH(1,($B211= [1]Sheet1!$C$2:$C$113)*($A211=[1]Sheet1!$B$2:$B$113),0)),INDEX([1]Sheet1!$C$2:$C$113,MATCH(1,($B211= [1]Sheet1!$D$2:$D$113)*($A211=[1]Sheet1!$B$2:$B$113),0)))</f>
        <v>Team 13</v>
      </c>
      <c r="D211" s="295">
        <f t="array" ref="D211">IFERROR(INDEX([1]Sheet1!$E$2:$E$113,MATCH(1,($B211= [1]Sheet1!$C$2:$C$113)*($A211=[1]Sheet1!$B$2:$B$113),0)),INDEX([1]Sheet1!$F$2:$F$113,MATCH(1,($B211= [1]Sheet1!$D$2:$D$113)*($A211=[1]Sheet1!$B$2:$B$113),0)))</f>
        <v>95.1</v>
      </c>
      <c r="E211" s="325" t="str">
        <f t="array" ref="E211">IF($A211&gt;Standings!$Q$27,"",INDEX($D$3:$D$226,(MATCH(1,($B$3:$B$226=$C211)*($A$3:$A$226=$A211),0))))</f>
        <v/>
      </c>
      <c r="F211" s="296" t="str">
        <f>IF(A211&gt;Standings!$Q$27,"",IFERROR(VLOOKUP($B211,'[2]Week 14'!B$2:C$17,2,0),"No FAAB Entered"))</f>
        <v/>
      </c>
      <c r="G211" s="296" t="str">
        <f>IF(A211&gt;Standings!$Q$27,"",H211-I211)</f>
        <v/>
      </c>
      <c r="H211" s="296" t="str">
        <f>IF(A211&gt;Standings!$Q$27,"",I195)</f>
        <v/>
      </c>
      <c r="I211" s="297" t="str">
        <f>IF(A211&gt;Standings!$Q$27,"",100-F211)</f>
        <v/>
      </c>
    </row>
    <row r="212" spans="1:13">
      <c r="A212" s="279">
        <f t="shared" si="3"/>
        <v>14</v>
      </c>
      <c r="B212" s="415" t="str">
        <f>$L$5</f>
        <v>Team 2</v>
      </c>
      <c r="C212" s="278" t="str">
        <f t="array" ref="C212">IFERROR(INDEX([1]Sheet1!$D$2:$D$113,MATCH(1,($B212= [1]Sheet1!$C$2:$C$113)*($A212=[1]Sheet1!$B$2:$B$113),0)),INDEX([1]Sheet1!$C$2:$C$113,MATCH(1,($B212= [1]Sheet1!$D$2:$D$113)*($A212=[1]Sheet1!$B$2:$B$113),0)))</f>
        <v>Team 9</v>
      </c>
      <c r="D212" s="302">
        <f t="array" ref="D212">IFERROR(INDEX([1]Sheet1!$E$2:$E$113,MATCH(1,($B212= [1]Sheet1!$C$2:$C$113)*($A212=[1]Sheet1!$B$2:$B$113),0)),INDEX([1]Sheet1!$F$2:$F$113,MATCH(1,($B212= [1]Sheet1!$D$2:$D$113)*($A212=[1]Sheet1!$B$2:$B$113),0)))</f>
        <v>90.75</v>
      </c>
      <c r="E212" s="326" t="str">
        <f t="array" ref="E212">IF($A212&gt;Standings!$Q$27,"",INDEX($D$3:$D$226,(MATCH(1,($B$3:$B$226=$C212)*($A$3:$A$226=$A212),0))))</f>
        <v/>
      </c>
      <c r="F212" s="303" t="str">
        <f>IF(A212&gt;Standings!$Q$27,"",IFERROR(VLOOKUP($B212,'[2]Week 14'!B$2:C$17,2,0),"No FAAB Entered"))</f>
        <v/>
      </c>
      <c r="G212" s="303" t="str">
        <f>IF(A212&gt;Standings!$Q$27,"",H212-I212)</f>
        <v/>
      </c>
      <c r="H212" s="303" t="str">
        <f>IF(A212&gt;Standings!$Q$27,"",I196)</f>
        <v/>
      </c>
      <c r="I212" s="304" t="str">
        <f>IF(A212&gt;Standings!$Q$27,"",100-F212)</f>
        <v/>
      </c>
    </row>
    <row r="213" spans="1:13">
      <c r="A213" s="279">
        <f t="shared" si="3"/>
        <v>14</v>
      </c>
      <c r="B213" s="415" t="str">
        <f>$L$6</f>
        <v>Team 3</v>
      </c>
      <c r="C213" s="278" t="str">
        <f t="array" ref="C213">IFERROR(INDEX([1]Sheet1!$D$2:$D$113,MATCH(1,($B213= [1]Sheet1!$C$2:$C$113)*($A213=[1]Sheet1!$B$2:$B$113),0)),INDEX([1]Sheet1!$C$2:$C$113,MATCH(1,($B213= [1]Sheet1!$D$2:$D$113)*($A213=[1]Sheet1!$B$2:$B$113),0)))</f>
        <v>Team 16</v>
      </c>
      <c r="D213" s="302">
        <f t="array" ref="D213">IFERROR(INDEX([1]Sheet1!$E$2:$E$113,MATCH(1,($B213= [1]Sheet1!$C$2:$C$113)*($A213=[1]Sheet1!$B$2:$B$113),0)),INDEX([1]Sheet1!$F$2:$F$113,MATCH(1,($B213= [1]Sheet1!$D$2:$D$113)*($A213=[1]Sheet1!$B$2:$B$113),0)))</f>
        <v>105.17</v>
      </c>
      <c r="E213" s="326" t="str">
        <f t="array" ref="E213">IF($A213&gt;Standings!$Q$27,"",INDEX($D$3:$D$226,(MATCH(1,($B$3:$B$226=$C213)*($A$3:$A$226=$A213),0))))</f>
        <v/>
      </c>
      <c r="F213" s="303" t="str">
        <f>IF(A213&gt;Standings!$Q$27,"",IFERROR(VLOOKUP($B213,'[2]Week 14'!B$2:C$17,2,0),"No FAAB Entered"))</f>
        <v/>
      </c>
      <c r="G213" s="303" t="str">
        <f>IF(A213&gt;Standings!$Q$27,"",H213-I213)</f>
        <v/>
      </c>
      <c r="H213" s="303" t="str">
        <f>IF(A213&gt;Standings!$Q$27,"",I197)</f>
        <v/>
      </c>
      <c r="I213" s="304" t="str">
        <f>IF(A213&gt;Standings!$Q$27,"",100-F213)</f>
        <v/>
      </c>
    </row>
    <row r="214" spans="1:13">
      <c r="A214" s="279">
        <f t="shared" si="3"/>
        <v>14</v>
      </c>
      <c r="B214" s="415" t="str">
        <f>$L$7</f>
        <v>Team 4</v>
      </c>
      <c r="C214" s="278" t="str">
        <f t="array" ref="C214">IFERROR(INDEX([1]Sheet1!$D$2:$D$113,MATCH(1,($B214= [1]Sheet1!$C$2:$C$113)*($A214=[1]Sheet1!$B$2:$B$113),0)),INDEX([1]Sheet1!$C$2:$C$113,MATCH(1,($B214= [1]Sheet1!$D$2:$D$113)*($A214=[1]Sheet1!$B$2:$B$113),0)))</f>
        <v>Team 8</v>
      </c>
      <c r="D214" s="302">
        <f t="array" ref="D214">IFERROR(INDEX([1]Sheet1!$E$2:$E$113,MATCH(1,($B214= [1]Sheet1!$C$2:$C$113)*($A214=[1]Sheet1!$B$2:$B$113),0)),INDEX([1]Sheet1!$F$2:$F$113,MATCH(1,($B214= [1]Sheet1!$D$2:$D$113)*($A214=[1]Sheet1!$B$2:$B$113),0)))</f>
        <v>104.84</v>
      </c>
      <c r="E214" s="326" t="str">
        <f t="array" ref="E214">IF($A214&gt;Standings!$Q$27,"",INDEX($D$3:$D$226,(MATCH(1,($B$3:$B$226=$C214)*($A$3:$A$226=$A214),0))))</f>
        <v/>
      </c>
      <c r="F214" s="303" t="str">
        <f>IF(A214&gt;Standings!$Q$27,"",IFERROR(VLOOKUP($B214,'[2]Week 14'!B$2:C$17,2,0),"No FAAB Entered"))</f>
        <v/>
      </c>
      <c r="G214" s="303" t="str">
        <f>IF(A214&gt;Standings!$Q$27,"",H214-I214)</f>
        <v/>
      </c>
      <c r="H214" s="303" t="str">
        <f>IF(A214&gt;Standings!$Q$27,"",I198)</f>
        <v/>
      </c>
      <c r="I214" s="304" t="str">
        <f>IF(A214&gt;Standings!$Q$27,"",100-F214)</f>
        <v/>
      </c>
    </row>
    <row r="215" spans="1:13">
      <c r="A215" s="279">
        <f t="shared" si="3"/>
        <v>14</v>
      </c>
      <c r="B215" s="415" t="str">
        <f>$L$8</f>
        <v>Team 5</v>
      </c>
      <c r="C215" s="278" t="str">
        <f t="array" ref="C215">IFERROR(INDEX([1]Sheet1!$D$2:$D$113,MATCH(1,($B215= [1]Sheet1!$C$2:$C$113)*($A215=[1]Sheet1!$B$2:$B$113),0)),INDEX([1]Sheet1!$C$2:$C$113,MATCH(1,($B215= [1]Sheet1!$D$2:$D$113)*($A215=[1]Sheet1!$B$2:$B$113),0)))</f>
        <v>Team 12</v>
      </c>
      <c r="D215" s="302">
        <f t="array" ref="D215">IFERROR(INDEX([1]Sheet1!$E$2:$E$113,MATCH(1,($B215= [1]Sheet1!$C$2:$C$113)*($A215=[1]Sheet1!$B$2:$B$113),0)),INDEX([1]Sheet1!$F$2:$F$113,MATCH(1,($B215= [1]Sheet1!$D$2:$D$113)*($A215=[1]Sheet1!$B$2:$B$113),0)))</f>
        <v>90.68</v>
      </c>
      <c r="E215" s="326" t="str">
        <f t="array" ref="E215">IF($A215&gt;Standings!$Q$27,"",INDEX($D$3:$D$226,(MATCH(1,($B$3:$B$226=$C215)*($A$3:$A$226=$A215),0))))</f>
        <v/>
      </c>
      <c r="F215" s="303" t="str">
        <f>IF(A215&gt;Standings!$Q$27,"",IFERROR(VLOOKUP($B215,'[2]Week 14'!B$2:C$17,2,0),"No FAAB Entered"))</f>
        <v/>
      </c>
      <c r="G215" s="303" t="str">
        <f>IF(A215&gt;Standings!$Q$27,"",H215-I215)</f>
        <v/>
      </c>
      <c r="H215" s="303" t="str">
        <f>IF(A215&gt;Standings!$Q$27,"",I199)</f>
        <v/>
      </c>
      <c r="I215" s="304" t="str">
        <f>IF(A215&gt;Standings!$Q$27,"",100-F215)</f>
        <v/>
      </c>
    </row>
    <row r="216" spans="1:13">
      <c r="A216" s="279">
        <f t="shared" si="3"/>
        <v>14</v>
      </c>
      <c r="B216" s="415" t="str">
        <f>$L$9</f>
        <v>Team 6</v>
      </c>
      <c r="C216" s="278" t="str">
        <f t="array" ref="C216">IFERROR(INDEX([1]Sheet1!$D$2:$D$113,MATCH(1,($B216= [1]Sheet1!$C$2:$C$113)*($A216=[1]Sheet1!$B$2:$B$113),0)),INDEX([1]Sheet1!$C$2:$C$113,MATCH(1,($B216= [1]Sheet1!$D$2:$D$113)*($A216=[1]Sheet1!$B$2:$B$113),0)))</f>
        <v>Team 14</v>
      </c>
      <c r="D216" s="302">
        <f t="array" ref="D216">IFERROR(INDEX([1]Sheet1!$E$2:$E$113,MATCH(1,($B216= [1]Sheet1!$C$2:$C$113)*($A216=[1]Sheet1!$B$2:$B$113),0)),INDEX([1]Sheet1!$F$2:$F$113,MATCH(1,($B216= [1]Sheet1!$D$2:$D$113)*($A216=[1]Sheet1!$B$2:$B$113),0)))</f>
        <v>101.68</v>
      </c>
      <c r="E216" s="326" t="str">
        <f t="array" ref="E216">IF($A216&gt;Standings!$Q$27,"",INDEX($D$3:$D$226,(MATCH(1,($B$3:$B$226=$C216)*($A$3:$A$226=$A216),0))))</f>
        <v/>
      </c>
      <c r="F216" s="303" t="str">
        <f>IF(A216&gt;Standings!$Q$27,"",IFERROR(VLOOKUP($B216,'[2]Week 14'!B$2:C$17,2,0),"No FAAB Entered"))</f>
        <v/>
      </c>
      <c r="G216" s="303" t="str">
        <f>IF(A216&gt;Standings!$Q$27,"",H216-I216)</f>
        <v/>
      </c>
      <c r="H216" s="303" t="str">
        <f>IF(A216&gt;Standings!$Q$27,"",I200)</f>
        <v/>
      </c>
      <c r="I216" s="304" t="str">
        <f>IF(A216&gt;Standings!$Q$27,"",100-F216)</f>
        <v/>
      </c>
    </row>
    <row r="217" spans="1:13">
      <c r="A217" s="279">
        <f t="shared" si="3"/>
        <v>14</v>
      </c>
      <c r="B217" s="415" t="str">
        <f>$L$10</f>
        <v>Team 7</v>
      </c>
      <c r="C217" s="278" t="str">
        <f t="array" ref="C217">IFERROR(INDEX([1]Sheet1!$D$2:$D$113,MATCH(1,($B217= [1]Sheet1!$C$2:$C$113)*($A217=[1]Sheet1!$B$2:$B$113),0)),INDEX([1]Sheet1!$C$2:$C$113,MATCH(1,($B217= [1]Sheet1!$D$2:$D$113)*($A217=[1]Sheet1!$B$2:$B$113),0)))</f>
        <v>Team 11</v>
      </c>
      <c r="D217" s="302">
        <f t="array" ref="D217">IFERROR(INDEX([1]Sheet1!$E$2:$E$113,MATCH(1,($B217= [1]Sheet1!$C$2:$C$113)*($A217=[1]Sheet1!$B$2:$B$113),0)),INDEX([1]Sheet1!$F$2:$F$113,MATCH(1,($B217= [1]Sheet1!$D$2:$D$113)*($A217=[1]Sheet1!$B$2:$B$113),0)))</f>
        <v>84.18</v>
      </c>
      <c r="E217" s="326" t="str">
        <f t="array" ref="E217">IF($A217&gt;Standings!$Q$27,"",INDEX($D$3:$D$226,(MATCH(1,($B$3:$B$226=$C217)*($A$3:$A$226=$A217),0))))</f>
        <v/>
      </c>
      <c r="F217" s="303" t="str">
        <f>IF(A217&gt;Standings!$Q$27,"",IFERROR(VLOOKUP($B217,'[2]Week 14'!B$2:C$17,2,0),"No FAAB Entered"))</f>
        <v/>
      </c>
      <c r="G217" s="303" t="str">
        <f>IF(A217&gt;Standings!$Q$27,"",H217-I217)</f>
        <v/>
      </c>
      <c r="H217" s="303" t="str">
        <f>IF(A217&gt;Standings!$Q$27,"",I201)</f>
        <v/>
      </c>
      <c r="I217" s="304" t="str">
        <f>IF(A217&gt;Standings!$Q$27,"",100-F217)</f>
        <v/>
      </c>
    </row>
    <row r="218" spans="1:13">
      <c r="A218" s="279">
        <f t="shared" si="3"/>
        <v>14</v>
      </c>
      <c r="B218" s="415" t="str">
        <f>$L$11</f>
        <v>Team 8</v>
      </c>
      <c r="C218" s="278" t="str">
        <f t="array" ref="C218">IFERROR(INDEX([1]Sheet1!$D$2:$D$113,MATCH(1,($B218= [1]Sheet1!$C$2:$C$113)*($A218=[1]Sheet1!$B$2:$B$113),0)),INDEX([1]Sheet1!$C$2:$C$113,MATCH(1,($B218= [1]Sheet1!$D$2:$D$113)*($A218=[1]Sheet1!$B$2:$B$113),0)))</f>
        <v>Team 4</v>
      </c>
      <c r="D218" s="302">
        <f t="array" ref="D218">IFERROR(INDEX([1]Sheet1!$E$2:$E$113,MATCH(1,($B218= [1]Sheet1!$C$2:$C$113)*($A218=[1]Sheet1!$B$2:$B$113),0)),INDEX([1]Sheet1!$F$2:$F$113,MATCH(1,($B218= [1]Sheet1!$D$2:$D$113)*($A218=[1]Sheet1!$B$2:$B$113),0)))</f>
        <v>102.1</v>
      </c>
      <c r="E218" s="326" t="str">
        <f t="array" ref="E218">IF($A218&gt;Standings!$Q$27,"",INDEX($D$3:$D$226,(MATCH(1,($B$3:$B$226=$C218)*($A$3:$A$226=$A218),0))))</f>
        <v/>
      </c>
      <c r="F218" s="303" t="str">
        <f>IF(A218&gt;Standings!$Q$27,"",IFERROR(VLOOKUP($B218,'[2]Week 14'!B$2:C$17,2,0),"No FAAB Entered"))</f>
        <v/>
      </c>
      <c r="G218" s="303" t="str">
        <f>IF(A218&gt;Standings!$Q$27,"",H218-I218)</f>
        <v/>
      </c>
      <c r="H218" s="303" t="str">
        <f>IF(A218&gt;Standings!$Q$27,"",I202)</f>
        <v/>
      </c>
      <c r="I218" s="304" t="str">
        <f>IF(A218&gt;Standings!$Q$27,"",100-F218)</f>
        <v/>
      </c>
    </row>
    <row r="219" spans="1:13">
      <c r="A219" s="281">
        <f t="shared" si="3"/>
        <v>14</v>
      </c>
      <c r="B219" s="416" t="str">
        <f>$L$12</f>
        <v>Team 9</v>
      </c>
      <c r="C219" s="280" t="str">
        <f t="array" ref="C219">IFERROR(INDEX([1]Sheet1!$D$2:$D$113,MATCH(1,($B219= [1]Sheet1!$C$2:$C$113)*($A219=[1]Sheet1!$B$2:$B$113),0)),INDEX([1]Sheet1!$C$2:$C$113,MATCH(1,($B219= [1]Sheet1!$D$2:$D$113)*($A219=[1]Sheet1!$B$2:$B$113),0)))</f>
        <v>Team 2</v>
      </c>
      <c r="D219" s="309">
        <f t="array" ref="D219">IFERROR(INDEX([1]Sheet1!$E$2:$E$113,MATCH(1,($B219= [1]Sheet1!$C$2:$C$113)*($A219=[1]Sheet1!$B$2:$B$113),0)),INDEX([1]Sheet1!$F$2:$F$113,MATCH(1,($B219= [1]Sheet1!$D$2:$D$113)*($A219=[1]Sheet1!$B$2:$B$113),0)))</f>
        <v>144.69</v>
      </c>
      <c r="E219" s="328" t="str">
        <f t="array" ref="E219">IF($A219&gt;Standings!$Q$27,"",INDEX($D$3:$D$226,(MATCH(1,($B$3:$B$226=$C219)*($A$3:$A$226=$A219),0))))</f>
        <v/>
      </c>
      <c r="F219" s="310" t="str">
        <f>IF(A219&gt;Standings!$Q$27,"",IFERROR(VLOOKUP($B219,'[2]Week 14'!B$2:C$17,2,0),"No FAAB Entered"))</f>
        <v/>
      </c>
      <c r="G219" s="310" t="str">
        <f>IF(A219&gt;Standings!$Q$27,"",H219-I219)</f>
        <v/>
      </c>
      <c r="H219" s="310" t="str">
        <f>IF(A219&gt;Standings!$Q$27,"",I203)</f>
        <v/>
      </c>
      <c r="I219" s="311" t="str">
        <f>IF(A219&gt;Standings!$Q$27,"",100-F219)</f>
        <v/>
      </c>
    </row>
    <row r="220" spans="1:13">
      <c r="A220" s="281">
        <f t="shared" si="3"/>
        <v>14</v>
      </c>
      <c r="B220" s="416" t="str">
        <f>$L$13</f>
        <v>Team 10</v>
      </c>
      <c r="C220" s="280" t="str">
        <f t="array" ref="C220">IFERROR(INDEX([1]Sheet1!$D$2:$D$113,MATCH(1,($B220= [1]Sheet1!$C$2:$C$113)*($A220=[1]Sheet1!$B$2:$B$113),0)),INDEX([1]Sheet1!$C$2:$C$113,MATCH(1,($B220= [1]Sheet1!$D$2:$D$113)*($A220=[1]Sheet1!$B$2:$B$113),0)))</f>
        <v>Team 15</v>
      </c>
      <c r="D220" s="309">
        <f t="array" ref="D220">IFERROR(INDEX([1]Sheet1!$E$2:$E$113,MATCH(1,($B220= [1]Sheet1!$C$2:$C$113)*($A220=[1]Sheet1!$B$2:$B$113),0)),INDEX([1]Sheet1!$F$2:$F$113,MATCH(1,($B220= [1]Sheet1!$D$2:$D$113)*($A220=[1]Sheet1!$B$2:$B$113),0)))</f>
        <v>84.35</v>
      </c>
      <c r="E220" s="328" t="str">
        <f t="array" ref="E220">IF($A220&gt;Standings!$Q$27,"",INDEX($D$3:$D$226,(MATCH(1,($B$3:$B$226=$C220)*($A$3:$A$226=$A220),0))))</f>
        <v/>
      </c>
      <c r="F220" s="310" t="str">
        <f>IF(A220&gt;Standings!$Q$27,"",IFERROR(VLOOKUP($B220,'[2]Week 14'!B$2:C$17,2,0),"No FAAB Entered"))</f>
        <v/>
      </c>
      <c r="G220" s="310" t="str">
        <f>IF(A220&gt;Standings!$Q$27,"",H220-I220)</f>
        <v/>
      </c>
      <c r="H220" s="310" t="str">
        <f>IF(A220&gt;Standings!$Q$27,"",I204)</f>
        <v/>
      </c>
      <c r="I220" s="311" t="str">
        <f>IF(A220&gt;Standings!$Q$27,"",100-F220)</f>
        <v/>
      </c>
    </row>
    <row r="221" spans="1:13">
      <c r="A221" s="281">
        <f t="shared" si="3"/>
        <v>14</v>
      </c>
      <c r="B221" s="416" t="str">
        <f>$L$14</f>
        <v>Team 11</v>
      </c>
      <c r="C221" s="280" t="str">
        <f t="array" ref="C221">IFERROR(INDEX([1]Sheet1!$D$2:$D$113,MATCH(1,($B221= [1]Sheet1!$C$2:$C$113)*($A221=[1]Sheet1!$B$2:$B$113),0)),INDEX([1]Sheet1!$C$2:$C$113,MATCH(1,($B221= [1]Sheet1!$D$2:$D$113)*($A221=[1]Sheet1!$B$2:$B$113),0)))</f>
        <v>Team 7</v>
      </c>
      <c r="D221" s="309">
        <f t="array" ref="D221">IFERROR(INDEX([1]Sheet1!$E$2:$E$113,MATCH(1,($B221= [1]Sheet1!$C$2:$C$113)*($A221=[1]Sheet1!$B$2:$B$113),0)),INDEX([1]Sheet1!$F$2:$F$113,MATCH(1,($B221= [1]Sheet1!$D$2:$D$113)*($A221=[1]Sheet1!$B$2:$B$113),0)))</f>
        <v>110.41</v>
      </c>
      <c r="E221" s="328" t="str">
        <f t="array" ref="E221">IF($A221&gt;Standings!$Q$27,"",INDEX($D$3:$D$226,(MATCH(1,($B$3:$B$226=$C221)*($A$3:$A$226=$A221),0))))</f>
        <v/>
      </c>
      <c r="F221" s="310" t="str">
        <f>IF(A221&gt;Standings!$Q$27,"",IFERROR(VLOOKUP($B221,'[2]Week 14'!B$2:C$17,2,0),"No FAAB Entered"))</f>
        <v/>
      </c>
      <c r="G221" s="310" t="str">
        <f>IF(A221&gt;Standings!$Q$27,"",H221-I221)</f>
        <v/>
      </c>
      <c r="H221" s="310" t="str">
        <f>IF(A221&gt;Standings!$Q$27,"",I205)</f>
        <v/>
      </c>
      <c r="I221" s="311" t="str">
        <f>IF(A221&gt;Standings!$Q$27,"",100-F221)</f>
        <v/>
      </c>
    </row>
    <row r="222" spans="1:13">
      <c r="A222" s="281">
        <f t="shared" si="3"/>
        <v>14</v>
      </c>
      <c r="B222" s="416" t="str">
        <f>$L$15</f>
        <v>Team 12</v>
      </c>
      <c r="C222" s="280" t="str">
        <f t="array" ref="C222">IFERROR(INDEX([1]Sheet1!$D$2:$D$113,MATCH(1,($B222= [1]Sheet1!$C$2:$C$113)*($A222=[1]Sheet1!$B$2:$B$113),0)),INDEX([1]Sheet1!$C$2:$C$113,MATCH(1,($B222= [1]Sheet1!$D$2:$D$113)*($A222=[1]Sheet1!$B$2:$B$113),0)))</f>
        <v>Team 5</v>
      </c>
      <c r="D222" s="309">
        <f t="array" ref="D222">IFERROR(INDEX([1]Sheet1!$E$2:$E$113,MATCH(1,($B222= [1]Sheet1!$C$2:$C$113)*($A222=[1]Sheet1!$B$2:$B$113),0)),INDEX([1]Sheet1!$F$2:$F$113,MATCH(1,($B222= [1]Sheet1!$D$2:$D$113)*($A222=[1]Sheet1!$B$2:$B$113),0)))</f>
        <v>90.95</v>
      </c>
      <c r="E222" s="328" t="str">
        <f t="array" ref="E222">IF($A222&gt;Standings!$Q$27,"",INDEX($D$3:$D$226,(MATCH(1,($B$3:$B$226=$C222)*($A$3:$A$226=$A222),0))))</f>
        <v/>
      </c>
      <c r="F222" s="310" t="str">
        <f>IF(A222&gt;Standings!$Q$27,"",IFERROR(VLOOKUP($B222,'[2]Week 14'!B$2:C$17,2,0),"No FAAB Entered"))</f>
        <v/>
      </c>
      <c r="G222" s="310" t="str">
        <f>IF(A222&gt;Standings!$Q$27,"",H222-I222)</f>
        <v/>
      </c>
      <c r="H222" s="310" t="str">
        <f>IF(A222&gt;Standings!$Q$27,"",I206)</f>
        <v/>
      </c>
      <c r="I222" s="311" t="str">
        <f>IF(A222&gt;Standings!$Q$27,"",100-F222)</f>
        <v/>
      </c>
    </row>
    <row r="223" spans="1:13">
      <c r="A223" s="281">
        <f t="shared" si="3"/>
        <v>14</v>
      </c>
      <c r="B223" s="416" t="str">
        <f>$L$16</f>
        <v>Team 13</v>
      </c>
      <c r="C223" s="280" t="str">
        <f t="array" ref="C223">IFERROR(INDEX([1]Sheet1!$D$2:$D$113,MATCH(1,($B223= [1]Sheet1!$C$2:$C$113)*($A223=[1]Sheet1!$B$2:$B$113),0)),INDEX([1]Sheet1!$C$2:$C$113,MATCH(1,($B223= [1]Sheet1!$D$2:$D$113)*($A223=[1]Sheet1!$B$2:$B$113),0)))</f>
        <v>Team 1</v>
      </c>
      <c r="D223" s="309">
        <f t="array" ref="D223">IFERROR(INDEX([1]Sheet1!$E$2:$E$113,MATCH(1,($B223= [1]Sheet1!$C$2:$C$113)*($A223=[1]Sheet1!$B$2:$B$113),0)),INDEX([1]Sheet1!$F$2:$F$113,MATCH(1,($B223= [1]Sheet1!$D$2:$D$113)*($A223=[1]Sheet1!$B$2:$B$113),0)))</f>
        <v>72.98</v>
      </c>
      <c r="E223" s="328" t="str">
        <f t="array" ref="E223">IF($A223&gt;Standings!$Q$27,"",INDEX($D$3:$D$226,(MATCH(1,($B$3:$B$226=$C223)*($A$3:$A$226=$A223),0))))</f>
        <v/>
      </c>
      <c r="F223" s="310" t="str">
        <f>IF(A223&gt;Standings!$Q$27,"",IFERROR(VLOOKUP($B223,'[2]Week 14'!B$2:C$17,2,0),"No FAAB Entered"))</f>
        <v/>
      </c>
      <c r="G223" s="310" t="str">
        <f>IF(A223&gt;Standings!$Q$27,"",H223-I223)</f>
        <v/>
      </c>
      <c r="H223" s="310" t="str">
        <f>IF(A223&gt;Standings!$Q$27,"",I207)</f>
        <v/>
      </c>
      <c r="I223" s="311" t="str">
        <f>IF(A223&gt;Standings!$Q$27,"",100-F223)</f>
        <v/>
      </c>
    </row>
    <row r="224" spans="1:13">
      <c r="A224" s="281">
        <f t="shared" si="3"/>
        <v>14</v>
      </c>
      <c r="B224" s="416" t="str">
        <f>$L$17</f>
        <v>Team 14</v>
      </c>
      <c r="C224" s="280" t="str">
        <f t="array" ref="C224">IFERROR(INDEX([1]Sheet1!$D$2:$D$113,MATCH(1,($B224= [1]Sheet1!$C$2:$C$113)*($A224=[1]Sheet1!$B$2:$B$113),0)),INDEX([1]Sheet1!$C$2:$C$113,MATCH(1,($B224= [1]Sheet1!$D$2:$D$113)*($A224=[1]Sheet1!$B$2:$B$113),0)))</f>
        <v>Team 6</v>
      </c>
      <c r="D224" s="309">
        <f t="array" ref="D224">IFERROR(INDEX([1]Sheet1!$E$2:$E$113,MATCH(1,($B224= [1]Sheet1!$C$2:$C$113)*($A224=[1]Sheet1!$B$2:$B$113),0)),INDEX([1]Sheet1!$F$2:$F$113,MATCH(1,($B224= [1]Sheet1!$D$2:$D$113)*($A224=[1]Sheet1!$B$2:$B$113),0)))</f>
        <v>114.13</v>
      </c>
      <c r="E224" s="328" t="str">
        <f t="array" ref="E224">IF($A224&gt;Standings!$Q$27,"",INDEX($D$3:$D$226,(MATCH(1,($B$3:$B$226=$C224)*($A$3:$A$226=$A224),0))))</f>
        <v/>
      </c>
      <c r="F224" s="310" t="str">
        <f>IF(A224&gt;Standings!$Q$27,"",IFERROR(VLOOKUP($B224,'[2]Week 14'!B$2:C$17,2,0),"No FAAB Entered"))</f>
        <v/>
      </c>
      <c r="G224" s="310" t="str">
        <f>IF(A224&gt;Standings!$Q$27,"",H224-I224)</f>
        <v/>
      </c>
      <c r="H224" s="310" t="str">
        <f>IF(A224&gt;Standings!$Q$27,"",I208)</f>
        <v/>
      </c>
      <c r="I224" s="311" t="str">
        <f>IF(A224&gt;Standings!$Q$27,"",100-F224)</f>
        <v/>
      </c>
    </row>
    <row r="225" spans="1:9">
      <c r="A225" s="281">
        <f t="shared" si="3"/>
        <v>14</v>
      </c>
      <c r="B225" s="416" t="str">
        <f>$L$18</f>
        <v>Team 15</v>
      </c>
      <c r="C225" s="280" t="str">
        <f t="array" ref="C225">IFERROR(INDEX([1]Sheet1!$D$2:$D$113,MATCH(1,($B225= [1]Sheet1!$C$2:$C$113)*($A225=[1]Sheet1!$B$2:$B$113),0)),INDEX([1]Sheet1!$C$2:$C$113,MATCH(1,($B225= [1]Sheet1!$D$2:$D$113)*($A225=[1]Sheet1!$B$2:$B$113),0)))</f>
        <v>Team 10</v>
      </c>
      <c r="D225" s="309">
        <f t="array" ref="D225">IFERROR(INDEX([1]Sheet1!$E$2:$E$113,MATCH(1,($B225= [1]Sheet1!$C$2:$C$113)*($A225=[1]Sheet1!$B$2:$B$113),0)),INDEX([1]Sheet1!$F$2:$F$113,MATCH(1,($B225= [1]Sheet1!$D$2:$D$113)*($A225=[1]Sheet1!$B$2:$B$113),0)))</f>
        <v>184.43</v>
      </c>
      <c r="E225" s="328" t="str">
        <f t="array" ref="E225">IF($A225&gt;Standings!$Q$27,"",INDEX($D$3:$D$226,(MATCH(1,($B$3:$B$226=$C225)*($A$3:$A$226=$A225),0))))</f>
        <v/>
      </c>
      <c r="F225" s="310" t="str">
        <f>IF(A225&gt;Standings!$Q$27,"",IFERROR(VLOOKUP($B225,'[2]Week 14'!B$2:C$17,2,0),"No FAAB Entered"))</f>
        <v/>
      </c>
      <c r="G225" s="310" t="str">
        <f>IF(A225&gt;Standings!$Q$27,"",H225-I225)</f>
        <v/>
      </c>
      <c r="H225" s="310" t="str">
        <f>IF(A225&gt;Standings!$Q$27,"",I209)</f>
        <v/>
      </c>
      <c r="I225" s="311" t="str">
        <f>IF(A225&gt;Standings!$Q$27,"",100-F225)</f>
        <v/>
      </c>
    </row>
    <row r="226" spans="1:9" ht="16" thickBot="1">
      <c r="A226" s="283">
        <f t="shared" si="3"/>
        <v>14</v>
      </c>
      <c r="B226" s="417" t="str">
        <f>$L$19</f>
        <v>Team 16</v>
      </c>
      <c r="C226" s="282" t="str">
        <f t="array" ref="C226">IFERROR(INDEX([1]Sheet1!$D$2:$D$113,MATCH(1,($B226= [1]Sheet1!$C$2:$C$113)*($A226=[1]Sheet1!$B$2:$B$113),0)),INDEX([1]Sheet1!$C$2:$C$113,MATCH(1,($B226= [1]Sheet1!$D$2:$D$113)*($A226=[1]Sheet1!$B$2:$B$113),0)))</f>
        <v>Team 3</v>
      </c>
      <c r="D226" s="312">
        <f t="array" ref="D226">IFERROR(INDEX([1]Sheet1!$E$2:$E$113,MATCH(1,($B226= [1]Sheet1!$C$2:$C$113)*($A226=[1]Sheet1!$B$2:$B$113),0)),INDEX([1]Sheet1!$F$2:$F$113,MATCH(1,($B226= [1]Sheet1!$D$2:$D$113)*($A226=[1]Sheet1!$B$2:$B$113),0)))</f>
        <v>83.64</v>
      </c>
      <c r="E226" s="329" t="str">
        <f t="array" ref="E226">IF($A226&gt;Standings!$Q$27,"",INDEX($D$3:$D$226,(MATCH(1,($B$3:$B$226=$C226)*($A$3:$A$226=$A226),0))))</f>
        <v/>
      </c>
      <c r="F226" s="313" t="str">
        <f>IF(A226&gt;Standings!$Q$27,"",IFERROR(VLOOKUP($B226,'[2]Week 14'!B$2:C$17,2,0),"No FAAB Entered"))</f>
        <v/>
      </c>
      <c r="G226" s="313" t="str">
        <f>IF(A226&gt;Standings!$Q$27,"",H226-I226)</f>
        <v/>
      </c>
      <c r="H226" s="313" t="str">
        <f>IF(A226&gt;Standings!$Q$27,"",I210)</f>
        <v/>
      </c>
      <c r="I226" s="314" t="str">
        <f>IF(A226&gt;Standings!$Q$27,"",100-F226)</f>
        <v/>
      </c>
    </row>
  </sheetData>
  <autoFilter ref="A2:I210" xr:uid="{5870FFF8-C1FE-E948-A8E7-5C4CA4D37D92}"/>
  <sortState ref="M22:N37">
    <sortCondition ref="M22:M37"/>
  </sortState>
  <conditionalFormatting sqref="L31">
    <cfRule type="cellIs" dxfId="1016" priority="2" operator="between">
      <formula>$L$5</formula>
      <formula>$L$5</formula>
    </cfRule>
    <cfRule type="cellIs" dxfId="1015" priority="3" operator="between">
      <formula>$L$5</formula>
      <formula>$L$5</formula>
    </cfRule>
    <cfRule type="cellIs" dxfId="1014" priority="4" operator="between">
      <formula>$L$5</formula>
      <formula>$L$5</formula>
    </cfRule>
  </conditionalFormatting>
  <conditionalFormatting sqref="E4">
    <cfRule type="cellIs" dxfId="238" priority="1" operator="equal">
      <formula>$L$12</formula>
    </cfRule>
  </conditionalFormatting>
  <pageMargins left="0.7" right="0.7" top="0.75" bottom="0.75" header="0.3" footer="0.3"/>
  <pageSetup scale="16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15658-5EFF-A447-B045-E19C668D8C76}">
  <sheetPr codeName="Sheet13">
    <pageSetUpPr fitToPage="1"/>
  </sheetPr>
  <dimension ref="A1:Y175"/>
  <sheetViews>
    <sheetView topLeftCell="A19" zoomScale="80" zoomScaleNormal="80" workbookViewId="0">
      <pane xSplit="2" topLeftCell="C1" activePane="topRight" state="frozen"/>
      <selection sqref="A1:XFD1048576"/>
      <selection pane="topRight" activeCell="A88" sqref="A88"/>
    </sheetView>
  </sheetViews>
  <sheetFormatPr baseColWidth="10" defaultColWidth="8.83203125" defaultRowHeight="15"/>
  <cols>
    <col min="1" max="1" width="15.5" style="190" customWidth="1"/>
    <col min="2" max="2" width="29" style="190" customWidth="1"/>
    <col min="3" max="3" width="28.6640625" style="190" bestFit="1" customWidth="1"/>
    <col min="4" max="4" width="20.33203125" style="190" bestFit="1" customWidth="1"/>
    <col min="5" max="5" width="23.1640625" style="190" hidden="1" customWidth="1"/>
    <col min="6" max="6" width="25" style="190" hidden="1" customWidth="1"/>
    <col min="7" max="7" width="19.83203125" style="190" hidden="1" customWidth="1"/>
    <col min="8" max="8" width="14.5" style="190" hidden="1" customWidth="1"/>
    <col min="9" max="9" width="16.5" style="190" hidden="1" customWidth="1"/>
    <col min="10" max="10" width="20.33203125" style="190" hidden="1" customWidth="1"/>
    <col min="11" max="11" width="24.33203125" style="190" hidden="1" customWidth="1"/>
    <col min="12" max="12" width="23.5" style="190" bestFit="1" customWidth="1"/>
    <col min="13" max="13" width="22.6640625" style="190" bestFit="1" customWidth="1"/>
    <col min="14" max="14" width="22.6640625" style="190" hidden="1" customWidth="1"/>
    <col min="15" max="15" width="28.6640625" style="190" bestFit="1" customWidth="1"/>
    <col min="16" max="16" width="15.33203125" style="190" bestFit="1" customWidth="1"/>
    <col min="17" max="17" width="20.1640625" style="190" bestFit="1" customWidth="1"/>
    <col min="18" max="18" width="20.33203125" style="190" hidden="1" customWidth="1"/>
    <col min="19" max="16384" width="8.83203125" style="190"/>
  </cols>
  <sheetData>
    <row r="1" spans="2:18">
      <c r="O1" s="519"/>
    </row>
    <row r="2" spans="2:18" ht="16" thickBot="1">
      <c r="B2" s="1" t="s">
        <v>22</v>
      </c>
      <c r="C2" s="209" t="str">
        <f>'ESPN Data'!$L$4</f>
        <v>Team 1</v>
      </c>
      <c r="D2" s="209" t="str">
        <f>'ESPN Data'!$L$5</f>
        <v>Team 2</v>
      </c>
      <c r="E2" s="209" t="str">
        <f>'ESPN Data'!$L$6</f>
        <v>Team 3</v>
      </c>
      <c r="F2" s="209" t="str">
        <f>'ESPN Data'!L$7</f>
        <v>Team 4</v>
      </c>
      <c r="G2" s="209" t="str">
        <f>'ESPN Data'!$L$8</f>
        <v>Team 5</v>
      </c>
      <c r="H2" s="209" t="str">
        <f>'ESPN Data'!$L$9</f>
        <v>Team 6</v>
      </c>
      <c r="I2" s="209" t="str">
        <f>'ESPN Data'!$L$10</f>
        <v>Team 7</v>
      </c>
      <c r="J2" s="209" t="str">
        <f>'ESPN Data'!$L$11</f>
        <v>Team 8</v>
      </c>
      <c r="K2" s="50" t="str">
        <f>'ESPN Data'!$L$12</f>
        <v>Team 9</v>
      </c>
      <c r="L2" s="50" t="str">
        <f>'ESPN Data'!$L$13</f>
        <v>Team 10</v>
      </c>
      <c r="M2" s="50" t="str">
        <f>'ESPN Data'!$L$14</f>
        <v>Team 11</v>
      </c>
      <c r="N2" s="50" t="str">
        <f>'ESPN Data'!$L$15</f>
        <v>Team 12</v>
      </c>
      <c r="O2" s="50" t="str">
        <f>'ESPN Data'!$L$16</f>
        <v>Team 13</v>
      </c>
      <c r="P2" s="50" t="str">
        <f>'ESPN Data'!$L$17</f>
        <v>Team 14</v>
      </c>
      <c r="Q2" s="50" t="str">
        <f>'ESPN Data'!$L$18</f>
        <v>Team 15</v>
      </c>
      <c r="R2" s="50" t="str">
        <f>'ESPN Data'!$L$19</f>
        <v>Team 16</v>
      </c>
    </row>
    <row r="3" spans="2:18">
      <c r="B3" s="193" t="str">
        <f>'ESPN Data'!$L$4</f>
        <v>Team 1</v>
      </c>
      <c r="C3" s="58" t="str">
        <f t="array" ref="C3">IFERROR(INDEX('Point Data'!$U$2:$U$225,MATCH(1,(C$2='Point Data'!$E$2:$E$225)*($B3='Point Data'!$B$2:$B$225),0)),"DNP")</f>
        <v>DNP</v>
      </c>
      <c r="D3" s="58">
        <f t="array" aca="1" ref="D3" ca="1">IFERROR(INDEX('Point Data'!$U$2:$U$225,MATCH(1,(D$2='Point Data'!$E$2:$E$225)*($B3='Point Data'!$B$2:$B$225),0)),"DNP")</f>
        <v>0</v>
      </c>
      <c r="E3" s="58">
        <f t="array" aca="1" ref="E3" ca="1">IFERROR(INDEX('Point Data'!$U$2:$U$225,MATCH(1,(E$2='Point Data'!$E$2:$E$225)*($B3='Point Data'!$B$2:$B$225),0)),"DNP")</f>
        <v>0</v>
      </c>
      <c r="F3" s="58">
        <f t="array" aca="1" ref="F3" ca="1">IFERROR(INDEX('Point Data'!$U$2:$U$225,MATCH(1,(F$2='Point Data'!$E$2:$E$225)*($B3='Point Data'!$B$2:$B$225),0)),"DNP")</f>
        <v>0</v>
      </c>
      <c r="G3" s="58">
        <f t="array" aca="1" ref="G3" ca="1">IFERROR(INDEX('Point Data'!$U$2:$U$225,MATCH(1,(G$2='Point Data'!$E$2:$E$225)*($B3='Point Data'!$B$2:$B$225),0)),"DNP")</f>
        <v>0</v>
      </c>
      <c r="H3" s="58">
        <f t="array" aca="1" ref="H3" ca="1">IFERROR(INDEX('Point Data'!$U$2:$U$225,MATCH(1,(H$2='Point Data'!$E$2:$E$225)*($B3='Point Data'!$B$2:$B$225),0)),"DNP")</f>
        <v>0</v>
      </c>
      <c r="I3" s="58" t="str">
        <f t="array" ref="I3">IFERROR(INDEX('Point Data'!$U$2:$U$225,MATCH(1,(I$2='Point Data'!$E$2:$E$225)*($B3='Point Data'!$B$2:$B$225),0)),"DNP")</f>
        <v>DNP</v>
      </c>
      <c r="J3" s="58">
        <f t="array" aca="1" ref="J3" ca="1">IFERROR(INDEX('Point Data'!$U$2:$U$225,MATCH(1,(J$2='Point Data'!$E$2:$E$225)*($B3='Point Data'!$B$2:$B$225),0)),"DNP")</f>
        <v>0</v>
      </c>
      <c r="K3" s="58">
        <f t="array" aca="1" ref="K3" ca="1">IFERROR(INDEX('Point Data'!$U$2:$U$225,MATCH(1,(K$2='Point Data'!$E$2:$E$225)*($B3='Point Data'!$B$2:$B$225),0)),"DNP")</f>
        <v>0</v>
      </c>
      <c r="L3" s="58">
        <f t="array" aca="1" ref="L3" ca="1">IFERROR(INDEX('Point Data'!$U$2:$U$225,MATCH(1,(L$2='Point Data'!$E$2:$E$225)*($B3='Point Data'!$B$2:$B$225),0)),"DNP")</f>
        <v>0</v>
      </c>
      <c r="M3" s="58">
        <f t="array" aca="1" ref="M3" ca="1">IFERROR(INDEX('Point Data'!$U$2:$U$225,MATCH(1,(M$2='Point Data'!$E$2:$E$225)*($B3='Point Data'!$B$2:$B$225),0)),"DNP")</f>
        <v>0</v>
      </c>
      <c r="N3" s="58">
        <f t="array" aca="1" ref="N3" ca="1">IFERROR(INDEX('Point Data'!$U$2:$U$225,MATCH(1,(N$2='Point Data'!$E$2:$E$225)*($B3='Point Data'!$B$2:$B$225),0)),"DNP")</f>
        <v>1</v>
      </c>
      <c r="O3" s="58">
        <f t="array" aca="1" ref="O3" ca="1">IFERROR(INDEX('Point Data'!$U$2:$U$225,MATCH(1,(O$2='Point Data'!$E$2:$E$225)*($B3='Point Data'!$B$2:$B$225),0)),"DNP")</f>
        <v>1</v>
      </c>
      <c r="P3" s="58" t="str">
        <f t="array" ref="P3">IFERROR(INDEX('Point Data'!$U$2:$U$225,MATCH(1,(P$2='Point Data'!$E$2:$E$225)*($B3='Point Data'!$B$2:$B$225),0)),"DNP")</f>
        <v>DNP</v>
      </c>
      <c r="Q3" s="58">
        <f t="array" aca="1" ref="Q3" ca="1">IFERROR(INDEX('Point Data'!$U$2:$U$225,MATCH(1,(Q$2='Point Data'!$E$2:$E$225)*($B3='Point Data'!$B$2:$B$225),0)),"DNP")</f>
        <v>1</v>
      </c>
      <c r="R3" s="58">
        <f t="array" aca="1" ref="R3" ca="1">IFERROR(INDEX('Point Data'!$U$2:$U$225,MATCH(1,(R$2='Point Data'!$E$2:$E$225)*($B3='Point Data'!$B$2:$B$225),0)),"DNP")</f>
        <v>1</v>
      </c>
    </row>
    <row r="4" spans="2:18">
      <c r="B4" s="194" t="str">
        <f>'ESPN Data'!$L$5</f>
        <v>Team 2</v>
      </c>
      <c r="C4" s="58">
        <f t="array" aca="1" ref="C4" ca="1">IFERROR(INDEX('Point Data'!$U$2:$U$225,MATCH(1,(C$2='Point Data'!$E$2:$E$225)*($B4='Point Data'!$B$2:$B$225),0)),"DNP")</f>
        <v>1</v>
      </c>
      <c r="D4" s="58" t="str">
        <f t="array" ref="D4">IFERROR(INDEX('Point Data'!$U$2:$U$225,MATCH(1,(D$2='Point Data'!$E$2:$E$225)*($B4='Point Data'!$B$2:$B$225),0)),"DNP")</f>
        <v>DNP</v>
      </c>
      <c r="E4" s="58">
        <f t="array" aca="1" ref="E4" ca="1">IFERROR(INDEX('Point Data'!$U$2:$U$225,MATCH(1,(E$2='Point Data'!$E$2:$E$225)*($B4='Point Data'!$B$2:$B$225),0)),"DNP")</f>
        <v>1</v>
      </c>
      <c r="F4" s="58" t="str">
        <f t="array" ref="F4">IFERROR(INDEX('Point Data'!$U$2:$U$225,MATCH(1,(F$2='Point Data'!$E$2:$E$225)*($B4='Point Data'!$B$2:$B$225),0)),"DNP")</f>
        <v>DNP</v>
      </c>
      <c r="G4" s="58">
        <f t="array" aca="1" ref="G4" ca="1">IFERROR(INDEX('Point Data'!$U$2:$U$225,MATCH(1,(G$2='Point Data'!$E$2:$E$225)*($B4='Point Data'!$B$2:$B$225),0)),"DNP")</f>
        <v>0</v>
      </c>
      <c r="H4" s="58">
        <f t="array" aca="1" ref="H4" ca="1">IFERROR(INDEX('Point Data'!$U$2:$U$225,MATCH(1,(H$2='Point Data'!$E$2:$E$225)*($B4='Point Data'!$B$2:$B$225),0)),"DNP")</f>
        <v>1</v>
      </c>
      <c r="I4" s="58">
        <f t="array" aca="1" ref="I4" ca="1">IFERROR(INDEX('Point Data'!$U$2:$U$225,MATCH(1,(I$2='Point Data'!$E$2:$E$225)*($B4='Point Data'!$B$2:$B$225),0)),"DNP")</f>
        <v>1</v>
      </c>
      <c r="J4" s="58" t="str">
        <f t="array" ref="J4">IFERROR(INDEX('Point Data'!$U$2:$U$225,MATCH(1,(J$2='Point Data'!$E$2:$E$225)*($B4='Point Data'!$B$2:$B$225),0)),"DNP")</f>
        <v>DNP</v>
      </c>
      <c r="K4" s="58">
        <f t="array" aca="1" ref="K4" ca="1">IFERROR(INDEX('Point Data'!$U$2:$U$225,MATCH(1,(K$2='Point Data'!$E$2:$E$225)*($B4='Point Data'!$B$2:$B$225),0)),"DNP")</f>
        <v>0</v>
      </c>
      <c r="L4" s="58">
        <f t="array" aca="1" ref="L4" ca="1">IFERROR(INDEX('Point Data'!$U$2:$U$225,MATCH(1,(L$2='Point Data'!$E$2:$E$225)*($B4='Point Data'!$B$2:$B$225),0)),"DNP")</f>
        <v>1</v>
      </c>
      <c r="M4" s="58">
        <f t="array" aca="1" ref="M4" ca="1">IFERROR(INDEX('Point Data'!$U$2:$U$225,MATCH(1,(M$2='Point Data'!$E$2:$E$225)*($B4='Point Data'!$B$2:$B$225),0)),"DNP")</f>
        <v>1</v>
      </c>
      <c r="N4" s="58">
        <f t="array" aca="1" ref="N4" ca="1">IFERROR(INDEX('Point Data'!$U$2:$U$225,MATCH(1,(N$2='Point Data'!$E$2:$E$225)*($B4='Point Data'!$B$2:$B$225),0)),"DNP")</f>
        <v>1</v>
      </c>
      <c r="O4" s="58">
        <f t="array" aca="1" ref="O4" ca="1">IFERROR(INDEX('Point Data'!$U$2:$U$225,MATCH(1,(O$2='Point Data'!$E$2:$E$225)*($B4='Point Data'!$B$2:$B$225),0)),"DNP")</f>
        <v>0</v>
      </c>
      <c r="P4" s="58">
        <f t="array" aca="1" ref="P4" ca="1">IFERROR(INDEX('Point Data'!$U$2:$U$225,MATCH(1,(P$2='Point Data'!$E$2:$E$225)*($B4='Point Data'!$B$2:$B$225),0)),"DNP")</f>
        <v>0</v>
      </c>
      <c r="Q4" s="58">
        <f t="array" aca="1" ref="Q4" ca="1">IFERROR(INDEX('Point Data'!$U$2:$U$225,MATCH(1,(Q$2='Point Data'!$E$2:$E$225)*($B4='Point Data'!$B$2:$B$225),0)),"DNP")</f>
        <v>1</v>
      </c>
      <c r="R4" s="58">
        <f t="array" aca="1" ref="R4" ca="1">IFERROR(INDEX('Point Data'!$U$2:$U$225,MATCH(1,(R$2='Point Data'!$E$2:$E$225)*($B4='Point Data'!$B$2:$B$225),0)),"DNP")</f>
        <v>0</v>
      </c>
    </row>
    <row r="5" spans="2:18" hidden="1">
      <c r="B5" s="194" t="str">
        <f>'ESPN Data'!$L$6</f>
        <v>Team 3</v>
      </c>
      <c r="C5" s="58">
        <f t="array" aca="1" ref="C5" ca="1">IFERROR(INDEX('Point Data'!$U$2:$U$225,MATCH(1,(C$2='Point Data'!$E$2:$E$225)*($B5='Point Data'!$B$2:$B$225),0)),"DNP")</f>
        <v>1</v>
      </c>
      <c r="D5" s="58">
        <f t="array" aca="1" ref="D5" ca="1">IFERROR(INDEX('Point Data'!$U$2:$U$225,MATCH(1,(D$2='Point Data'!$E$2:$E$225)*($B5='Point Data'!$B$2:$B$225),0)),"DNP")</f>
        <v>0</v>
      </c>
      <c r="E5" s="58" t="str">
        <f t="array" ref="E5">IFERROR(INDEX('Point Data'!$U$2:$U$225,MATCH(1,(E$2='Point Data'!$E$2:$E$225)*($B5='Point Data'!$B$2:$B$225),0)),"DNP")</f>
        <v>DNP</v>
      </c>
      <c r="F5" s="58">
        <f t="array" aca="1" ref="F5" ca="1">IFERROR(INDEX('Point Data'!$U$2:$U$225,MATCH(1,(F$2='Point Data'!$E$2:$E$225)*($B5='Point Data'!$B$2:$B$225),0)),"DNP")</f>
        <v>0</v>
      </c>
      <c r="G5" s="58">
        <f t="array" aca="1" ref="G5" ca="1">IFERROR(INDEX('Point Data'!$U$2:$U$225,MATCH(1,(G$2='Point Data'!$E$2:$E$225)*($B5='Point Data'!$B$2:$B$225),0)),"DNP")</f>
        <v>0</v>
      </c>
      <c r="H5" s="58" t="str">
        <f t="array" ref="H5">IFERROR(INDEX('Point Data'!$U$2:$U$225,MATCH(1,(H$2='Point Data'!$E$2:$E$225)*($B5='Point Data'!$B$2:$B$225),0)),"DNP")</f>
        <v>DNP</v>
      </c>
      <c r="I5" s="58">
        <f t="array" aca="1" ref="I5" ca="1">IFERROR(INDEX('Point Data'!$U$2:$U$225,MATCH(1,(I$2='Point Data'!$E$2:$E$225)*($B5='Point Data'!$B$2:$B$225),0)),"DNP")</f>
        <v>0</v>
      </c>
      <c r="J5" s="58">
        <f t="array" aca="1" ref="J5" ca="1">IFERROR(INDEX('Point Data'!$U$2:$U$225,MATCH(1,(J$2='Point Data'!$E$2:$E$225)*($B5='Point Data'!$B$2:$B$225),0)),"DNP")</f>
        <v>0</v>
      </c>
      <c r="K5" s="58">
        <f t="array" aca="1" ref="K5" ca="1">IFERROR(INDEX('Point Data'!$U$2:$U$225,MATCH(1,(K$2='Point Data'!$E$2:$E$225)*($B5='Point Data'!$B$2:$B$225),0)),"DNP")</f>
        <v>0</v>
      </c>
      <c r="L5" s="58">
        <f t="array" aca="1" ref="L5" ca="1">IFERROR(INDEX('Point Data'!$U$2:$U$225,MATCH(1,(L$2='Point Data'!$E$2:$E$225)*($B5='Point Data'!$B$2:$B$225),0)),"DNP")</f>
        <v>1</v>
      </c>
      <c r="M5" s="58">
        <f t="array" aca="1" ref="M5" ca="1">IFERROR(INDEX('Point Data'!$U$2:$U$225,MATCH(1,(M$2='Point Data'!$E$2:$E$225)*($B5='Point Data'!$B$2:$B$225),0)),"DNP")</f>
        <v>0</v>
      </c>
      <c r="N5" s="58">
        <f t="array" aca="1" ref="N5" ca="1">IFERROR(INDEX('Point Data'!$U$2:$U$225,MATCH(1,(N$2='Point Data'!$E$2:$E$225)*($B5='Point Data'!$B$2:$B$225),0)),"DNP")</f>
        <v>1</v>
      </c>
      <c r="O5" s="58">
        <f t="array" aca="1" ref="O5" ca="1">IFERROR(INDEX('Point Data'!$U$2:$U$225,MATCH(1,(O$2='Point Data'!$E$2:$E$225)*($B5='Point Data'!$B$2:$B$225),0)),"DNP")</f>
        <v>1</v>
      </c>
      <c r="P5" s="58" t="str">
        <f t="array" ref="P5">IFERROR(INDEX('Point Data'!$U$2:$U$225,MATCH(1,(P$2='Point Data'!$E$2:$E$225)*($B5='Point Data'!$B$2:$B$225),0)),"DNP")</f>
        <v>DNP</v>
      </c>
      <c r="Q5" s="58">
        <f t="array" aca="1" ref="Q5" ca="1">IFERROR(INDEX('Point Data'!$U$2:$U$225,MATCH(1,(Q$2='Point Data'!$E$2:$E$225)*($B5='Point Data'!$B$2:$B$225),0)),"DNP")</f>
        <v>0</v>
      </c>
      <c r="R5" s="58">
        <f t="array" aca="1" ref="R5" ca="1">IFERROR(INDEX('Point Data'!$U$2:$U$225,MATCH(1,(R$2='Point Data'!$E$2:$E$225)*($B5='Point Data'!$B$2:$B$225),0)),"DNP")</f>
        <v>1</v>
      </c>
    </row>
    <row r="6" spans="2:18" hidden="1">
      <c r="B6" s="194" t="str">
        <f>'ESPN Data'!L$7</f>
        <v>Team 4</v>
      </c>
      <c r="C6" s="58">
        <f t="array" aca="1" ref="C6" ca="1">IFERROR(INDEX('Point Data'!$U$2:$U$225,MATCH(1,(C$2='Point Data'!$E$2:$E$225)*($B6='Point Data'!$B$2:$B$225),0)),"DNP")</f>
        <v>1</v>
      </c>
      <c r="D6" s="58" t="str">
        <f t="array" ref="D6">IFERROR(INDEX('Point Data'!$U$2:$U$225,MATCH(1,(D$2='Point Data'!$E$2:$E$225)*($B6='Point Data'!$B$2:$B$225),0)),"DNP")</f>
        <v>DNP</v>
      </c>
      <c r="E6" s="58">
        <f t="array" aca="1" ref="E6" ca="1">IFERROR(INDEX('Point Data'!$U$2:$U$225,MATCH(1,(E$2='Point Data'!$E$2:$E$225)*($B6='Point Data'!$B$2:$B$225),0)),"DNP")</f>
        <v>1</v>
      </c>
      <c r="F6" s="58" t="str">
        <f t="array" ref="F6">IFERROR(INDEX('Point Data'!$U$2:$U$225,MATCH(1,(F$2='Point Data'!$E$2:$E$225)*($B6='Point Data'!$B$2:$B$225),0)),"DNP")</f>
        <v>DNP</v>
      </c>
      <c r="G6" s="58">
        <f t="array" aca="1" ref="G6" ca="1">IFERROR(INDEX('Point Data'!$U$2:$U$225,MATCH(1,(G$2='Point Data'!$E$2:$E$225)*($B6='Point Data'!$B$2:$B$225),0)),"DNP")</f>
        <v>0</v>
      </c>
      <c r="H6" s="58">
        <f t="array" aca="1" ref="H6" ca="1">IFERROR(INDEX('Point Data'!$U$2:$U$225,MATCH(1,(H$2='Point Data'!$E$2:$E$225)*($B6='Point Data'!$B$2:$B$225),0)),"DNP")</f>
        <v>0</v>
      </c>
      <c r="I6" s="58">
        <f t="array" aca="1" ref="I6" ca="1">IFERROR(INDEX('Point Data'!$U$2:$U$225,MATCH(1,(I$2='Point Data'!$E$2:$E$225)*($B6='Point Data'!$B$2:$B$225),0)),"DNP")</f>
        <v>0</v>
      </c>
      <c r="J6" s="58">
        <f t="array" aca="1" ref="J6" ca="1">IFERROR(INDEX('Point Data'!$U$2:$U$225,MATCH(1,(J$2='Point Data'!$E$2:$E$225)*($B6='Point Data'!$B$2:$B$225),0)),"DNP")</f>
        <v>1</v>
      </c>
      <c r="K6" s="58" t="str">
        <f t="array" ref="K6">IFERROR(INDEX('Point Data'!$U$2:$U$225,MATCH(1,(K$2='Point Data'!$E$2:$E$225)*($B6='Point Data'!$B$2:$B$225),0)),"DNP")</f>
        <v>DNP</v>
      </c>
      <c r="L6" s="58">
        <f t="array" aca="1" ref="L6" ca="1">IFERROR(INDEX('Point Data'!$U$2:$U$225,MATCH(1,(L$2='Point Data'!$E$2:$E$225)*($B6='Point Data'!$B$2:$B$225),0)),"DNP")</f>
        <v>1</v>
      </c>
      <c r="M6" s="58">
        <f t="array" aca="1" ref="M6" ca="1">IFERROR(INDEX('Point Data'!$U$2:$U$225,MATCH(1,(M$2='Point Data'!$E$2:$E$225)*($B6='Point Data'!$B$2:$B$225),0)),"DNP")</f>
        <v>0</v>
      </c>
      <c r="N6" s="58">
        <f t="array" aca="1" ref="N6" ca="1">IFERROR(INDEX('Point Data'!$U$2:$U$225,MATCH(1,(N$2='Point Data'!$E$2:$E$225)*($B6='Point Data'!$B$2:$B$225),0)),"DNP")</f>
        <v>1</v>
      </c>
      <c r="O6" s="58">
        <f t="array" aca="1" ref="O6" ca="1">IFERROR(INDEX('Point Data'!$U$2:$U$225,MATCH(1,(O$2='Point Data'!$E$2:$E$225)*($B6='Point Data'!$B$2:$B$225),0)),"DNP")</f>
        <v>0</v>
      </c>
      <c r="P6" s="58">
        <f t="array" aca="1" ref="P6" ca="1">IFERROR(INDEX('Point Data'!$U$2:$U$225,MATCH(1,(P$2='Point Data'!$E$2:$E$225)*($B6='Point Data'!$B$2:$B$225),0)),"DNP")</f>
        <v>1</v>
      </c>
      <c r="Q6" s="58">
        <f t="array" aca="1" ref="Q6" ca="1">IFERROR(INDEX('Point Data'!$U$2:$U$225,MATCH(1,(Q$2='Point Data'!$E$2:$E$225)*($B6='Point Data'!$B$2:$B$225),0)),"DNP")</f>
        <v>1</v>
      </c>
      <c r="R6" s="58">
        <f t="array" aca="1" ref="R6" ca="1">IFERROR(INDEX('Point Data'!$U$2:$U$225,MATCH(1,(R$2='Point Data'!$E$2:$E$225)*($B6='Point Data'!$B$2:$B$225),0)),"DNP")</f>
        <v>1</v>
      </c>
    </row>
    <row r="7" spans="2:18" hidden="1">
      <c r="B7" s="194" t="str">
        <f>'ESPN Data'!L8</f>
        <v>Team 5</v>
      </c>
      <c r="C7" s="58">
        <f t="array" aca="1" ref="C7" ca="1">IFERROR(INDEX('Point Data'!$U$2:$U$225,MATCH(1,(C$2='Point Data'!$E$2:$E$225)*($B7='Point Data'!$B$2:$B$225),0)),"DNP")</f>
        <v>1</v>
      </c>
      <c r="D7" s="58">
        <f t="array" aca="1" ref="D7" ca="1">IFERROR(INDEX('Point Data'!$U$2:$U$225,MATCH(1,(D$2='Point Data'!$E$2:$E$225)*($B7='Point Data'!$B$2:$B$225),0)),"DNP")</f>
        <v>1</v>
      </c>
      <c r="E7" s="58">
        <f t="array" aca="1" ref="E7" ca="1">IFERROR(INDEX('Point Data'!$U$2:$U$225,MATCH(1,(E$2='Point Data'!$E$2:$E$225)*($B7='Point Data'!$B$2:$B$225),0)),"DNP")</f>
        <v>1</v>
      </c>
      <c r="F7" s="58">
        <f t="array" aca="1" ref="F7" ca="1">IFERROR(INDEX('Point Data'!$U$2:$U$225,MATCH(1,(F$2='Point Data'!$E$2:$E$225)*($B7='Point Data'!$B$2:$B$225),0)),"DNP")</f>
        <v>1</v>
      </c>
      <c r="G7" s="58" t="str">
        <f t="array" ref="G7">IFERROR(INDEX('Point Data'!$U$2:$U$225,MATCH(1,(G$2='Point Data'!$E$2:$E$225)*($B7='Point Data'!$B$2:$B$225),0)),"DNP")</f>
        <v>DNP</v>
      </c>
      <c r="H7" s="58">
        <f t="array" aca="1" ref="H7" ca="1">IFERROR(INDEX('Point Data'!$U$2:$U$225,MATCH(1,(H$2='Point Data'!$E$2:$E$225)*($B7='Point Data'!$B$2:$B$225),0)),"DNP")</f>
        <v>1</v>
      </c>
      <c r="I7" s="58">
        <f t="array" aca="1" ref="I7" ca="1">IFERROR(INDEX('Point Data'!$U$2:$U$225,MATCH(1,(I$2='Point Data'!$E$2:$E$225)*($B7='Point Data'!$B$2:$B$225),0)),"DNP")</f>
        <v>0</v>
      </c>
      <c r="J7" s="58">
        <f t="array" aca="1" ref="J7" ca="1">IFERROR(INDEX('Point Data'!$U$2:$U$225,MATCH(1,(J$2='Point Data'!$E$2:$E$225)*($B7='Point Data'!$B$2:$B$225),0)),"DNP")</f>
        <v>1</v>
      </c>
      <c r="K7" s="58">
        <f t="array" aca="1" ref="K7" ca="1">IFERROR(INDEX('Point Data'!$U$2:$U$225,MATCH(1,(K$2='Point Data'!$E$2:$E$225)*($B7='Point Data'!$B$2:$B$225),0)),"DNP")</f>
        <v>1</v>
      </c>
      <c r="L7" s="58" t="str">
        <f t="array" ref="L7">IFERROR(INDEX('Point Data'!$U$2:$U$225,MATCH(1,(L$2='Point Data'!$E$2:$E$225)*($B7='Point Data'!$B$2:$B$225),0)),"DNP")</f>
        <v>DNP</v>
      </c>
      <c r="M7" s="58">
        <f t="array" aca="1" ref="M7" ca="1">IFERROR(INDEX('Point Data'!$U$2:$U$225,MATCH(1,(M$2='Point Data'!$E$2:$E$225)*($B7='Point Data'!$B$2:$B$225),0)),"DNP")</f>
        <v>0</v>
      </c>
      <c r="N7" s="58">
        <f t="array" aca="1" ref="N7" ca="1">IFERROR(INDEX('Point Data'!$U$2:$U$225,MATCH(1,(N$2='Point Data'!$E$2:$E$225)*($B7='Point Data'!$B$2:$B$225),0)),"DNP")</f>
        <v>0</v>
      </c>
      <c r="O7" s="58">
        <f t="array" aca="1" ref="O7" ca="1">IFERROR(INDEX('Point Data'!$U$2:$U$225,MATCH(1,(O$2='Point Data'!$E$2:$E$225)*($B7='Point Data'!$B$2:$B$225),0)),"DNP")</f>
        <v>1</v>
      </c>
      <c r="P7" s="58">
        <f t="array" aca="1" ref="P7" ca="1">IFERROR(INDEX('Point Data'!$U$2:$U$225,MATCH(1,(P$2='Point Data'!$E$2:$E$225)*($B7='Point Data'!$B$2:$B$225),0)),"DNP")</f>
        <v>1</v>
      </c>
      <c r="Q7" s="58" t="str">
        <f t="array" ref="Q7">IFERROR(INDEX('Point Data'!$U$2:$U$225,MATCH(1,(Q$2='Point Data'!$E$2:$E$225)*($B7='Point Data'!$B$2:$B$225),0)),"DNP")</f>
        <v>DNP</v>
      </c>
      <c r="R7" s="58">
        <f t="array" aca="1" ref="R7" ca="1">IFERROR(INDEX('Point Data'!$U$2:$U$225,MATCH(1,(R$2='Point Data'!$E$2:$E$225)*($B7='Point Data'!$B$2:$B$225),0)),"DNP")</f>
        <v>1</v>
      </c>
    </row>
    <row r="8" spans="2:18" hidden="1">
      <c r="B8" s="194" t="str">
        <f>'ESPN Data'!$L$9</f>
        <v>Team 6</v>
      </c>
      <c r="C8" s="58">
        <f t="array" aca="1" ref="C8" ca="1">IFERROR(INDEX('Point Data'!$U$2:$U$225,MATCH(1,(C$2='Point Data'!$E$2:$E$225)*($B8='Point Data'!$B$2:$B$225),0)),"DNP")</f>
        <v>1</v>
      </c>
      <c r="D8" s="58">
        <f t="array" aca="1" ref="D8" ca="1">IFERROR(INDEX('Point Data'!$U$2:$U$225,MATCH(1,(D$2='Point Data'!$E$2:$E$225)*($B8='Point Data'!$B$2:$B$225),0)),"DNP")</f>
        <v>0</v>
      </c>
      <c r="E8" s="58" t="str">
        <f t="array" ref="E8">IFERROR(INDEX('Point Data'!$U$2:$U$225,MATCH(1,(E$2='Point Data'!$E$2:$E$225)*($B8='Point Data'!$B$2:$B$225),0)),"DNP")</f>
        <v>DNP</v>
      </c>
      <c r="F8" s="58">
        <f t="array" aca="1" ref="F8" ca="1">IFERROR(INDEX('Point Data'!$U$2:$U$225,MATCH(1,(F$2='Point Data'!$E$2:$E$225)*($B8='Point Data'!$B$2:$B$225),0)),"DNP")</f>
        <v>1</v>
      </c>
      <c r="G8" s="58">
        <f t="array" aca="1" ref="G8" ca="1">IFERROR(INDEX('Point Data'!$U$2:$U$225,MATCH(1,(G$2='Point Data'!$E$2:$E$225)*($B8='Point Data'!$B$2:$B$225),0)),"DNP")</f>
        <v>0</v>
      </c>
      <c r="H8" s="58" t="str">
        <f t="array" ref="H8">IFERROR(INDEX('Point Data'!$U$2:$U$225,MATCH(1,(H$2='Point Data'!$E$2:$E$225)*($B8='Point Data'!$B$2:$B$225),0)),"DNP")</f>
        <v>DNP</v>
      </c>
      <c r="I8" s="58">
        <f t="array" aca="1" ref="I8" ca="1">IFERROR(INDEX('Point Data'!$U$2:$U$225,MATCH(1,(I$2='Point Data'!$E$2:$E$225)*($B8='Point Data'!$B$2:$B$225),0)),"DNP")</f>
        <v>1</v>
      </c>
      <c r="J8" s="58">
        <f t="array" aca="1" ref="J8" ca="1">IFERROR(INDEX('Point Data'!$U$2:$U$225,MATCH(1,(J$2='Point Data'!$E$2:$E$225)*($B8='Point Data'!$B$2:$B$225),0)),"DNP")</f>
        <v>1</v>
      </c>
      <c r="K8" s="58">
        <f t="array" aca="1" ref="K8" ca="1">IFERROR(INDEX('Point Data'!$U$2:$U$225,MATCH(1,(K$2='Point Data'!$E$2:$E$225)*($B8='Point Data'!$B$2:$B$225),0)),"DNP")</f>
        <v>1</v>
      </c>
      <c r="L8" s="58">
        <f t="array" aca="1" ref="L8" ca="1">IFERROR(INDEX('Point Data'!$U$2:$U$225,MATCH(1,(L$2='Point Data'!$E$2:$E$225)*($B8='Point Data'!$B$2:$B$225),0)),"DNP")</f>
        <v>0</v>
      </c>
      <c r="M8" s="58">
        <f t="array" aca="1" ref="M8" ca="1">IFERROR(INDEX('Point Data'!$U$2:$U$225,MATCH(1,(M$2='Point Data'!$E$2:$E$225)*($B8='Point Data'!$B$2:$B$225),0)),"DNP")</f>
        <v>1</v>
      </c>
      <c r="N8" s="58">
        <f t="array" aca="1" ref="N8" ca="1">IFERROR(INDEX('Point Data'!$U$2:$U$225,MATCH(1,(N$2='Point Data'!$E$2:$E$225)*($B8='Point Data'!$B$2:$B$225),0)),"DNP")</f>
        <v>1</v>
      </c>
      <c r="O8" s="58">
        <f t="array" aca="1" ref="O8" ca="1">IFERROR(INDEX('Point Data'!$U$2:$U$225,MATCH(1,(O$2='Point Data'!$E$2:$E$225)*($B8='Point Data'!$B$2:$B$225),0)),"DNP")</f>
        <v>0</v>
      </c>
      <c r="P8" s="58">
        <f t="array" aca="1" ref="P8" ca="1">IFERROR(INDEX('Point Data'!$U$2:$U$225,MATCH(1,(P$2='Point Data'!$E$2:$E$225)*($B8='Point Data'!$B$2:$B$225),0)),"DNP")</f>
        <v>0</v>
      </c>
      <c r="Q8" s="58">
        <f t="array" aca="1" ref="Q8" ca="1">IFERROR(INDEX('Point Data'!$U$2:$U$225,MATCH(1,(Q$2='Point Data'!$E$2:$E$225)*($B8='Point Data'!$B$2:$B$225),0)),"DNP")</f>
        <v>1</v>
      </c>
      <c r="R8" s="58" t="str">
        <f t="array" ref="R8">IFERROR(INDEX('Point Data'!$U$2:$U$225,MATCH(1,(R$2='Point Data'!$E$2:$E$225)*($B8='Point Data'!$B$2:$B$225),0)),"DNP")</f>
        <v>DNP</v>
      </c>
    </row>
    <row r="9" spans="2:18" hidden="1">
      <c r="B9" s="194" t="str">
        <f>'ESPN Data'!$L$10</f>
        <v>Team 7</v>
      </c>
      <c r="C9" s="58" t="str">
        <f t="array" ref="C9">IFERROR(INDEX('Point Data'!$U$2:$U$225,MATCH(1,(C$2='Point Data'!$E$2:$E$225)*($B9='Point Data'!$B$2:$B$225),0)),"DNP")</f>
        <v>DNP</v>
      </c>
      <c r="D9" s="58">
        <f t="array" aca="1" ref="D9" ca="1">IFERROR(INDEX('Point Data'!$U$2:$U$225,MATCH(1,(D$2='Point Data'!$E$2:$E$225)*($B9='Point Data'!$B$2:$B$225),0)),"DNP")</f>
        <v>0</v>
      </c>
      <c r="E9" s="58">
        <f t="array" aca="1" ref="E9" ca="1">IFERROR(INDEX('Point Data'!$U$2:$U$225,MATCH(1,(E$2='Point Data'!$E$2:$E$225)*($B9='Point Data'!$B$2:$B$225),0)),"DNP")</f>
        <v>1</v>
      </c>
      <c r="F9" s="58">
        <f t="array" aca="1" ref="F9" ca="1">IFERROR(INDEX('Point Data'!$U$2:$U$225,MATCH(1,(F$2='Point Data'!$E$2:$E$225)*($B9='Point Data'!$B$2:$B$225),0)),"DNP")</f>
        <v>1</v>
      </c>
      <c r="G9" s="58">
        <f t="array" aca="1" ref="G9" ca="1">IFERROR(INDEX('Point Data'!$U$2:$U$225,MATCH(1,(G$2='Point Data'!$E$2:$E$225)*($B9='Point Data'!$B$2:$B$225),0)),"DNP")</f>
        <v>1</v>
      </c>
      <c r="H9" s="58">
        <f t="array" aca="1" ref="H9" ca="1">IFERROR(INDEX('Point Data'!$U$2:$U$225,MATCH(1,(H$2='Point Data'!$E$2:$E$225)*($B9='Point Data'!$B$2:$B$225),0)),"DNP")</f>
        <v>0</v>
      </c>
      <c r="I9" s="58" t="str">
        <f t="array" ref="I9">IFERROR(INDEX('Point Data'!$U$2:$U$225,MATCH(1,(I$2='Point Data'!$E$2:$E$225)*($B9='Point Data'!$B$2:$B$225),0)),"DNP")</f>
        <v>DNP</v>
      </c>
      <c r="J9" s="58">
        <f t="array" aca="1" ref="J9" ca="1">IFERROR(INDEX('Point Data'!$U$2:$U$225,MATCH(1,(J$2='Point Data'!$E$2:$E$225)*($B9='Point Data'!$B$2:$B$225),0)),"DNP")</f>
        <v>0</v>
      </c>
      <c r="K9" s="58">
        <f t="array" aca="1" ref="K9" ca="1">IFERROR(INDEX('Point Data'!$U$2:$U$225,MATCH(1,(K$2='Point Data'!$E$2:$E$225)*($B9='Point Data'!$B$2:$B$225),0)),"DNP")</f>
        <v>0</v>
      </c>
      <c r="L9" s="58">
        <f t="array" aca="1" ref="L9" ca="1">IFERROR(INDEX('Point Data'!$U$2:$U$225,MATCH(1,(L$2='Point Data'!$E$2:$E$225)*($B9='Point Data'!$B$2:$B$225),0)),"DNP")</f>
        <v>1</v>
      </c>
      <c r="M9" s="58">
        <f t="array" aca="1" ref="M9" ca="1">IFERROR(INDEX('Point Data'!$U$2:$U$225,MATCH(1,(M$2='Point Data'!$E$2:$E$225)*($B9='Point Data'!$B$2:$B$225),0)),"DNP")</f>
        <v>0</v>
      </c>
      <c r="N9" s="58">
        <f t="array" aca="1" ref="N9" ca="1">IFERROR(INDEX('Point Data'!$U$2:$U$225,MATCH(1,(N$2='Point Data'!$E$2:$E$225)*($B9='Point Data'!$B$2:$B$225),0)),"DNP")</f>
        <v>1</v>
      </c>
      <c r="O9" s="58" t="str">
        <f t="array" ref="O9">IFERROR(INDEX('Point Data'!$U$2:$U$225,MATCH(1,(O$2='Point Data'!$E$2:$E$225)*($B9='Point Data'!$B$2:$B$225),0)),"DNP")</f>
        <v>DNP</v>
      </c>
      <c r="P9" s="58">
        <f t="array" aca="1" ref="P9" ca="1">IFERROR(INDEX('Point Data'!$U$2:$U$225,MATCH(1,(P$2='Point Data'!$E$2:$E$225)*($B9='Point Data'!$B$2:$B$225),0)),"DNP")</f>
        <v>1</v>
      </c>
      <c r="Q9" s="58">
        <f t="array" aca="1" ref="Q9" ca="1">IFERROR(INDEX('Point Data'!$U$2:$U$225,MATCH(1,(Q$2='Point Data'!$E$2:$E$225)*($B9='Point Data'!$B$2:$B$225),0)),"DNP")</f>
        <v>0</v>
      </c>
      <c r="R9" s="58">
        <f t="array" aca="1" ref="R9" ca="1">IFERROR(INDEX('Point Data'!$U$2:$U$225,MATCH(1,(R$2='Point Data'!$E$2:$E$225)*($B9='Point Data'!$B$2:$B$225),0)),"DNP")</f>
        <v>1</v>
      </c>
    </row>
    <row r="10" spans="2:18" hidden="1">
      <c r="B10" s="194" t="str">
        <f>'ESPN Data'!$L$11</f>
        <v>Team 8</v>
      </c>
      <c r="C10" s="58">
        <f t="array" aca="1" ref="C10" ca="1">IFERROR(INDEX('Point Data'!$U$2:$U$225,MATCH(1,(C$2='Point Data'!$E$2:$E$225)*($B10='Point Data'!$B$2:$B$225),0)),"DNP")</f>
        <v>1</v>
      </c>
      <c r="D10" s="58" t="str">
        <f t="array" ref="D10">IFERROR(INDEX('Point Data'!$U$2:$U$225,MATCH(1,(D$2='Point Data'!$E$2:$E$225)*($B10='Point Data'!$B$2:$B$225),0)),"DNP")</f>
        <v>DNP</v>
      </c>
      <c r="E10" s="58">
        <f t="array" aca="1" ref="E10" ca="1">IFERROR(INDEX('Point Data'!$U$2:$U$225,MATCH(1,(E$2='Point Data'!$E$2:$E$225)*($B10='Point Data'!$B$2:$B$225),0)),"DNP")</f>
        <v>1</v>
      </c>
      <c r="F10" s="58">
        <f t="array" aca="1" ref="F10" ca="1">IFERROR(INDEX('Point Data'!$U$2:$U$225,MATCH(1,(F$2='Point Data'!$E$2:$E$225)*($B10='Point Data'!$B$2:$B$225),0)),"DNP")</f>
        <v>0</v>
      </c>
      <c r="G10" s="58">
        <f t="array" aca="1" ref="G10" ca="1">IFERROR(INDEX('Point Data'!$U$2:$U$225,MATCH(1,(G$2='Point Data'!$E$2:$E$225)*($B10='Point Data'!$B$2:$B$225),0)),"DNP")</f>
        <v>0</v>
      </c>
      <c r="H10" s="58">
        <f t="array" aca="1" ref="H10" ca="1">IFERROR(INDEX('Point Data'!$U$2:$U$225,MATCH(1,(H$2='Point Data'!$E$2:$E$225)*($B10='Point Data'!$B$2:$B$225),0)),"DNP")</f>
        <v>0</v>
      </c>
      <c r="I10" s="58">
        <f t="array" aca="1" ref="I10" ca="1">IFERROR(INDEX('Point Data'!$U$2:$U$225,MATCH(1,(I$2='Point Data'!$E$2:$E$225)*($B10='Point Data'!$B$2:$B$225),0)),"DNP")</f>
        <v>1</v>
      </c>
      <c r="J10" s="58" t="str">
        <f t="array" ref="J10">IFERROR(INDEX('Point Data'!$U$2:$U$225,MATCH(1,(J$2='Point Data'!$E$2:$E$225)*($B10='Point Data'!$B$2:$B$225),0)),"DNP")</f>
        <v>DNP</v>
      </c>
      <c r="K10" s="58">
        <f t="array" aca="1" ref="K10" ca="1">IFERROR(INDEX('Point Data'!$U$2:$U$225,MATCH(1,(K$2='Point Data'!$E$2:$E$225)*($B10='Point Data'!$B$2:$B$225),0)),"DNP")</f>
        <v>0</v>
      </c>
      <c r="L10" s="58">
        <f t="array" aca="1" ref="L10" ca="1">IFERROR(INDEX('Point Data'!$U$2:$U$225,MATCH(1,(L$2='Point Data'!$E$2:$E$225)*($B10='Point Data'!$B$2:$B$225),0)),"DNP")</f>
        <v>1</v>
      </c>
      <c r="M10" s="58">
        <f t="array" aca="1" ref="M10" ca="1">IFERROR(INDEX('Point Data'!$U$2:$U$225,MATCH(1,(M$2='Point Data'!$E$2:$E$225)*($B10='Point Data'!$B$2:$B$225),0)),"DNP")</f>
        <v>1</v>
      </c>
      <c r="N10" s="58">
        <f t="array" aca="1" ref="N10" ca="1">IFERROR(INDEX('Point Data'!$U$2:$U$225,MATCH(1,(N$2='Point Data'!$E$2:$E$225)*($B10='Point Data'!$B$2:$B$225),0)),"DNP")</f>
        <v>1</v>
      </c>
      <c r="O10" s="58">
        <f t="array" aca="1" ref="O10" ca="1">IFERROR(INDEX('Point Data'!$U$2:$U$225,MATCH(1,(O$2='Point Data'!$E$2:$E$225)*($B10='Point Data'!$B$2:$B$225),0)),"DNP")</f>
        <v>1</v>
      </c>
      <c r="P10" s="58">
        <f t="array" aca="1" ref="P10" ca="1">IFERROR(INDEX('Point Data'!$U$2:$U$225,MATCH(1,(P$2='Point Data'!$E$2:$E$225)*($B10='Point Data'!$B$2:$B$225),0)),"DNP")</f>
        <v>0</v>
      </c>
      <c r="Q10" s="58">
        <f t="array" aca="1" ref="Q10" ca="1">IFERROR(INDEX('Point Data'!$U$2:$U$225,MATCH(1,(Q$2='Point Data'!$E$2:$E$225)*($B10='Point Data'!$B$2:$B$225),0)),"DNP")</f>
        <v>0</v>
      </c>
      <c r="R10" s="58" t="str">
        <f t="array" ref="R10">IFERROR(INDEX('Point Data'!$U$2:$U$225,MATCH(1,(R$2='Point Data'!$E$2:$E$225)*($B10='Point Data'!$B$2:$B$225),0)),"DNP")</f>
        <v>DNP</v>
      </c>
    </row>
    <row r="11" spans="2:18" hidden="1">
      <c r="B11" s="195" t="str">
        <f>'ESPN Data'!$L$12</f>
        <v>Team 9</v>
      </c>
      <c r="C11" s="58">
        <f t="array" aca="1" ref="C11" ca="1">IFERROR(INDEX('Point Data'!$U$2:$U$225,MATCH(1,(C$2='Point Data'!$E$2:$E$225)*($B11='Point Data'!$B$2:$B$225),0)),"DNP")</f>
        <v>1</v>
      </c>
      <c r="D11" s="58">
        <f t="array" aca="1" ref="D11" ca="1">IFERROR(INDEX('Point Data'!$U$2:$U$225,MATCH(1,(D$2='Point Data'!$E$2:$E$225)*($B11='Point Data'!$B$2:$B$225),0)),"DNP")</f>
        <v>1</v>
      </c>
      <c r="E11" s="58">
        <f t="array" aca="1" ref="E11" ca="1">IFERROR(INDEX('Point Data'!$U$2:$U$225,MATCH(1,(E$2='Point Data'!$E$2:$E$225)*($B11='Point Data'!$B$2:$B$225),0)),"DNP")</f>
        <v>1</v>
      </c>
      <c r="F11" s="58" t="str">
        <f t="array" ref="F11">IFERROR(INDEX('Point Data'!$U$2:$U$225,MATCH(1,(F$2='Point Data'!$E$2:$E$225)*($B11='Point Data'!$B$2:$B$225),0)),"DNP")</f>
        <v>DNP</v>
      </c>
      <c r="G11" s="58">
        <f t="array" aca="1" ref="G11" ca="1">IFERROR(INDEX('Point Data'!$U$2:$U$225,MATCH(1,(G$2='Point Data'!$E$2:$E$225)*($B11='Point Data'!$B$2:$B$225),0)),"DNP")</f>
        <v>0</v>
      </c>
      <c r="H11" s="58">
        <f t="array" aca="1" ref="H11" ca="1">IFERROR(INDEX('Point Data'!$U$2:$U$225,MATCH(1,(H$2='Point Data'!$E$2:$E$225)*($B11='Point Data'!$B$2:$B$225),0)),"DNP")</f>
        <v>0</v>
      </c>
      <c r="I11" s="58">
        <f t="array" aca="1" ref="I11" ca="1">IFERROR(INDEX('Point Data'!$U$2:$U$225,MATCH(1,(I$2='Point Data'!$E$2:$E$225)*($B11='Point Data'!$B$2:$B$225),0)),"DNP")</f>
        <v>1</v>
      </c>
      <c r="J11" s="58">
        <f t="array" aca="1" ref="J11" ca="1">IFERROR(INDEX('Point Data'!$U$2:$U$225,MATCH(1,(J$2='Point Data'!$E$2:$E$225)*($B11='Point Data'!$B$2:$B$225),0)),"DNP")</f>
        <v>1</v>
      </c>
      <c r="K11" s="58" t="str">
        <f t="array" ref="K11">IFERROR(INDEX('Point Data'!$U$2:$U$225,MATCH(1,(K$2='Point Data'!$E$2:$E$225)*($B11='Point Data'!$B$2:$B$225),0)),"DNP")</f>
        <v>DNP</v>
      </c>
      <c r="L11" s="58" t="str">
        <f t="array" ref="L11">IFERROR(INDEX('Point Data'!$U$2:$U$225,MATCH(1,(L$2='Point Data'!$E$2:$E$225)*($B11='Point Data'!$B$2:$B$225),0)),"DNP")</f>
        <v>DNP</v>
      </c>
      <c r="M11" s="58">
        <f t="array" aca="1" ref="M11" ca="1">IFERROR(INDEX('Point Data'!$U$2:$U$225,MATCH(1,(M$2='Point Data'!$E$2:$E$225)*($B11='Point Data'!$B$2:$B$225),0)),"DNP")</f>
        <v>0</v>
      </c>
      <c r="N11" s="58">
        <f t="array" aca="1" ref="N11" ca="1">IFERROR(INDEX('Point Data'!$U$2:$U$225,MATCH(1,(N$2='Point Data'!$E$2:$E$225)*($B11='Point Data'!$B$2:$B$225),0)),"DNP")</f>
        <v>0</v>
      </c>
      <c r="O11" s="58">
        <f t="array" aca="1" ref="O11" ca="1">IFERROR(INDEX('Point Data'!$U$2:$U$225,MATCH(1,(O$2='Point Data'!$E$2:$E$225)*($B11='Point Data'!$B$2:$B$225),0)),"DNP")</f>
        <v>1</v>
      </c>
      <c r="P11" s="58">
        <f t="array" aca="1" ref="P11" ca="1">IFERROR(INDEX('Point Data'!$U$2:$U$225,MATCH(1,(P$2='Point Data'!$E$2:$E$225)*($B11='Point Data'!$B$2:$B$225),0)),"DNP")</f>
        <v>1</v>
      </c>
      <c r="Q11" s="58">
        <f t="array" aca="1" ref="Q11" ca="1">IFERROR(INDEX('Point Data'!$U$2:$U$225,MATCH(1,(Q$2='Point Data'!$E$2:$E$225)*($B11='Point Data'!$B$2:$B$225),0)),"DNP")</f>
        <v>1</v>
      </c>
      <c r="R11" s="58">
        <f t="array" aca="1" ref="R11" ca="1">IFERROR(INDEX('Point Data'!$U$2:$U$225,MATCH(1,(R$2='Point Data'!$E$2:$E$225)*($B11='Point Data'!$B$2:$B$225),0)),"DNP")</f>
        <v>1</v>
      </c>
    </row>
    <row r="12" spans="2:18">
      <c r="B12" s="195" t="str">
        <f>'ESPN Data'!$L$13</f>
        <v>Team 10</v>
      </c>
      <c r="C12" s="58">
        <f t="array" aca="1" ref="C12" ca="1">IFERROR(INDEX('Point Data'!$U$2:$U$225,MATCH(1,(C$2='Point Data'!$E$2:$E$225)*($B12='Point Data'!$B$2:$B$225),0)),"DNP")</f>
        <v>1</v>
      </c>
      <c r="D12" s="58">
        <f t="array" aca="1" ref="D12" ca="1">IFERROR(INDEX('Point Data'!$U$2:$U$225,MATCH(1,(D$2='Point Data'!$E$2:$E$225)*($B12='Point Data'!$B$2:$B$225),0)),"DNP")</f>
        <v>0</v>
      </c>
      <c r="E12" s="58">
        <f t="array" aca="1" ref="E12" ca="1">IFERROR(INDEX('Point Data'!$U$2:$U$225,MATCH(1,(E$2='Point Data'!$E$2:$E$225)*($B12='Point Data'!$B$2:$B$225),0)),"DNP")</f>
        <v>0</v>
      </c>
      <c r="F12" s="58">
        <f t="array" aca="1" ref="F12" ca="1">IFERROR(INDEX('Point Data'!$U$2:$U$225,MATCH(1,(F$2='Point Data'!$E$2:$E$225)*($B12='Point Data'!$B$2:$B$225),0)),"DNP")</f>
        <v>0</v>
      </c>
      <c r="G12" s="58" t="str">
        <f t="array" ref="G12">IFERROR(INDEX('Point Data'!$U$2:$U$225,MATCH(1,(G$2='Point Data'!$E$2:$E$225)*($B12='Point Data'!$B$2:$B$225),0)),"DNP")</f>
        <v>DNP</v>
      </c>
      <c r="H12" s="58">
        <f t="array" aca="1" ref="H12" ca="1">IFERROR(INDEX('Point Data'!$U$2:$U$225,MATCH(1,(H$2='Point Data'!$E$2:$E$225)*($B12='Point Data'!$B$2:$B$225),0)),"DNP")</f>
        <v>1</v>
      </c>
      <c r="I12" s="58">
        <f t="array" aca="1" ref="I12" ca="1">IFERROR(INDEX('Point Data'!$U$2:$U$225,MATCH(1,(I$2='Point Data'!$E$2:$E$225)*($B12='Point Data'!$B$2:$B$225),0)),"DNP")</f>
        <v>0</v>
      </c>
      <c r="J12" s="58">
        <f t="array" aca="1" ref="J12" ca="1">IFERROR(INDEX('Point Data'!$U$2:$U$225,MATCH(1,(J$2='Point Data'!$E$2:$E$225)*($B12='Point Data'!$B$2:$B$225),0)),"DNP")</f>
        <v>0</v>
      </c>
      <c r="K12" s="58" t="str">
        <f t="array" ref="K12">IFERROR(INDEX('Point Data'!$U$2:$U$225,MATCH(1,(K$2='Point Data'!$E$2:$E$225)*($B12='Point Data'!$B$2:$B$225),0)),"DNP")</f>
        <v>DNP</v>
      </c>
      <c r="L12" s="58" t="str">
        <f t="array" ref="L12">IFERROR(INDEX('Point Data'!$U$2:$U$225,MATCH(1,(L$2='Point Data'!$E$2:$E$225)*($B12='Point Data'!$B$2:$B$225),0)),"DNP")</f>
        <v>DNP</v>
      </c>
      <c r="M12" s="58">
        <f t="array" aca="1" ref="M12" ca="1">IFERROR(INDEX('Point Data'!$U$2:$U$225,MATCH(1,(M$2='Point Data'!$E$2:$E$225)*($B12='Point Data'!$B$2:$B$225),0)),"DNP")</f>
        <v>1</v>
      </c>
      <c r="N12" s="58">
        <f t="array" aca="1" ref="N12" ca="1">IFERROR(INDEX('Point Data'!$U$2:$U$225,MATCH(1,(N$2='Point Data'!$E$2:$E$225)*($B12='Point Data'!$B$2:$B$225),0)),"DNP")</f>
        <v>0</v>
      </c>
      <c r="O12" s="58">
        <f t="array" aca="1" ref="O12" ca="1">IFERROR(INDEX('Point Data'!$U$2:$U$225,MATCH(1,(O$2='Point Data'!$E$2:$E$225)*($B12='Point Data'!$B$2:$B$225),0)),"DNP")</f>
        <v>1</v>
      </c>
      <c r="P12" s="58">
        <f t="array" aca="1" ref="P12" ca="1">IFERROR(INDEX('Point Data'!$U$2:$U$225,MATCH(1,(P$2='Point Data'!$E$2:$E$225)*($B12='Point Data'!$B$2:$B$225),0)),"DNP")</f>
        <v>0</v>
      </c>
      <c r="Q12" s="58">
        <f t="array" aca="1" ref="Q12" ca="1">IFERROR(INDEX('Point Data'!$U$2:$U$225,MATCH(1,(Q$2='Point Data'!$E$2:$E$225)*($B12='Point Data'!$B$2:$B$225),0)),"DNP")</f>
        <v>0</v>
      </c>
      <c r="R12" s="58">
        <f t="array" aca="1" ref="R12" ca="1">IFERROR(INDEX('Point Data'!$U$2:$U$225,MATCH(1,(R$2='Point Data'!$E$2:$E$225)*($B12='Point Data'!$B$2:$B$225),0)),"DNP")</f>
        <v>1</v>
      </c>
    </row>
    <row r="13" spans="2:18">
      <c r="B13" s="195" t="str">
        <f>'ESPN Data'!$L$14</f>
        <v>Team 11</v>
      </c>
      <c r="C13" s="58">
        <f t="array" aca="1" ref="C13" ca="1">IFERROR(INDEX('Point Data'!$U$2:$U$225,MATCH(1,(C$2='Point Data'!$E$2:$E$225)*($B13='Point Data'!$B$2:$B$225),0)),"DNP")</f>
        <v>1</v>
      </c>
      <c r="D13" s="58">
        <f t="array" aca="1" ref="D13" ca="1">IFERROR(INDEX('Point Data'!$U$2:$U$225,MATCH(1,(D$2='Point Data'!$E$2:$E$225)*($B13='Point Data'!$B$2:$B$225),0)),"DNP")</f>
        <v>0</v>
      </c>
      <c r="E13" s="58">
        <f t="array" aca="1" ref="E13" ca="1">IFERROR(INDEX('Point Data'!$U$2:$U$225,MATCH(1,(E$2='Point Data'!$E$2:$E$225)*($B13='Point Data'!$B$2:$B$225),0)),"DNP")</f>
        <v>1</v>
      </c>
      <c r="F13" s="58">
        <f t="array" aca="1" ref="F13" ca="1">IFERROR(INDEX('Point Data'!$U$2:$U$225,MATCH(1,(F$2='Point Data'!$E$2:$E$225)*($B13='Point Data'!$B$2:$B$225),0)),"DNP")</f>
        <v>1</v>
      </c>
      <c r="G13" s="58">
        <f t="array" aca="1" ref="G13" ca="1">IFERROR(INDEX('Point Data'!$U$2:$U$225,MATCH(1,(G$2='Point Data'!$E$2:$E$225)*($B13='Point Data'!$B$2:$B$225),0)),"DNP")</f>
        <v>1</v>
      </c>
      <c r="H13" s="58">
        <f t="array" aca="1" ref="H13" ca="1">IFERROR(INDEX('Point Data'!$U$2:$U$225,MATCH(1,(H$2='Point Data'!$E$2:$E$225)*($B13='Point Data'!$B$2:$B$225),0)),"DNP")</f>
        <v>0</v>
      </c>
      <c r="I13" s="58">
        <f t="array" aca="1" ref="I13" ca="1">IFERROR(INDEX('Point Data'!$U$2:$U$225,MATCH(1,(I$2='Point Data'!$E$2:$E$225)*($B13='Point Data'!$B$2:$B$225),0)),"DNP")</f>
        <v>1</v>
      </c>
      <c r="J13" s="58">
        <f t="array" aca="1" ref="J13" ca="1">IFERROR(INDEX('Point Data'!$U$2:$U$225,MATCH(1,(J$2='Point Data'!$E$2:$E$225)*($B13='Point Data'!$B$2:$B$225),0)),"DNP")</f>
        <v>0</v>
      </c>
      <c r="K13" s="58">
        <f t="array" aca="1" ref="K13" ca="1">IFERROR(INDEX('Point Data'!$U$2:$U$225,MATCH(1,(K$2='Point Data'!$E$2:$E$225)*($B13='Point Data'!$B$2:$B$225),0)),"DNP")</f>
        <v>1</v>
      </c>
      <c r="L13" s="58">
        <f t="array" aca="1" ref="L13" ca="1">IFERROR(INDEX('Point Data'!$U$2:$U$225,MATCH(1,(L$2='Point Data'!$E$2:$E$225)*($B13='Point Data'!$B$2:$B$225),0)),"DNP")</f>
        <v>0</v>
      </c>
      <c r="M13" s="58" t="str">
        <f t="array" ref="M13">IFERROR(INDEX('Point Data'!$U$2:$U$225,MATCH(1,(M$2='Point Data'!$E$2:$E$225)*($B13='Point Data'!$B$2:$B$225),0)),"DNP")</f>
        <v>DNP</v>
      </c>
      <c r="N13" s="58" t="str">
        <f t="array" ref="N13">IFERROR(INDEX('Point Data'!$U$2:$U$225,MATCH(1,(N$2='Point Data'!$E$2:$E$225)*($B13='Point Data'!$B$2:$B$225),0)),"DNP")</f>
        <v>DNP</v>
      </c>
      <c r="O13" s="58" t="str">
        <f t="array" ref="O13">IFERROR(INDEX('Point Data'!$U$2:$U$225,MATCH(1,(O$2='Point Data'!$E$2:$E$225)*($B13='Point Data'!$B$2:$B$225),0)),"DNP")</f>
        <v>DNP</v>
      </c>
      <c r="P13" s="58">
        <f t="array" aca="1" ref="P13" ca="1">IFERROR(INDEX('Point Data'!$U$2:$U$225,MATCH(1,(P$2='Point Data'!$E$2:$E$225)*($B13='Point Data'!$B$2:$B$225),0)),"DNP")</f>
        <v>1</v>
      </c>
      <c r="Q13" s="58">
        <f t="array" aca="1" ref="Q13" ca="1">IFERROR(INDEX('Point Data'!$U$2:$U$225,MATCH(1,(Q$2='Point Data'!$E$2:$E$225)*($B13='Point Data'!$B$2:$B$225),0)),"DNP")</f>
        <v>1</v>
      </c>
      <c r="R13" s="58">
        <f t="array" aca="1" ref="R13" ca="1">IFERROR(INDEX('Point Data'!$U$2:$U$225,MATCH(1,(R$2='Point Data'!$E$2:$E$225)*($B13='Point Data'!$B$2:$B$225),0)),"DNP")</f>
        <v>0</v>
      </c>
    </row>
    <row r="14" spans="2:18" hidden="1">
      <c r="B14" s="195" t="str">
        <f>'ESPN Data'!$L$15</f>
        <v>Team 12</v>
      </c>
      <c r="C14" s="58">
        <f t="array" aca="1" ref="C14" ca="1">IFERROR(INDEX('Point Data'!$U$2:$U$225,MATCH(1,(C$2='Point Data'!$E$2:$E$225)*($B14='Point Data'!$B$2:$B$225),0)),"DNP")</f>
        <v>0</v>
      </c>
      <c r="D14" s="58">
        <f t="array" aca="1" ref="D14" ca="1">IFERROR(INDEX('Point Data'!$U$2:$U$225,MATCH(1,(D$2='Point Data'!$E$2:$E$225)*($B14='Point Data'!$B$2:$B$225),0)),"DNP")</f>
        <v>0</v>
      </c>
      <c r="E14" s="58">
        <f t="array" aca="1" ref="E14" ca="1">IFERROR(INDEX('Point Data'!$U$2:$U$225,MATCH(1,(E$2='Point Data'!$E$2:$E$225)*($B14='Point Data'!$B$2:$B$225),0)),"DNP")</f>
        <v>0</v>
      </c>
      <c r="F14" s="58">
        <f t="array" aca="1" ref="F14" ca="1">IFERROR(INDEX('Point Data'!$U$2:$U$225,MATCH(1,(F$2='Point Data'!$E$2:$E$225)*($B14='Point Data'!$B$2:$B$225),0)),"DNP")</f>
        <v>0</v>
      </c>
      <c r="G14" s="58">
        <f t="array" aca="1" ref="G14" ca="1">IFERROR(INDEX('Point Data'!$U$2:$U$225,MATCH(1,(G$2='Point Data'!$E$2:$E$225)*($B14='Point Data'!$B$2:$B$225),0)),"DNP")</f>
        <v>1</v>
      </c>
      <c r="H14" s="58">
        <f t="array" aca="1" ref="H14" ca="1">IFERROR(INDEX('Point Data'!$U$2:$U$225,MATCH(1,(H$2='Point Data'!$E$2:$E$225)*($B14='Point Data'!$B$2:$B$225),0)),"DNP")</f>
        <v>0</v>
      </c>
      <c r="I14" s="58">
        <f t="array" aca="1" ref="I14" ca="1">IFERROR(INDEX('Point Data'!$U$2:$U$225,MATCH(1,(I$2='Point Data'!$E$2:$E$225)*($B14='Point Data'!$B$2:$B$225),0)),"DNP")</f>
        <v>0</v>
      </c>
      <c r="J14" s="58">
        <f t="array" aca="1" ref="J14" ca="1">IFERROR(INDEX('Point Data'!$U$2:$U$225,MATCH(1,(J$2='Point Data'!$E$2:$E$225)*($B14='Point Data'!$B$2:$B$225),0)),"DNP")</f>
        <v>0</v>
      </c>
      <c r="K14" s="58">
        <f t="array" aca="1" ref="K14" ca="1">IFERROR(INDEX('Point Data'!$U$2:$U$225,MATCH(1,(K$2='Point Data'!$E$2:$E$225)*($B14='Point Data'!$B$2:$B$225),0)),"DNP")</f>
        <v>1</v>
      </c>
      <c r="L14" s="58">
        <f t="array" aca="1" ref="L14" ca="1">IFERROR(INDEX('Point Data'!$U$2:$U$225,MATCH(1,(L$2='Point Data'!$E$2:$E$225)*($B14='Point Data'!$B$2:$B$225),0)),"DNP")</f>
        <v>1</v>
      </c>
      <c r="M14" s="58" t="str">
        <f t="array" ref="M14">IFERROR(INDEX('Point Data'!$U$2:$U$225,MATCH(1,(M$2='Point Data'!$E$2:$E$225)*($B14='Point Data'!$B$2:$B$225),0)),"DNP")</f>
        <v>DNP</v>
      </c>
      <c r="N14" s="58" t="str">
        <f t="array" ref="N14">IFERROR(INDEX('Point Data'!$U$2:$U$225,MATCH(1,(N$2='Point Data'!$E$2:$E$225)*($B14='Point Data'!$B$2:$B$225),0)),"DNP")</f>
        <v>DNP</v>
      </c>
      <c r="O14" s="58">
        <f t="array" aca="1" ref="O14" ca="1">IFERROR(INDEX('Point Data'!$U$2:$U$225,MATCH(1,(O$2='Point Data'!$E$2:$E$225)*($B14='Point Data'!$B$2:$B$225),0)),"DNP")</f>
        <v>0</v>
      </c>
      <c r="P14" s="58">
        <f t="array" aca="1" ref="P14" ca="1">IFERROR(INDEX('Point Data'!$U$2:$U$225,MATCH(1,(P$2='Point Data'!$E$2:$E$225)*($B14='Point Data'!$B$2:$B$225),0)),"DNP")</f>
        <v>1</v>
      </c>
      <c r="Q14" s="58" t="str">
        <f t="array" ref="Q14">IFERROR(INDEX('Point Data'!$U$2:$U$225,MATCH(1,(Q$2='Point Data'!$E$2:$E$225)*($B14='Point Data'!$B$2:$B$225),0)),"DNP")</f>
        <v>DNP</v>
      </c>
      <c r="R14" s="58">
        <f t="array" aca="1" ref="R14" ca="1">IFERROR(INDEX('Point Data'!$U$2:$U$225,MATCH(1,(R$2='Point Data'!$E$2:$E$225)*($B14='Point Data'!$B$2:$B$225),0)),"DNP")</f>
        <v>0</v>
      </c>
    </row>
    <row r="15" spans="2:18">
      <c r="B15" s="195" t="str">
        <f>'ESPN Data'!$L$16</f>
        <v>Team 13</v>
      </c>
      <c r="C15" s="58">
        <f t="array" aca="1" ref="C15" ca="1">IFERROR(INDEX('Point Data'!$U$2:$U$225,MATCH(1,(C$2='Point Data'!$E$2:$E$225)*($B15='Point Data'!$B$2:$B$225),0)),"DNP")</f>
        <v>0</v>
      </c>
      <c r="D15" s="58">
        <f t="array" aca="1" ref="D15" ca="1">IFERROR(INDEX('Point Data'!$U$2:$U$225,MATCH(1,(D$2='Point Data'!$E$2:$E$225)*($B15='Point Data'!$B$2:$B$225),0)),"DNP")</f>
        <v>1</v>
      </c>
      <c r="E15" s="58">
        <f t="array" aca="1" ref="E15" ca="1">IFERROR(INDEX('Point Data'!$U$2:$U$225,MATCH(1,(E$2='Point Data'!$E$2:$E$225)*($B15='Point Data'!$B$2:$B$225),0)),"DNP")</f>
        <v>0</v>
      </c>
      <c r="F15" s="58">
        <f t="array" aca="1" ref="F15" ca="1">IFERROR(INDEX('Point Data'!$U$2:$U$225,MATCH(1,(F$2='Point Data'!$E$2:$E$225)*($B15='Point Data'!$B$2:$B$225),0)),"DNP")</f>
        <v>1</v>
      </c>
      <c r="G15" s="58">
        <f t="array" aca="1" ref="G15" ca="1">IFERROR(INDEX('Point Data'!$U$2:$U$225,MATCH(1,(G$2='Point Data'!$E$2:$E$225)*($B15='Point Data'!$B$2:$B$225),0)),"DNP")</f>
        <v>0</v>
      </c>
      <c r="H15" s="58">
        <f t="array" aca="1" ref="H15" ca="1">IFERROR(INDEX('Point Data'!$U$2:$U$225,MATCH(1,(H$2='Point Data'!$E$2:$E$225)*($B15='Point Data'!$B$2:$B$225),0)),"DNP")</f>
        <v>1</v>
      </c>
      <c r="I15" s="58" t="str">
        <f t="array" ref="I15">IFERROR(INDEX('Point Data'!$U$2:$U$225,MATCH(1,(I$2='Point Data'!$E$2:$E$225)*($B15='Point Data'!$B$2:$B$225),0)),"DNP")</f>
        <v>DNP</v>
      </c>
      <c r="J15" s="58">
        <f t="array" aca="1" ref="J15" ca="1">IFERROR(INDEX('Point Data'!$U$2:$U$225,MATCH(1,(J$2='Point Data'!$E$2:$E$225)*($B15='Point Data'!$B$2:$B$225),0)),"DNP")</f>
        <v>0</v>
      </c>
      <c r="K15" s="58">
        <f t="array" aca="1" ref="K15" ca="1">IFERROR(INDEX('Point Data'!$U$2:$U$225,MATCH(1,(K$2='Point Data'!$E$2:$E$225)*($B15='Point Data'!$B$2:$B$225),0)),"DNP")</f>
        <v>0</v>
      </c>
      <c r="L15" s="58">
        <f t="array" aca="1" ref="L15" ca="1">IFERROR(INDEX('Point Data'!$U$2:$U$225,MATCH(1,(L$2='Point Data'!$E$2:$E$225)*($B15='Point Data'!$B$2:$B$225),0)),"DNP")</f>
        <v>0</v>
      </c>
      <c r="M15" s="58" t="str">
        <f t="array" ref="M15">IFERROR(INDEX('Point Data'!$U$2:$U$225,MATCH(1,(M$2='Point Data'!$E$2:$E$225)*($B15='Point Data'!$B$2:$B$225),0)),"DNP")</f>
        <v>DNP</v>
      </c>
      <c r="N15" s="58">
        <f t="array" aca="1" ref="N15" ca="1">IFERROR(INDEX('Point Data'!$U$2:$U$225,MATCH(1,(N$2='Point Data'!$E$2:$E$225)*($B15='Point Data'!$B$2:$B$225),0)),"DNP")</f>
        <v>1</v>
      </c>
      <c r="O15" s="58" t="str">
        <f t="array" ref="O15">IFERROR(INDEX('Point Data'!$U$2:$U$225,MATCH(1,(O$2='Point Data'!$E$2:$E$225)*($B15='Point Data'!$B$2:$B$225),0)),"DNP")</f>
        <v>DNP</v>
      </c>
      <c r="P15" s="58">
        <f t="array" aca="1" ref="P15" ca="1">IFERROR(INDEX('Point Data'!$U$2:$U$225,MATCH(1,(P$2='Point Data'!$E$2:$E$225)*($B15='Point Data'!$B$2:$B$225),0)),"DNP")</f>
        <v>0</v>
      </c>
      <c r="Q15" s="58">
        <f t="array" aca="1" ref="Q15" ca="1">IFERROR(INDEX('Point Data'!$U$2:$U$225,MATCH(1,(Q$2='Point Data'!$E$2:$E$225)*($B15='Point Data'!$B$2:$B$225),0)),"DNP")</f>
        <v>0</v>
      </c>
      <c r="R15" s="58">
        <f t="array" aca="1" ref="R15" ca="1">IFERROR(INDEX('Point Data'!$U$2:$U$225,MATCH(1,(R$2='Point Data'!$E$2:$E$225)*($B15='Point Data'!$B$2:$B$225),0)),"DNP")</f>
        <v>1</v>
      </c>
    </row>
    <row r="16" spans="2:18">
      <c r="B16" s="195" t="str">
        <f>'ESPN Data'!$L$17</f>
        <v>Team 14</v>
      </c>
      <c r="C16" s="58" t="str">
        <f t="array" ref="C16">IFERROR(INDEX('Point Data'!$U$2:$U$225,MATCH(1,(C$2='Point Data'!$E$2:$E$225)*($B16='Point Data'!$B$2:$B$225),0)),"DNP")</f>
        <v>DNP</v>
      </c>
      <c r="D16" s="58">
        <f t="array" aca="1" ref="D16" ca="1">IFERROR(INDEX('Point Data'!$U$2:$U$225,MATCH(1,(D$2='Point Data'!$E$2:$E$225)*($B16='Point Data'!$B$2:$B$225),0)),"DNP")</f>
        <v>1</v>
      </c>
      <c r="E16" s="58" t="str">
        <f t="array" ref="E16">IFERROR(INDEX('Point Data'!$U$2:$U$225,MATCH(1,(E$2='Point Data'!$E$2:$E$225)*($B16='Point Data'!$B$2:$B$225),0)),"DNP")</f>
        <v>DNP</v>
      </c>
      <c r="F16" s="58">
        <f t="array" aca="1" ref="F16" ca="1">IFERROR(INDEX('Point Data'!$U$2:$U$225,MATCH(1,(F$2='Point Data'!$E$2:$E$225)*($B16='Point Data'!$B$2:$B$225),0)),"DNP")</f>
        <v>0</v>
      </c>
      <c r="G16" s="58">
        <f t="array" aca="1" ref="G16" ca="1">IFERROR(INDEX('Point Data'!$U$2:$U$225,MATCH(1,(G$2='Point Data'!$E$2:$E$225)*($B16='Point Data'!$B$2:$B$225),0)),"DNP")</f>
        <v>0</v>
      </c>
      <c r="H16" s="58">
        <f t="array" aca="1" ref="H16" ca="1">IFERROR(INDEX('Point Data'!$U$2:$U$225,MATCH(1,(H$2='Point Data'!$E$2:$E$225)*($B16='Point Data'!$B$2:$B$225),0)),"DNP")</f>
        <v>1</v>
      </c>
      <c r="I16" s="58">
        <f t="array" aca="1" ref="I16" ca="1">IFERROR(INDEX('Point Data'!$U$2:$U$225,MATCH(1,(I$2='Point Data'!$E$2:$E$225)*($B16='Point Data'!$B$2:$B$225),0)),"DNP")</f>
        <v>0</v>
      </c>
      <c r="J16" s="58">
        <f t="array" aca="1" ref="J16" ca="1">IFERROR(INDEX('Point Data'!$U$2:$U$225,MATCH(1,(J$2='Point Data'!$E$2:$E$225)*($B16='Point Data'!$B$2:$B$225),0)),"DNP")</f>
        <v>1</v>
      </c>
      <c r="K16" s="58">
        <f t="array" aca="1" ref="K16" ca="1">IFERROR(INDEX('Point Data'!$U$2:$U$225,MATCH(1,(K$2='Point Data'!$E$2:$E$225)*($B16='Point Data'!$B$2:$B$225),0)),"DNP")</f>
        <v>0</v>
      </c>
      <c r="L16" s="58">
        <f t="array" aca="1" ref="L16" ca="1">IFERROR(INDEX('Point Data'!$U$2:$U$225,MATCH(1,(L$2='Point Data'!$E$2:$E$225)*($B16='Point Data'!$B$2:$B$225),0)),"DNP")</f>
        <v>1</v>
      </c>
      <c r="M16" s="58">
        <f t="array" aca="1" ref="M16" ca="1">IFERROR(INDEX('Point Data'!$U$2:$U$225,MATCH(1,(M$2='Point Data'!$E$2:$E$225)*($B16='Point Data'!$B$2:$B$225),0)),"DNP")</f>
        <v>0</v>
      </c>
      <c r="N16" s="58">
        <f t="array" aca="1" ref="N16" ca="1">IFERROR(INDEX('Point Data'!$U$2:$U$225,MATCH(1,(N$2='Point Data'!$E$2:$E$225)*($B16='Point Data'!$B$2:$B$225),0)),"DNP")</f>
        <v>0</v>
      </c>
      <c r="O16" s="58">
        <f t="array" aca="1" ref="O16" ca="1">IFERROR(INDEX('Point Data'!$U$2:$U$225,MATCH(1,(O$2='Point Data'!$E$2:$E$225)*($B16='Point Data'!$B$2:$B$225),0)),"DNP")</f>
        <v>1</v>
      </c>
      <c r="P16" s="58" t="str">
        <f t="array" ref="P16">IFERROR(INDEX('Point Data'!$U$2:$U$225,MATCH(1,(P$2='Point Data'!$E$2:$E$225)*($B16='Point Data'!$B$2:$B$225),0)),"DNP")</f>
        <v>DNP</v>
      </c>
      <c r="Q16" s="58">
        <f t="array" aca="1" ref="Q16" ca="1">IFERROR(INDEX('Point Data'!$U$2:$U$225,MATCH(1,(Q$2='Point Data'!$E$2:$E$225)*($B16='Point Data'!$B$2:$B$225),0)),"DNP")</f>
        <v>1</v>
      </c>
      <c r="R16" s="58">
        <f t="array" aca="1" ref="R16" ca="1">IFERROR(INDEX('Point Data'!$U$2:$U$225,MATCH(1,(R$2='Point Data'!$E$2:$E$225)*($B16='Point Data'!$B$2:$B$225),0)),"DNP")</f>
        <v>1</v>
      </c>
    </row>
    <row r="17" spans="1:25">
      <c r="B17" s="195" t="str">
        <f>'ESPN Data'!$L$18</f>
        <v>Team 15</v>
      </c>
      <c r="C17" s="58">
        <f t="array" aca="1" ref="C17" ca="1">IFERROR(INDEX('Point Data'!$U$2:$U$225,MATCH(1,(C$2='Point Data'!$E$2:$E$225)*($B17='Point Data'!$B$2:$B$225),0)),"DNP")</f>
        <v>0</v>
      </c>
      <c r="D17" s="58">
        <f t="array" aca="1" ref="D17" ca="1">IFERROR(INDEX('Point Data'!$U$2:$U$225,MATCH(1,(D$2='Point Data'!$E$2:$E$225)*($B17='Point Data'!$B$2:$B$225),0)),"DNP")</f>
        <v>0</v>
      </c>
      <c r="E17" s="58">
        <f t="array" aca="1" ref="E17" ca="1">IFERROR(INDEX('Point Data'!$U$2:$U$225,MATCH(1,(E$2='Point Data'!$E$2:$E$225)*($B17='Point Data'!$B$2:$B$225),0)),"DNP")</f>
        <v>1</v>
      </c>
      <c r="F17" s="58">
        <f t="array" aca="1" ref="F17" ca="1">IFERROR(INDEX('Point Data'!$U$2:$U$225,MATCH(1,(F$2='Point Data'!$E$2:$E$225)*($B17='Point Data'!$B$2:$B$225),0)),"DNP")</f>
        <v>0</v>
      </c>
      <c r="G17" s="58" t="str">
        <f t="array" ref="G17">IFERROR(INDEX('Point Data'!$U$2:$U$225,MATCH(1,(G$2='Point Data'!$E$2:$E$225)*($B17='Point Data'!$B$2:$B$225),0)),"DNP")</f>
        <v>DNP</v>
      </c>
      <c r="H17" s="58">
        <f t="array" aca="1" ref="H17" ca="1">IFERROR(INDEX('Point Data'!$U$2:$U$225,MATCH(1,(H$2='Point Data'!$E$2:$E$225)*($B17='Point Data'!$B$2:$B$225),0)),"DNP")</f>
        <v>0</v>
      </c>
      <c r="I17" s="58">
        <f t="array" aca="1" ref="I17" ca="1">IFERROR(INDEX('Point Data'!$U$2:$U$225,MATCH(1,(I$2='Point Data'!$E$2:$E$225)*($B17='Point Data'!$B$2:$B$225),0)),"DNP")</f>
        <v>1</v>
      </c>
      <c r="J17" s="58">
        <f t="array" aca="1" ref="J17" ca="1">IFERROR(INDEX('Point Data'!$U$2:$U$225,MATCH(1,(J$2='Point Data'!$E$2:$E$225)*($B17='Point Data'!$B$2:$B$225),0)),"DNP")</f>
        <v>1</v>
      </c>
      <c r="K17" s="58">
        <f t="array" aca="1" ref="K17" ca="1">IFERROR(INDEX('Point Data'!$U$2:$U$225,MATCH(1,(K$2='Point Data'!$E$2:$E$225)*($B17='Point Data'!$B$2:$B$225),0)),"DNP")</f>
        <v>0</v>
      </c>
      <c r="L17" s="58">
        <f t="array" aca="1" ref="L17" ca="1">IFERROR(INDEX('Point Data'!$U$2:$U$225,MATCH(1,(L$2='Point Data'!$E$2:$E$225)*($B17='Point Data'!$B$2:$B$225),0)),"DNP")</f>
        <v>1</v>
      </c>
      <c r="M17" s="58">
        <f t="array" aca="1" ref="M17" ca="1">IFERROR(INDEX('Point Data'!$U$2:$U$225,MATCH(1,(M$2='Point Data'!$E$2:$E$225)*($B17='Point Data'!$B$2:$B$225),0)),"DNP")</f>
        <v>0</v>
      </c>
      <c r="N17" s="58" t="str">
        <f t="array" ref="N17">IFERROR(INDEX('Point Data'!$U$2:$U$225,MATCH(1,(N$2='Point Data'!$E$2:$E$225)*($B17='Point Data'!$B$2:$B$225),0)),"DNP")</f>
        <v>DNP</v>
      </c>
      <c r="O17" s="58">
        <f t="array" aca="1" ref="O17" ca="1">IFERROR(INDEX('Point Data'!$U$2:$U$225,MATCH(1,(O$2='Point Data'!$E$2:$E$225)*($B17='Point Data'!$B$2:$B$225),0)),"DNP")</f>
        <v>1</v>
      </c>
      <c r="P17" s="58">
        <f t="array" aca="1" ref="P17" ca="1">IFERROR(INDEX('Point Data'!$U$2:$U$225,MATCH(1,(P$2='Point Data'!$E$2:$E$225)*($B17='Point Data'!$B$2:$B$225),0)),"DNP")</f>
        <v>0</v>
      </c>
      <c r="Q17" s="58" t="str">
        <f t="array" ref="Q17">IFERROR(INDEX('Point Data'!$U$2:$U$225,MATCH(1,(Q$2='Point Data'!$E$2:$E$225)*($B17='Point Data'!$B$2:$B$225),0)),"DNP")</f>
        <v>DNP</v>
      </c>
      <c r="R17" s="58">
        <f t="array" aca="1" ref="R17" ca="1">IFERROR(INDEX('Point Data'!$U$2:$U$225,MATCH(1,(R$2='Point Data'!$E$2:$E$225)*($B17='Point Data'!$B$2:$B$225),0)),"DNP")</f>
        <v>0</v>
      </c>
    </row>
    <row r="18" spans="1:25" ht="16" hidden="1" thickBot="1">
      <c r="B18" s="196" t="str">
        <f>'ESPN Data'!$L$19</f>
        <v>Team 16</v>
      </c>
      <c r="C18" s="58">
        <f t="array" aca="1" ref="C18" ca="1">IFERROR(INDEX('Point Data'!$U$2:$U$225,MATCH(1,(C$2='Point Data'!$E$2:$E$225)*($B18='Point Data'!$B$2:$B$225),0)),"DNP")</f>
        <v>0</v>
      </c>
      <c r="D18" s="58">
        <f t="array" aca="1" ref="D18" ca="1">IFERROR(INDEX('Point Data'!$U$2:$U$225,MATCH(1,(D$2='Point Data'!$E$2:$E$225)*($B18='Point Data'!$B$2:$B$225),0)),"DNP")</f>
        <v>1</v>
      </c>
      <c r="E18" s="58">
        <f t="array" aca="1" ref="E18" ca="1">IFERROR(INDEX('Point Data'!$U$2:$U$225,MATCH(1,(E$2='Point Data'!$E$2:$E$225)*($B18='Point Data'!$B$2:$B$225),0)),"DNP")</f>
        <v>0</v>
      </c>
      <c r="F18" s="58">
        <f t="array" aca="1" ref="F18" ca="1">IFERROR(INDEX('Point Data'!$U$2:$U$225,MATCH(1,(F$2='Point Data'!$E$2:$E$225)*($B18='Point Data'!$B$2:$B$225),0)),"DNP")</f>
        <v>0</v>
      </c>
      <c r="G18" s="58">
        <f t="array" aca="1" ref="G18" ca="1">IFERROR(INDEX('Point Data'!$U$2:$U$225,MATCH(1,(G$2='Point Data'!$E$2:$E$225)*($B18='Point Data'!$B$2:$B$225),0)),"DNP")</f>
        <v>0</v>
      </c>
      <c r="H18" s="58" t="str">
        <f t="array" ref="H18">IFERROR(INDEX('Point Data'!$U$2:$U$225,MATCH(1,(H$2='Point Data'!$E$2:$E$225)*($B18='Point Data'!$B$2:$B$225),0)),"DNP")</f>
        <v>DNP</v>
      </c>
      <c r="I18" s="58">
        <f t="array" aca="1" ref="I18" ca="1">IFERROR(INDEX('Point Data'!$U$2:$U$225,MATCH(1,(I$2='Point Data'!$E$2:$E$225)*($B18='Point Data'!$B$2:$B$225),0)),"DNP")</f>
        <v>0</v>
      </c>
      <c r="J18" s="58" t="str">
        <f t="array" ref="J18">IFERROR(INDEX('Point Data'!$U$2:$U$225,MATCH(1,(J$2='Point Data'!$E$2:$E$225)*($B18='Point Data'!$B$2:$B$225),0)),"DNP")</f>
        <v>DNP</v>
      </c>
      <c r="K18" s="58">
        <f t="array" aca="1" ref="K18" ca="1">IFERROR(INDEX('Point Data'!$U$2:$U$225,MATCH(1,(K$2='Point Data'!$E$2:$E$225)*($B18='Point Data'!$B$2:$B$225),0)),"DNP")</f>
        <v>0</v>
      </c>
      <c r="L18" s="58">
        <f t="array" aca="1" ref="L18" ca="1">IFERROR(INDEX('Point Data'!$U$2:$U$225,MATCH(1,(L$2='Point Data'!$E$2:$E$225)*($B18='Point Data'!$B$2:$B$225),0)),"DNP")</f>
        <v>0</v>
      </c>
      <c r="M18" s="58">
        <f t="array" aca="1" ref="M18" ca="1">IFERROR(INDEX('Point Data'!$U$2:$U$225,MATCH(1,(M$2='Point Data'!$E$2:$E$225)*($B18='Point Data'!$B$2:$B$225),0)),"DNP")</f>
        <v>1</v>
      </c>
      <c r="N18" s="58">
        <f t="array" aca="1" ref="N18" ca="1">IFERROR(INDEX('Point Data'!$U$2:$U$225,MATCH(1,(N$2='Point Data'!$E$2:$E$225)*($B18='Point Data'!$B$2:$B$225),0)),"DNP")</f>
        <v>1</v>
      </c>
      <c r="O18" s="58">
        <f t="array" aca="1" ref="O18" ca="1">IFERROR(INDEX('Point Data'!$U$2:$U$225,MATCH(1,(O$2='Point Data'!$E$2:$E$225)*($B18='Point Data'!$B$2:$B$225),0)),"DNP")</f>
        <v>0</v>
      </c>
      <c r="P18" s="58">
        <f t="array" aca="1" ref="P18" ca="1">IFERROR(INDEX('Point Data'!$U$2:$U$225,MATCH(1,(P$2='Point Data'!$E$2:$E$225)*($B18='Point Data'!$B$2:$B$225),0)),"DNP")</f>
        <v>0</v>
      </c>
      <c r="Q18" s="58">
        <f t="array" aca="1" ref="Q18" ca="1">IFERROR(INDEX('Point Data'!$U$2:$U$225,MATCH(1,(Q$2='Point Data'!$E$2:$E$225)*($B18='Point Data'!$B$2:$B$225),0)),"DNP")</f>
        <v>1</v>
      </c>
      <c r="R18" s="58" t="str">
        <f t="array" ref="R18">IFERROR(INDEX('Point Data'!$U$2:$U$225,MATCH(1,(R$2='Point Data'!$E$2:$E$225)*($B18='Point Data'!$B$2:$B$225),0)),"DNP")</f>
        <v>DNP</v>
      </c>
    </row>
    <row r="19" spans="1:25" ht="16" thickBot="1"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25" ht="16" thickBot="1">
      <c r="A20" s="520" t="s">
        <v>151</v>
      </c>
      <c r="B20" s="159" t="s">
        <v>23</v>
      </c>
      <c r="C20" s="522" t="s">
        <v>24</v>
      </c>
      <c r="D20" s="523" t="s">
        <v>25</v>
      </c>
      <c r="E20" s="518"/>
    </row>
    <row r="21" spans="1:25">
      <c r="A21" s="651">
        <v>1</v>
      </c>
      <c r="B21" s="237" t="s">
        <v>90</v>
      </c>
      <c r="C21" s="242" t="s">
        <v>92</v>
      </c>
      <c r="D21" s="79" t="e">
        <f>IF(INDEX($C$3:$R$18,MATCH(B21,$B$3:$B$18,0),MATCH(C21,$C$2:$R$2,0))="","",INDEX($C$3:$R$18,MATCH(B21,$B$3:$B$18,0),MATCH(C21,$C$2:$R$2,0)))</f>
        <v>#N/A</v>
      </c>
      <c r="E21" s="524"/>
      <c r="F21" s="654"/>
      <c r="G21" s="654"/>
    </row>
    <row r="22" spans="1:25">
      <c r="A22" s="652"/>
      <c r="B22" s="246" t="s">
        <v>90</v>
      </c>
      <c r="C22" s="250" t="s">
        <v>99</v>
      </c>
      <c r="D22" s="55" t="e">
        <f t="shared" ref="D22:D26" si="0">IF(INDEX($C$3:$R$18,MATCH(B22,$B$3:$B$18,0),MATCH(C22,$C$2:$R$2,0))="","",INDEX($C$3:$R$18,MATCH(B22,$B$3:$B$18,0),MATCH(C22,$C$2:$R$2,0)))</f>
        <v>#N/A</v>
      </c>
      <c r="E22" s="524"/>
    </row>
    <row r="23" spans="1:25">
      <c r="A23" s="652"/>
      <c r="B23" s="246" t="s">
        <v>90</v>
      </c>
      <c r="C23" s="250" t="s">
        <v>100</v>
      </c>
      <c r="D23" s="55" t="e">
        <f t="shared" si="0"/>
        <v>#N/A</v>
      </c>
      <c r="E23" s="524"/>
      <c r="F23" s="517"/>
      <c r="G23" s="19"/>
      <c r="H23" s="16"/>
    </row>
    <row r="24" spans="1:25">
      <c r="A24" s="652"/>
      <c r="B24" s="246" t="s">
        <v>92</v>
      </c>
      <c r="C24" s="250" t="s">
        <v>99</v>
      </c>
      <c r="D24" s="55" t="e">
        <f t="shared" si="0"/>
        <v>#N/A</v>
      </c>
      <c r="E24" s="524"/>
      <c r="F24" s="517"/>
      <c r="G24" s="19"/>
      <c r="H24" s="16"/>
    </row>
    <row r="25" spans="1:25">
      <c r="A25" s="652"/>
      <c r="B25" s="246" t="s">
        <v>92</v>
      </c>
      <c r="C25" s="250" t="s">
        <v>100</v>
      </c>
      <c r="D25" s="55" t="e">
        <f t="shared" si="0"/>
        <v>#N/A</v>
      </c>
      <c r="E25" s="524"/>
      <c r="F25" s="517"/>
      <c r="G25" s="19"/>
      <c r="H25" s="16"/>
    </row>
    <row r="26" spans="1:25" ht="16" thickBot="1">
      <c r="A26" s="653"/>
      <c r="B26" s="262" t="s">
        <v>99</v>
      </c>
      <c r="C26" s="258" t="s">
        <v>100</v>
      </c>
      <c r="D26" s="158" t="e">
        <f t="shared" si="0"/>
        <v>#N/A</v>
      </c>
      <c r="E26" s="524"/>
      <c r="F26" s="517"/>
      <c r="G26" s="19"/>
      <c r="H26" s="1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</row>
    <row r="27" spans="1:25">
      <c r="A27" s="651">
        <v>2</v>
      </c>
      <c r="B27" s="237" t="s">
        <v>90</v>
      </c>
      <c r="C27" s="266" t="s">
        <v>94</v>
      </c>
      <c r="D27" s="79" t="e">
        <f>IF(INDEX($C$3:$R$18,MATCH(B27,$B$3:$B$18,0),MATCH(C27,$C$2:$R$2,0))="","",INDEX($C$3:$R$18,MATCH(B27,$B$3:$B$18,0),MATCH(C27,$C$2:$R$2,0)))</f>
        <v>#N/A</v>
      </c>
      <c r="E27" s="524"/>
      <c r="F27" s="517"/>
      <c r="G27" s="19"/>
      <c r="H27" s="16"/>
      <c r="I27" s="87"/>
      <c r="J27" s="88"/>
      <c r="K27" s="88"/>
      <c r="L27" s="88"/>
      <c r="M27" s="88"/>
      <c r="N27" s="89"/>
      <c r="O27" s="89"/>
      <c r="P27" s="89"/>
      <c r="Q27" s="89"/>
      <c r="R27" s="90"/>
      <c r="S27" s="90"/>
      <c r="T27" s="90"/>
      <c r="U27" s="90"/>
      <c r="V27" s="91"/>
      <c r="W27" s="91"/>
      <c r="X27" s="91"/>
      <c r="Y27" s="91"/>
    </row>
    <row r="28" spans="1:25">
      <c r="A28" s="652"/>
      <c r="B28" s="246" t="s">
        <v>92</v>
      </c>
      <c r="C28" s="267" t="s">
        <v>99</v>
      </c>
      <c r="D28" s="55" t="e">
        <f>IF(INDEX($C$3:$R$18,MATCH(B28,$B$3:$B$18,0),MATCH(C28,$C$2:$R$2,0))="","",INDEX($C$3:$R$18,MATCH(B28,$B$3:$B$18,0),MATCH(C28,$C$2:$R$2,0)))</f>
        <v>#N/A</v>
      </c>
      <c r="E28" s="524"/>
      <c r="F28" s="517"/>
      <c r="G28" s="19"/>
      <c r="H28" s="16"/>
      <c r="I28" s="87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</row>
    <row r="29" spans="1:25">
      <c r="A29" s="652"/>
      <c r="B29" s="246" t="s">
        <v>92</v>
      </c>
      <c r="C29" s="267" t="s">
        <v>100</v>
      </c>
      <c r="D29" s="55" t="e">
        <f>IF(INDEX($C$3:$R$18,MATCH(B29,$B$3:$B$18,0),MATCH(C29,$C$2:$R$2,0))="","",INDEX($C$3:$R$18,MATCH(B29,$B$3:$B$18,0),MATCH(C29,$C$2:$R$2,0)))</f>
        <v>#N/A</v>
      </c>
      <c r="E29" s="524"/>
      <c r="F29" s="517"/>
      <c r="G29" s="19"/>
      <c r="H29" s="16"/>
      <c r="I29" s="87"/>
      <c r="J29" s="89"/>
      <c r="K29" s="89"/>
      <c r="L29" s="89"/>
      <c r="M29" s="89"/>
      <c r="N29" s="88"/>
      <c r="O29" s="88"/>
      <c r="P29" s="88"/>
      <c r="Q29" s="88"/>
      <c r="R29" s="91"/>
      <c r="S29" s="91"/>
      <c r="T29" s="91"/>
      <c r="U29" s="91"/>
      <c r="V29" s="90"/>
      <c r="W29" s="90"/>
      <c r="X29" s="90"/>
      <c r="Y29" s="90"/>
    </row>
    <row r="30" spans="1:25" ht="16" thickBot="1">
      <c r="A30" s="653"/>
      <c r="B30" s="271" t="s">
        <v>99</v>
      </c>
      <c r="C30" s="275" t="s">
        <v>100</v>
      </c>
      <c r="D30" s="236" t="e">
        <f>IF(INDEX($C$3:$R$18,MATCH(B30,$B$3:$B$18,0),MATCH(C30,$C$2:$R$2,0))="","",INDEX($C$3:$R$18,MATCH(B30,$B$3:$B$18,0),MATCH(C30,$C$2:$R$2,0)))</f>
        <v>#N/A</v>
      </c>
      <c r="E30" s="524"/>
      <c r="F30" s="517"/>
      <c r="G30" s="19"/>
      <c r="H30" s="16"/>
      <c r="I30" s="87"/>
      <c r="J30" s="89"/>
      <c r="K30" s="89"/>
      <c r="L30" s="89"/>
      <c r="M30" s="89"/>
      <c r="N30" s="88"/>
      <c r="O30" s="88"/>
      <c r="P30" s="88"/>
      <c r="Q30" s="88"/>
      <c r="R30" s="91"/>
      <c r="S30" s="91"/>
      <c r="T30" s="91"/>
      <c r="U30" s="91"/>
      <c r="V30" s="90"/>
      <c r="W30" s="90"/>
      <c r="X30" s="90"/>
      <c r="Y30" s="90"/>
    </row>
    <row r="31" spans="1:25">
      <c r="A31" s="655">
        <v>5</v>
      </c>
      <c r="B31" s="237" t="s">
        <v>90</v>
      </c>
      <c r="C31" s="242" t="s">
        <v>92</v>
      </c>
      <c r="D31" s="231" t="e">
        <f t="shared" ref="D31:D94" si="1">IF(INDEX($C$3:$R$18,MATCH(B31,$B$3:$B$18,0),MATCH(C31,$C$2:$R$2,0))="","",INDEX($C$3:$R$18,MATCH(B31,$B$3:$B$18,0),MATCH(C31,$C$2:$R$2,0)))</f>
        <v>#N/A</v>
      </c>
      <c r="E31" s="524"/>
      <c r="F31" s="517"/>
      <c r="G31" s="19"/>
      <c r="H31" s="16"/>
      <c r="I31" s="87"/>
      <c r="J31" s="90"/>
      <c r="K31" s="90"/>
      <c r="L31" s="90"/>
      <c r="M31" s="90"/>
      <c r="N31" s="91"/>
      <c r="O31" s="91"/>
      <c r="P31" s="91"/>
      <c r="Q31" s="91"/>
      <c r="R31" s="88"/>
      <c r="S31" s="88"/>
      <c r="T31" s="88"/>
      <c r="U31" s="88"/>
      <c r="V31" s="89"/>
      <c r="W31" s="89"/>
      <c r="X31" s="89"/>
      <c r="Y31" s="89"/>
    </row>
    <row r="32" spans="1:25">
      <c r="A32" s="656"/>
      <c r="B32" s="246" t="s">
        <v>90</v>
      </c>
      <c r="C32" s="250" t="s">
        <v>102</v>
      </c>
      <c r="D32" s="232" t="e">
        <f t="shared" si="1"/>
        <v>#N/A</v>
      </c>
      <c r="E32" s="524"/>
      <c r="F32" s="517"/>
      <c r="G32" s="19"/>
      <c r="H32" s="16"/>
      <c r="I32" s="87"/>
      <c r="J32" s="90"/>
      <c r="K32" s="90"/>
      <c r="L32" s="90"/>
      <c r="M32" s="90"/>
      <c r="N32" s="91"/>
      <c r="O32" s="91"/>
      <c r="P32" s="91"/>
      <c r="Q32" s="91"/>
      <c r="R32" s="88"/>
      <c r="S32" s="88"/>
      <c r="T32" s="88"/>
      <c r="U32" s="88"/>
      <c r="V32" s="89"/>
      <c r="W32" s="89"/>
      <c r="X32" s="89"/>
      <c r="Y32" s="89"/>
    </row>
    <row r="33" spans="1:25" ht="16" thickBot="1">
      <c r="A33" s="656"/>
      <c r="B33" s="271" t="s">
        <v>90</v>
      </c>
      <c r="C33" s="274" t="s">
        <v>100</v>
      </c>
      <c r="D33" s="232" t="e">
        <f t="shared" si="1"/>
        <v>#N/A</v>
      </c>
      <c r="E33" s="524"/>
      <c r="F33" s="517"/>
      <c r="G33" s="19"/>
      <c r="H33" s="16"/>
      <c r="I33" s="87"/>
      <c r="J33" s="90"/>
      <c r="K33" s="90"/>
      <c r="L33" s="90"/>
      <c r="M33" s="90"/>
      <c r="N33" s="91"/>
      <c r="O33" s="91"/>
      <c r="P33" s="91"/>
      <c r="Q33" s="91"/>
      <c r="R33" s="88"/>
      <c r="S33" s="88"/>
      <c r="T33" s="88"/>
      <c r="U33" s="88"/>
      <c r="V33" s="89"/>
      <c r="W33" s="89"/>
      <c r="X33" s="89"/>
      <c r="Y33" s="89"/>
    </row>
    <row r="34" spans="1:25">
      <c r="A34" s="656"/>
      <c r="B34" s="237" t="s">
        <v>92</v>
      </c>
      <c r="C34" s="242" t="s">
        <v>102</v>
      </c>
      <c r="D34" s="232" t="e">
        <f t="shared" si="1"/>
        <v>#N/A</v>
      </c>
      <c r="E34" s="524"/>
      <c r="F34" s="517" t="s">
        <v>29</v>
      </c>
      <c r="G34" s="16"/>
      <c r="H34" s="16"/>
      <c r="I34" s="87"/>
      <c r="J34" s="90"/>
      <c r="K34" s="90"/>
      <c r="L34" s="90"/>
      <c r="M34" s="90"/>
      <c r="N34" s="91"/>
      <c r="O34" s="91"/>
      <c r="P34" s="91"/>
      <c r="Q34" s="91"/>
      <c r="R34" s="88"/>
      <c r="S34" s="88"/>
      <c r="T34" s="88"/>
      <c r="U34" s="88"/>
      <c r="V34" s="89"/>
      <c r="W34" s="89"/>
      <c r="X34" s="89"/>
      <c r="Y34" s="89"/>
    </row>
    <row r="35" spans="1:25" ht="16" thickBot="1">
      <c r="A35" s="656"/>
      <c r="B35" s="262" t="s">
        <v>92</v>
      </c>
      <c r="C35" s="258" t="s">
        <v>100</v>
      </c>
      <c r="D35" s="232" t="e">
        <f t="shared" si="1"/>
        <v>#N/A</v>
      </c>
      <c r="E35" s="524"/>
      <c r="F35" s="16"/>
      <c r="G35" s="16"/>
      <c r="H35" s="16"/>
      <c r="I35" s="87"/>
      <c r="J35" s="91"/>
      <c r="K35" s="91"/>
      <c r="L35" s="91"/>
      <c r="M35" s="91"/>
      <c r="N35" s="90"/>
      <c r="O35" s="90"/>
      <c r="P35" s="90"/>
      <c r="Q35" s="90"/>
      <c r="R35" s="89"/>
      <c r="S35" s="89"/>
      <c r="T35" s="89"/>
      <c r="U35" s="89"/>
      <c r="V35" s="88"/>
      <c r="W35" s="88"/>
      <c r="X35" s="88"/>
      <c r="Y35" s="88"/>
    </row>
    <row r="36" spans="1:25">
      <c r="A36" s="656"/>
      <c r="B36" s="237" t="s">
        <v>100</v>
      </c>
      <c r="C36" s="242" t="s">
        <v>102</v>
      </c>
      <c r="D36" s="232" t="e">
        <f t="shared" si="1"/>
        <v>#N/A</v>
      </c>
      <c r="E36" s="524"/>
      <c r="I36" s="87"/>
      <c r="J36" s="91"/>
      <c r="K36" s="91"/>
      <c r="L36" s="91"/>
      <c r="M36" s="91"/>
      <c r="N36" s="90"/>
      <c r="O36" s="90"/>
      <c r="P36" s="90"/>
      <c r="Q36" s="90"/>
      <c r="R36" s="89"/>
      <c r="S36" s="89"/>
      <c r="T36" s="89"/>
      <c r="U36" s="89"/>
      <c r="V36" s="88"/>
      <c r="W36" s="88"/>
      <c r="X36" s="88"/>
      <c r="Y36" s="88"/>
    </row>
    <row r="37" spans="1:25" ht="16" thickBot="1">
      <c r="A37" s="656"/>
      <c r="B37" s="262" t="s">
        <v>100</v>
      </c>
      <c r="C37" s="258" t="s">
        <v>92</v>
      </c>
      <c r="D37" s="232" t="e">
        <f t="shared" si="1"/>
        <v>#N/A</v>
      </c>
      <c r="E37" s="524"/>
      <c r="I37" s="87"/>
      <c r="J37" s="91"/>
      <c r="K37" s="91"/>
      <c r="L37" s="91"/>
      <c r="M37" s="91"/>
      <c r="N37" s="90"/>
      <c r="O37" s="90"/>
      <c r="P37" s="90"/>
      <c r="Q37" s="90"/>
      <c r="R37" s="89"/>
      <c r="S37" s="89"/>
      <c r="T37" s="89"/>
      <c r="U37" s="89"/>
      <c r="V37" s="88"/>
      <c r="W37" s="88"/>
      <c r="X37" s="88"/>
      <c r="Y37" s="88"/>
    </row>
    <row r="38" spans="1:25">
      <c r="A38" s="656"/>
      <c r="B38" s="237" t="s">
        <v>102</v>
      </c>
      <c r="C38" s="242" t="s">
        <v>92</v>
      </c>
      <c r="D38" s="232" t="e">
        <f t="shared" si="1"/>
        <v>#N/A</v>
      </c>
      <c r="E38" s="524"/>
      <c r="I38" s="87"/>
      <c r="J38" s="91"/>
      <c r="K38" s="91"/>
      <c r="L38" s="91"/>
      <c r="M38" s="91"/>
      <c r="N38" s="90"/>
      <c r="O38" s="90"/>
      <c r="P38" s="90"/>
      <c r="Q38" s="90"/>
      <c r="R38" s="89"/>
      <c r="S38" s="89"/>
      <c r="T38" s="89"/>
      <c r="U38" s="89"/>
      <c r="V38" s="88"/>
      <c r="W38" s="88"/>
      <c r="X38" s="88"/>
      <c r="Y38" s="88"/>
    </row>
    <row r="39" spans="1:25" ht="16" thickBot="1">
      <c r="A39" s="656"/>
      <c r="B39" s="262" t="s">
        <v>102</v>
      </c>
      <c r="C39" s="258" t="s">
        <v>100</v>
      </c>
      <c r="D39" s="527" t="e">
        <f>IF(INDEX($C$3:$R$18,MATCH(B39,$B$3:$B$18,0),MATCH(C39,$C$2:$R$2,0))="","",INDEX($C$3:$R$18,MATCH(B39,$B$3:$B$18,0),MATCH(C39,$C$2:$R$2,0)))</f>
        <v>#N/A</v>
      </c>
      <c r="E39" s="524"/>
      <c r="I39" s="87"/>
      <c r="J39" s="88"/>
      <c r="K39" s="88"/>
      <c r="L39" s="88"/>
      <c r="M39" s="88"/>
      <c r="N39" s="89"/>
      <c r="O39" s="89"/>
      <c r="P39" s="89"/>
      <c r="Q39" s="89"/>
      <c r="R39" s="90"/>
      <c r="S39" s="90"/>
      <c r="T39" s="90"/>
      <c r="U39" s="90"/>
      <c r="V39" s="91"/>
      <c r="W39" s="91"/>
      <c r="X39" s="91"/>
      <c r="Y39" s="91"/>
    </row>
    <row r="40" spans="1:25">
      <c r="A40" s="656"/>
      <c r="B40" s="525" t="s">
        <v>102</v>
      </c>
      <c r="C40" s="526"/>
      <c r="D40" s="79" t="e">
        <f t="shared" si="1"/>
        <v>#N/A</v>
      </c>
      <c r="E40" s="651">
        <f>SUMIF(D40:D55,"&gt;0")</f>
        <v>0</v>
      </c>
      <c r="F40" s="658" t="s">
        <v>152</v>
      </c>
      <c r="I40" s="87"/>
      <c r="J40" s="88"/>
      <c r="K40" s="88"/>
      <c r="L40" s="88"/>
      <c r="M40" s="88"/>
      <c r="N40" s="89"/>
      <c r="O40" s="89"/>
      <c r="P40" s="89"/>
      <c r="Q40" s="89"/>
      <c r="R40" s="90"/>
      <c r="S40" s="90"/>
      <c r="T40" s="90"/>
      <c r="U40" s="90"/>
      <c r="V40" s="91"/>
      <c r="W40" s="91"/>
      <c r="X40" s="91"/>
      <c r="Y40" s="91"/>
    </row>
    <row r="41" spans="1:25">
      <c r="A41" s="656"/>
      <c r="B41" s="246" t="s">
        <v>102</v>
      </c>
      <c r="C41" s="250"/>
      <c r="D41" s="55" t="e">
        <f t="shared" si="1"/>
        <v>#N/A</v>
      </c>
      <c r="E41" s="652"/>
      <c r="F41" s="659"/>
      <c r="I41" s="87"/>
      <c r="J41" s="88"/>
      <c r="K41" s="88"/>
      <c r="L41" s="88"/>
      <c r="M41" s="88"/>
      <c r="N41" s="89"/>
      <c r="O41" s="89"/>
      <c r="P41" s="89"/>
      <c r="Q41" s="89"/>
      <c r="R41" s="90"/>
      <c r="S41" s="90"/>
      <c r="T41" s="90"/>
      <c r="U41" s="90"/>
      <c r="V41" s="91"/>
      <c r="W41" s="91"/>
      <c r="X41" s="91"/>
      <c r="Y41" s="91"/>
    </row>
    <row r="42" spans="1:25">
      <c r="A42" s="656"/>
      <c r="B42" s="246" t="s">
        <v>102</v>
      </c>
      <c r="C42" s="250" t="s">
        <v>103</v>
      </c>
      <c r="D42" s="55" t="e">
        <f t="shared" si="1"/>
        <v>#N/A</v>
      </c>
      <c r="E42" s="652"/>
      <c r="F42" s="659"/>
    </row>
    <row r="43" spans="1:25">
      <c r="A43" s="656"/>
      <c r="B43" s="246" t="s">
        <v>102</v>
      </c>
      <c r="C43" s="250" t="s">
        <v>98</v>
      </c>
      <c r="D43" s="55" t="e">
        <f t="shared" si="1"/>
        <v>#N/A</v>
      </c>
      <c r="E43" s="652"/>
      <c r="F43" s="659"/>
    </row>
    <row r="44" spans="1:25">
      <c r="A44" s="656"/>
      <c r="B44" s="246" t="s">
        <v>102</v>
      </c>
      <c r="C44" s="250" t="s">
        <v>96</v>
      </c>
      <c r="D44" s="55" t="e">
        <f t="shared" si="1"/>
        <v>#N/A</v>
      </c>
      <c r="E44" s="652"/>
      <c r="F44" s="659"/>
    </row>
    <row r="45" spans="1:25">
      <c r="A45" s="656"/>
      <c r="B45" s="246" t="s">
        <v>102</v>
      </c>
      <c r="C45" s="250" t="s">
        <v>95</v>
      </c>
      <c r="D45" s="55" t="e">
        <f t="shared" si="1"/>
        <v>#N/A</v>
      </c>
      <c r="E45" s="652"/>
      <c r="F45" s="659"/>
    </row>
    <row r="46" spans="1:25">
      <c r="A46" s="656"/>
      <c r="B46" s="246" t="s">
        <v>102</v>
      </c>
      <c r="C46" s="250"/>
      <c r="D46" s="55" t="e">
        <f t="shared" si="1"/>
        <v>#N/A</v>
      </c>
      <c r="E46" s="652"/>
      <c r="F46" s="659"/>
    </row>
    <row r="47" spans="1:25">
      <c r="A47" s="656"/>
      <c r="B47" s="246" t="s">
        <v>102</v>
      </c>
      <c r="C47" s="250" t="s">
        <v>91</v>
      </c>
      <c r="D47" s="55" t="e">
        <f t="shared" si="1"/>
        <v>#N/A</v>
      </c>
      <c r="E47" s="652"/>
      <c r="F47" s="659"/>
    </row>
    <row r="48" spans="1:25">
      <c r="A48" s="656"/>
      <c r="B48" s="246" t="s">
        <v>102</v>
      </c>
      <c r="C48" s="250" t="s">
        <v>93</v>
      </c>
      <c r="D48" s="55" t="e">
        <f t="shared" si="1"/>
        <v>#N/A</v>
      </c>
      <c r="E48" s="652"/>
      <c r="F48" s="659"/>
    </row>
    <row r="49" spans="1:6">
      <c r="A49" s="656"/>
      <c r="B49" s="246" t="s">
        <v>102</v>
      </c>
      <c r="C49" s="250"/>
      <c r="D49" s="55" t="e">
        <f t="shared" si="1"/>
        <v>#N/A</v>
      </c>
      <c r="E49" s="652"/>
      <c r="F49" s="659"/>
    </row>
    <row r="50" spans="1:6">
      <c r="A50" s="656"/>
      <c r="B50" s="246" t="s">
        <v>102</v>
      </c>
      <c r="C50" s="250" t="s">
        <v>99</v>
      </c>
      <c r="D50" s="55" t="e">
        <f t="shared" si="1"/>
        <v>#N/A</v>
      </c>
      <c r="E50" s="652"/>
      <c r="F50" s="659"/>
    </row>
    <row r="51" spans="1:6">
      <c r="A51" s="656"/>
      <c r="B51" s="246" t="s">
        <v>102</v>
      </c>
      <c r="C51" s="250" t="s">
        <v>104</v>
      </c>
      <c r="D51" s="55" t="e">
        <f t="shared" si="1"/>
        <v>#N/A</v>
      </c>
      <c r="E51" s="652"/>
      <c r="F51" s="659"/>
    </row>
    <row r="52" spans="1:6">
      <c r="A52" s="656"/>
      <c r="B52" s="246" t="s">
        <v>102</v>
      </c>
      <c r="C52" s="250"/>
      <c r="D52" s="55" t="e">
        <f t="shared" si="1"/>
        <v>#N/A</v>
      </c>
      <c r="E52" s="652"/>
      <c r="F52" s="659"/>
    </row>
    <row r="53" spans="1:6">
      <c r="A53" s="656"/>
      <c r="B53" s="246" t="s">
        <v>102</v>
      </c>
      <c r="C53" s="250" t="s">
        <v>90</v>
      </c>
      <c r="D53" s="55" t="e">
        <f t="shared" si="1"/>
        <v>#N/A</v>
      </c>
      <c r="E53" s="652"/>
      <c r="F53" s="659"/>
    </row>
    <row r="54" spans="1:6">
      <c r="A54" s="656"/>
      <c r="B54" s="246" t="s">
        <v>102</v>
      </c>
      <c r="C54" s="250"/>
      <c r="D54" s="55" t="e">
        <f t="shared" si="1"/>
        <v>#N/A</v>
      </c>
      <c r="E54" s="652"/>
      <c r="F54" s="659"/>
    </row>
    <row r="55" spans="1:6" ht="16" thickBot="1">
      <c r="A55" s="656"/>
      <c r="B55" s="271" t="s">
        <v>102</v>
      </c>
      <c r="C55" s="274"/>
      <c r="D55" s="158" t="e">
        <f t="shared" si="1"/>
        <v>#N/A</v>
      </c>
      <c r="E55" s="653"/>
      <c r="F55" s="660"/>
    </row>
    <row r="56" spans="1:6">
      <c r="A56" s="656"/>
      <c r="B56" s="237" t="s">
        <v>100</v>
      </c>
      <c r="C56" s="242"/>
      <c r="D56" s="79" t="e">
        <f t="shared" si="1"/>
        <v>#N/A</v>
      </c>
      <c r="E56" s="651">
        <f t="shared" ref="E56" si="2">SUMIF(D56:D71,"&gt;0")</f>
        <v>0</v>
      </c>
    </row>
    <row r="57" spans="1:6">
      <c r="A57" s="656"/>
      <c r="B57" s="246" t="s">
        <v>100</v>
      </c>
      <c r="C57" s="250" t="s">
        <v>94</v>
      </c>
      <c r="D57" s="55" t="e">
        <f t="shared" si="1"/>
        <v>#N/A</v>
      </c>
      <c r="E57" s="652"/>
    </row>
    <row r="58" spans="1:6">
      <c r="A58" s="656"/>
      <c r="B58" s="246" t="s">
        <v>100</v>
      </c>
      <c r="C58" s="250"/>
      <c r="D58" s="55" t="e">
        <f t="shared" si="1"/>
        <v>#N/A</v>
      </c>
      <c r="E58" s="652"/>
    </row>
    <row r="59" spans="1:6">
      <c r="A59" s="656"/>
      <c r="B59" s="246" t="s">
        <v>100</v>
      </c>
      <c r="C59" s="250" t="s">
        <v>98</v>
      </c>
      <c r="D59" s="55" t="e">
        <f t="shared" si="1"/>
        <v>#N/A</v>
      </c>
      <c r="E59" s="652"/>
    </row>
    <row r="60" spans="1:6">
      <c r="A60" s="656"/>
      <c r="B60" s="246" t="s">
        <v>100</v>
      </c>
      <c r="C60" s="250" t="s">
        <v>96</v>
      </c>
      <c r="D60" s="55" t="e">
        <f t="shared" si="1"/>
        <v>#N/A</v>
      </c>
      <c r="E60" s="652"/>
    </row>
    <row r="61" spans="1:6">
      <c r="A61" s="656"/>
      <c r="B61" s="246" t="s">
        <v>100</v>
      </c>
      <c r="C61" s="250" t="s">
        <v>95</v>
      </c>
      <c r="D61" s="55" t="e">
        <f t="shared" si="1"/>
        <v>#N/A</v>
      </c>
      <c r="E61" s="652"/>
    </row>
    <row r="62" spans="1:6">
      <c r="A62" s="656"/>
      <c r="B62" s="246" t="s">
        <v>100</v>
      </c>
      <c r="C62" s="250" t="s">
        <v>105</v>
      </c>
      <c r="D62" s="55" t="e">
        <f t="shared" si="1"/>
        <v>#N/A</v>
      </c>
      <c r="E62" s="652"/>
    </row>
    <row r="63" spans="1:6">
      <c r="A63" s="656"/>
      <c r="B63" s="246" t="s">
        <v>100</v>
      </c>
      <c r="C63" s="250"/>
      <c r="D63" s="55" t="e">
        <f t="shared" si="1"/>
        <v>#N/A</v>
      </c>
      <c r="E63" s="652"/>
    </row>
    <row r="64" spans="1:6">
      <c r="A64" s="656"/>
      <c r="B64" s="246" t="s">
        <v>100</v>
      </c>
      <c r="C64" s="250" t="s">
        <v>93</v>
      </c>
      <c r="D64" s="55" t="e">
        <f t="shared" si="1"/>
        <v>#N/A</v>
      </c>
      <c r="E64" s="652"/>
    </row>
    <row r="65" spans="1:6">
      <c r="A65" s="656"/>
      <c r="B65" s="246" t="s">
        <v>100</v>
      </c>
      <c r="C65" s="250"/>
      <c r="D65" s="55" t="e">
        <f t="shared" si="1"/>
        <v>#N/A</v>
      </c>
      <c r="E65" s="652"/>
    </row>
    <row r="66" spans="1:6">
      <c r="A66" s="656"/>
      <c r="B66" s="246" t="s">
        <v>100</v>
      </c>
      <c r="C66" s="250" t="s">
        <v>99</v>
      </c>
      <c r="D66" s="55" t="e">
        <f t="shared" si="1"/>
        <v>#N/A</v>
      </c>
      <c r="E66" s="652"/>
    </row>
    <row r="67" spans="1:6">
      <c r="A67" s="656"/>
      <c r="B67" s="246" t="s">
        <v>100</v>
      </c>
      <c r="C67" s="250" t="s">
        <v>104</v>
      </c>
      <c r="D67" s="55" t="e">
        <f t="shared" si="1"/>
        <v>#N/A</v>
      </c>
      <c r="E67" s="652"/>
    </row>
    <row r="68" spans="1:6">
      <c r="A68" s="656"/>
      <c r="B68" s="246" t="s">
        <v>100</v>
      </c>
      <c r="C68" s="250"/>
      <c r="D68" s="55" t="e">
        <f t="shared" si="1"/>
        <v>#N/A</v>
      </c>
      <c r="E68" s="652"/>
    </row>
    <row r="69" spans="1:6">
      <c r="A69" s="656"/>
      <c r="B69" s="246" t="s">
        <v>100</v>
      </c>
      <c r="C69" s="250" t="s">
        <v>90</v>
      </c>
      <c r="D69" s="55" t="e">
        <f t="shared" si="1"/>
        <v>#N/A</v>
      </c>
      <c r="E69" s="652"/>
    </row>
    <row r="70" spans="1:6">
      <c r="A70" s="656"/>
      <c r="B70" s="246" t="s">
        <v>100</v>
      </c>
      <c r="C70" s="250"/>
      <c r="D70" s="55" t="e">
        <f t="shared" si="1"/>
        <v>#N/A</v>
      </c>
      <c r="E70" s="652"/>
    </row>
    <row r="71" spans="1:6" ht="16" thickBot="1">
      <c r="A71" s="656"/>
      <c r="B71" s="262" t="s">
        <v>100</v>
      </c>
      <c r="C71" s="258"/>
      <c r="D71" s="158" t="e">
        <f t="shared" si="1"/>
        <v>#N/A</v>
      </c>
      <c r="E71" s="653"/>
    </row>
    <row r="72" spans="1:6">
      <c r="A72" s="656"/>
      <c r="B72" s="237" t="s">
        <v>92</v>
      </c>
      <c r="C72" s="242"/>
      <c r="D72" s="79" t="e">
        <f t="shared" si="1"/>
        <v>#N/A</v>
      </c>
      <c r="E72" s="651">
        <f t="shared" ref="E72" si="3">SUMIF(D72:D87,"&gt;0")</f>
        <v>0</v>
      </c>
      <c r="F72" s="658"/>
    </row>
    <row r="73" spans="1:6">
      <c r="A73" s="656"/>
      <c r="B73" s="246" t="s">
        <v>92</v>
      </c>
      <c r="C73" s="250"/>
      <c r="D73" s="55" t="e">
        <f t="shared" si="1"/>
        <v>#N/A</v>
      </c>
      <c r="E73" s="652"/>
      <c r="F73" s="659"/>
    </row>
    <row r="74" spans="1:6">
      <c r="A74" s="656"/>
      <c r="B74" s="246" t="s">
        <v>92</v>
      </c>
      <c r="C74" s="250"/>
      <c r="D74" s="55" t="e">
        <f t="shared" si="1"/>
        <v>#N/A</v>
      </c>
      <c r="E74" s="652"/>
      <c r="F74" s="659"/>
    </row>
    <row r="75" spans="1:6">
      <c r="A75" s="656"/>
      <c r="B75" s="246" t="s">
        <v>92</v>
      </c>
      <c r="C75" s="250" t="s">
        <v>98</v>
      </c>
      <c r="D75" s="55" t="e">
        <f t="shared" si="1"/>
        <v>#N/A</v>
      </c>
      <c r="E75" s="652"/>
      <c r="F75" s="659"/>
    </row>
    <row r="76" spans="1:6">
      <c r="A76" s="656"/>
      <c r="B76" s="246" t="s">
        <v>92</v>
      </c>
      <c r="C76" s="250" t="s">
        <v>96</v>
      </c>
      <c r="D76" s="55" t="e">
        <f t="shared" si="1"/>
        <v>#N/A</v>
      </c>
      <c r="E76" s="652"/>
      <c r="F76" s="659"/>
    </row>
    <row r="77" spans="1:6">
      <c r="A77" s="656"/>
      <c r="B77" s="246" t="s">
        <v>92</v>
      </c>
      <c r="C77" s="250" t="s">
        <v>95</v>
      </c>
      <c r="D77" s="55" t="e">
        <f t="shared" si="1"/>
        <v>#N/A</v>
      </c>
      <c r="E77" s="652"/>
      <c r="F77" s="659"/>
    </row>
    <row r="78" spans="1:6">
      <c r="A78" s="656"/>
      <c r="B78" s="246" t="s">
        <v>92</v>
      </c>
      <c r="C78" s="250"/>
      <c r="D78" s="55" t="e">
        <f t="shared" si="1"/>
        <v>#N/A</v>
      </c>
      <c r="E78" s="652"/>
      <c r="F78" s="659"/>
    </row>
    <row r="79" spans="1:6">
      <c r="A79" s="656"/>
      <c r="B79" s="246" t="s">
        <v>92</v>
      </c>
      <c r="C79" s="250"/>
      <c r="D79" s="55" t="e">
        <f t="shared" si="1"/>
        <v>#N/A</v>
      </c>
      <c r="E79" s="652"/>
      <c r="F79" s="659"/>
    </row>
    <row r="80" spans="1:6">
      <c r="A80" s="656"/>
      <c r="B80" s="246" t="s">
        <v>92</v>
      </c>
      <c r="C80" s="250" t="s">
        <v>93</v>
      </c>
      <c r="D80" s="55" t="e">
        <f t="shared" si="1"/>
        <v>#N/A</v>
      </c>
      <c r="E80" s="652"/>
      <c r="F80" s="659"/>
    </row>
    <row r="81" spans="1:6">
      <c r="A81" s="656"/>
      <c r="B81" s="246" t="s">
        <v>92</v>
      </c>
      <c r="C81" s="250"/>
      <c r="D81" s="55" t="e">
        <f t="shared" si="1"/>
        <v>#N/A</v>
      </c>
      <c r="E81" s="652"/>
      <c r="F81" s="659"/>
    </row>
    <row r="82" spans="1:6">
      <c r="A82" s="656"/>
      <c r="B82" s="246" t="s">
        <v>92</v>
      </c>
      <c r="C82" s="250" t="s">
        <v>99</v>
      </c>
      <c r="D82" s="55" t="e">
        <f t="shared" si="1"/>
        <v>#N/A</v>
      </c>
      <c r="E82" s="652"/>
      <c r="F82" s="659"/>
    </row>
    <row r="83" spans="1:6">
      <c r="A83" s="656"/>
      <c r="B83" s="246" t="s">
        <v>92</v>
      </c>
      <c r="C83" s="250" t="s">
        <v>104</v>
      </c>
      <c r="D83" s="55" t="e">
        <f t="shared" si="1"/>
        <v>#N/A</v>
      </c>
      <c r="E83" s="652"/>
      <c r="F83" s="659"/>
    </row>
    <row r="84" spans="1:6">
      <c r="A84" s="656"/>
      <c r="B84" s="246" t="s">
        <v>92</v>
      </c>
      <c r="C84" s="250"/>
      <c r="D84" s="55" t="e">
        <f t="shared" si="1"/>
        <v>#N/A</v>
      </c>
      <c r="E84" s="652"/>
      <c r="F84" s="659"/>
    </row>
    <row r="85" spans="1:6">
      <c r="A85" s="656"/>
      <c r="B85" s="246" t="s">
        <v>92</v>
      </c>
      <c r="C85" s="250" t="s">
        <v>90</v>
      </c>
      <c r="D85" s="55" t="e">
        <f t="shared" si="1"/>
        <v>#N/A</v>
      </c>
      <c r="E85" s="652"/>
      <c r="F85" s="659"/>
    </row>
    <row r="86" spans="1:6">
      <c r="A86" s="656"/>
      <c r="B86" s="246" t="s">
        <v>92</v>
      </c>
      <c r="C86" s="250" t="s">
        <v>97</v>
      </c>
      <c r="D86" s="55" t="e">
        <f t="shared" si="1"/>
        <v>#N/A</v>
      </c>
      <c r="E86" s="652"/>
      <c r="F86" s="659"/>
    </row>
    <row r="87" spans="1:6" ht="16" thickBot="1">
      <c r="A87" s="657"/>
      <c r="B87" s="262" t="s">
        <v>92</v>
      </c>
      <c r="C87" s="258" t="s">
        <v>101</v>
      </c>
      <c r="D87" s="158" t="e">
        <f t="shared" si="1"/>
        <v>#N/A</v>
      </c>
      <c r="E87" s="653"/>
      <c r="F87" s="660"/>
    </row>
    <row r="88" spans="1:6">
      <c r="B88" s="237" t="s">
        <v>90</v>
      </c>
      <c r="C88" s="242" t="s">
        <v>92</v>
      </c>
      <c r="D88" s="521" t="e">
        <f t="shared" si="1"/>
        <v>#N/A</v>
      </c>
    </row>
    <row r="89" spans="1:6">
      <c r="B89" s="246" t="s">
        <v>90</v>
      </c>
      <c r="C89" s="250" t="s">
        <v>102</v>
      </c>
      <c r="D89" s="232" t="e">
        <f t="shared" si="1"/>
        <v>#N/A</v>
      </c>
    </row>
    <row r="90" spans="1:6">
      <c r="B90" s="271" t="s">
        <v>90</v>
      </c>
      <c r="C90" s="274" t="s">
        <v>97</v>
      </c>
      <c r="D90" s="232" t="e">
        <f t="shared" si="1"/>
        <v>#N/A</v>
      </c>
    </row>
    <row r="91" spans="1:6">
      <c r="B91" s="246"/>
      <c r="C91" s="250"/>
      <c r="D91" s="232" t="e">
        <f t="shared" si="1"/>
        <v>#N/A</v>
      </c>
    </row>
    <row r="92" spans="1:6">
      <c r="B92" s="246"/>
      <c r="C92" s="250"/>
      <c r="D92" s="232" t="e">
        <f t="shared" si="1"/>
        <v>#N/A</v>
      </c>
    </row>
    <row r="93" spans="1:6">
      <c r="B93" s="246"/>
      <c r="C93" s="250"/>
      <c r="D93" s="232" t="e">
        <f t="shared" si="1"/>
        <v>#N/A</v>
      </c>
    </row>
    <row r="94" spans="1:6">
      <c r="B94" s="246"/>
      <c r="C94" s="250"/>
      <c r="D94" s="232" t="e">
        <f t="shared" si="1"/>
        <v>#N/A</v>
      </c>
    </row>
    <row r="95" spans="1:6">
      <c r="B95" s="246"/>
      <c r="C95" s="250"/>
      <c r="D95" s="232" t="e">
        <f t="shared" ref="D95:D158" si="4">IF(INDEX($C$3:$R$18,MATCH(B95,$B$3:$B$18,0),MATCH(C95,$C$2:$R$2,0))="","",INDEX($C$3:$R$18,MATCH(B95,$B$3:$B$18,0),MATCH(C95,$C$2:$R$2,0)))</f>
        <v>#N/A</v>
      </c>
    </row>
    <row r="96" spans="1:6">
      <c r="B96" s="246"/>
      <c r="C96" s="250"/>
      <c r="D96" s="232" t="e">
        <f t="shared" si="4"/>
        <v>#N/A</v>
      </c>
    </row>
    <row r="97" spans="2:4">
      <c r="B97" s="246"/>
      <c r="C97" s="250"/>
      <c r="D97" s="232" t="e">
        <f t="shared" si="4"/>
        <v>#N/A</v>
      </c>
    </row>
    <row r="98" spans="2:4">
      <c r="B98" s="246"/>
      <c r="C98" s="250"/>
      <c r="D98" s="232" t="e">
        <f t="shared" si="4"/>
        <v>#N/A</v>
      </c>
    </row>
    <row r="99" spans="2:4">
      <c r="B99" s="246"/>
      <c r="C99" s="250"/>
      <c r="D99" s="232" t="e">
        <f t="shared" si="4"/>
        <v>#N/A</v>
      </c>
    </row>
    <row r="100" spans="2:4">
      <c r="B100" s="246"/>
      <c r="C100" s="250"/>
      <c r="D100" s="232" t="e">
        <f t="shared" si="4"/>
        <v>#N/A</v>
      </c>
    </row>
    <row r="101" spans="2:4">
      <c r="B101" s="246"/>
      <c r="C101" s="250"/>
      <c r="D101" s="232" t="e">
        <f t="shared" si="4"/>
        <v>#N/A</v>
      </c>
    </row>
    <row r="102" spans="2:4">
      <c r="B102" s="246"/>
      <c r="C102" s="250"/>
      <c r="D102" s="232" t="e">
        <f t="shared" si="4"/>
        <v>#N/A</v>
      </c>
    </row>
    <row r="103" spans="2:4">
      <c r="B103" s="246"/>
      <c r="C103" s="250"/>
      <c r="D103" s="232" t="e">
        <f t="shared" si="4"/>
        <v>#N/A</v>
      </c>
    </row>
    <row r="104" spans="2:4">
      <c r="B104" s="525"/>
      <c r="C104" s="526"/>
      <c r="D104" s="232" t="e">
        <f t="shared" si="4"/>
        <v>#N/A</v>
      </c>
    </row>
    <row r="105" spans="2:4">
      <c r="B105" s="246"/>
      <c r="C105" s="250"/>
      <c r="D105" s="232" t="e">
        <f t="shared" si="4"/>
        <v>#N/A</v>
      </c>
    </row>
    <row r="106" spans="2:4">
      <c r="B106" s="246"/>
      <c r="C106" s="250"/>
      <c r="D106" s="232" t="e">
        <f t="shared" si="4"/>
        <v>#N/A</v>
      </c>
    </row>
    <row r="107" spans="2:4">
      <c r="B107" s="246"/>
      <c r="C107" s="250"/>
      <c r="D107" s="232" t="e">
        <f t="shared" si="4"/>
        <v>#N/A</v>
      </c>
    </row>
    <row r="108" spans="2:4">
      <c r="B108" s="246"/>
      <c r="C108" s="250"/>
      <c r="D108" s="232" t="e">
        <f t="shared" si="4"/>
        <v>#N/A</v>
      </c>
    </row>
    <row r="109" spans="2:4">
      <c r="B109" s="246"/>
      <c r="C109" s="250"/>
      <c r="D109" s="232" t="e">
        <f t="shared" si="4"/>
        <v>#N/A</v>
      </c>
    </row>
    <row r="110" spans="2:4">
      <c r="B110" s="246"/>
      <c r="C110" s="250"/>
      <c r="D110" s="232" t="e">
        <f t="shared" si="4"/>
        <v>#N/A</v>
      </c>
    </row>
    <row r="111" spans="2:4">
      <c r="B111" s="246"/>
      <c r="C111" s="250"/>
      <c r="D111" s="232" t="e">
        <f t="shared" si="4"/>
        <v>#N/A</v>
      </c>
    </row>
    <row r="112" spans="2:4">
      <c r="B112" s="246"/>
      <c r="C112" s="250"/>
      <c r="D112" s="232" t="e">
        <f t="shared" si="4"/>
        <v>#N/A</v>
      </c>
    </row>
    <row r="113" spans="2:4">
      <c r="B113" s="246"/>
      <c r="C113" s="250"/>
      <c r="D113" s="232" t="e">
        <f t="shared" si="4"/>
        <v>#N/A</v>
      </c>
    </row>
    <row r="114" spans="2:4">
      <c r="B114" s="246"/>
      <c r="C114" s="250"/>
      <c r="D114" s="232" t="e">
        <f t="shared" si="4"/>
        <v>#N/A</v>
      </c>
    </row>
    <row r="115" spans="2:4">
      <c r="B115" s="246"/>
      <c r="C115" s="250"/>
      <c r="D115" s="232" t="e">
        <f t="shared" si="4"/>
        <v>#N/A</v>
      </c>
    </row>
    <row r="116" spans="2:4">
      <c r="B116" s="246"/>
      <c r="C116" s="250"/>
      <c r="D116" s="232" t="e">
        <f t="shared" si="4"/>
        <v>#N/A</v>
      </c>
    </row>
    <row r="117" spans="2:4">
      <c r="B117" s="246"/>
      <c r="C117" s="250"/>
      <c r="D117" s="232" t="e">
        <f t="shared" si="4"/>
        <v>#N/A</v>
      </c>
    </row>
    <row r="118" spans="2:4">
      <c r="B118" s="246"/>
      <c r="C118" s="250"/>
      <c r="D118" s="232" t="e">
        <f t="shared" si="4"/>
        <v>#N/A</v>
      </c>
    </row>
    <row r="119" spans="2:4">
      <c r="B119" s="246"/>
      <c r="C119" s="250"/>
      <c r="D119" s="232" t="e">
        <f t="shared" si="4"/>
        <v>#N/A</v>
      </c>
    </row>
    <row r="120" spans="2:4">
      <c r="B120" s="525"/>
      <c r="C120" s="526"/>
      <c r="D120" s="232" t="e">
        <f t="shared" si="4"/>
        <v>#N/A</v>
      </c>
    </row>
    <row r="121" spans="2:4">
      <c r="B121" s="246"/>
      <c r="C121" s="250"/>
      <c r="D121" s="232" t="e">
        <f t="shared" si="4"/>
        <v>#N/A</v>
      </c>
    </row>
    <row r="122" spans="2:4">
      <c r="B122" s="246"/>
      <c r="C122" s="250"/>
      <c r="D122" s="232" t="e">
        <f t="shared" si="4"/>
        <v>#N/A</v>
      </c>
    </row>
    <row r="123" spans="2:4">
      <c r="B123" s="246"/>
      <c r="C123" s="250"/>
      <c r="D123" s="232" t="e">
        <f t="shared" si="4"/>
        <v>#N/A</v>
      </c>
    </row>
    <row r="124" spans="2:4">
      <c r="B124" s="246"/>
      <c r="C124" s="250"/>
      <c r="D124" s="232" t="e">
        <f t="shared" si="4"/>
        <v>#N/A</v>
      </c>
    </row>
    <row r="125" spans="2:4">
      <c r="B125" s="246"/>
      <c r="C125" s="250"/>
      <c r="D125" s="232" t="e">
        <f t="shared" si="4"/>
        <v>#N/A</v>
      </c>
    </row>
    <row r="126" spans="2:4">
      <c r="B126" s="246"/>
      <c r="C126" s="250"/>
      <c r="D126" s="232" t="e">
        <f t="shared" si="4"/>
        <v>#N/A</v>
      </c>
    </row>
    <row r="127" spans="2:4">
      <c r="B127" s="246"/>
      <c r="C127" s="250"/>
      <c r="D127" s="232" t="e">
        <f t="shared" si="4"/>
        <v>#N/A</v>
      </c>
    </row>
    <row r="128" spans="2:4">
      <c r="B128" s="246"/>
      <c r="C128" s="250"/>
      <c r="D128" s="232" t="e">
        <f t="shared" si="4"/>
        <v>#N/A</v>
      </c>
    </row>
    <row r="129" spans="2:4">
      <c r="B129" s="246"/>
      <c r="C129" s="250"/>
      <c r="D129" s="232" t="e">
        <f t="shared" si="4"/>
        <v>#N/A</v>
      </c>
    </row>
    <row r="130" spans="2:4">
      <c r="B130" s="246"/>
      <c r="C130" s="250"/>
      <c r="D130" s="232" t="e">
        <f t="shared" si="4"/>
        <v>#N/A</v>
      </c>
    </row>
    <row r="131" spans="2:4">
      <c r="B131" s="246"/>
      <c r="C131" s="250"/>
      <c r="D131" s="232" t="e">
        <f t="shared" si="4"/>
        <v>#N/A</v>
      </c>
    </row>
    <row r="132" spans="2:4">
      <c r="B132" s="246"/>
      <c r="C132" s="250"/>
      <c r="D132" s="232" t="e">
        <f t="shared" si="4"/>
        <v>#N/A</v>
      </c>
    </row>
    <row r="133" spans="2:4">
      <c r="B133" s="246"/>
      <c r="C133" s="250"/>
      <c r="D133" s="232" t="e">
        <f t="shared" si="4"/>
        <v>#N/A</v>
      </c>
    </row>
    <row r="134" spans="2:4">
      <c r="B134" s="246"/>
      <c r="C134" s="250"/>
      <c r="D134" s="232" t="e">
        <f t="shared" si="4"/>
        <v>#N/A</v>
      </c>
    </row>
    <row r="135" spans="2:4">
      <c r="B135" s="246"/>
      <c r="C135" s="250"/>
      <c r="D135" s="232" t="e">
        <f t="shared" si="4"/>
        <v>#N/A</v>
      </c>
    </row>
    <row r="136" spans="2:4">
      <c r="B136" s="525"/>
      <c r="C136" s="526"/>
      <c r="D136" s="232" t="e">
        <f t="shared" si="4"/>
        <v>#N/A</v>
      </c>
    </row>
    <row r="137" spans="2:4">
      <c r="B137" s="246"/>
      <c r="C137" s="250"/>
      <c r="D137" s="232" t="e">
        <f t="shared" si="4"/>
        <v>#N/A</v>
      </c>
    </row>
    <row r="138" spans="2:4">
      <c r="B138" s="246"/>
      <c r="C138" s="250"/>
      <c r="D138" s="232" t="e">
        <f t="shared" si="4"/>
        <v>#N/A</v>
      </c>
    </row>
    <row r="139" spans="2:4">
      <c r="B139" s="246"/>
      <c r="C139" s="250"/>
      <c r="D139" s="232" t="e">
        <f t="shared" si="4"/>
        <v>#N/A</v>
      </c>
    </row>
    <row r="140" spans="2:4">
      <c r="B140" s="246"/>
      <c r="C140" s="250"/>
      <c r="D140" s="232" t="e">
        <f t="shared" si="4"/>
        <v>#N/A</v>
      </c>
    </row>
    <row r="141" spans="2:4">
      <c r="B141" s="246"/>
      <c r="C141" s="250"/>
      <c r="D141" s="232" t="e">
        <f t="shared" si="4"/>
        <v>#N/A</v>
      </c>
    </row>
    <row r="142" spans="2:4">
      <c r="B142" s="246"/>
      <c r="C142" s="250"/>
      <c r="D142" s="232" t="e">
        <f t="shared" si="4"/>
        <v>#N/A</v>
      </c>
    </row>
    <row r="143" spans="2:4">
      <c r="B143" s="246"/>
      <c r="C143" s="250"/>
      <c r="D143" s="232" t="e">
        <f t="shared" si="4"/>
        <v>#N/A</v>
      </c>
    </row>
    <row r="144" spans="2:4">
      <c r="B144" s="246"/>
      <c r="C144" s="250"/>
      <c r="D144" s="232" t="e">
        <f t="shared" si="4"/>
        <v>#N/A</v>
      </c>
    </row>
    <row r="145" spans="2:4">
      <c r="B145" s="246"/>
      <c r="C145" s="250"/>
      <c r="D145" s="232" t="e">
        <f t="shared" si="4"/>
        <v>#N/A</v>
      </c>
    </row>
    <row r="146" spans="2:4">
      <c r="B146" s="246"/>
      <c r="C146" s="250"/>
      <c r="D146" s="232" t="e">
        <f t="shared" si="4"/>
        <v>#N/A</v>
      </c>
    </row>
    <row r="147" spans="2:4">
      <c r="B147" s="246"/>
      <c r="C147" s="250"/>
      <c r="D147" s="232" t="e">
        <f t="shared" si="4"/>
        <v>#N/A</v>
      </c>
    </row>
    <row r="148" spans="2:4">
      <c r="B148" s="246"/>
      <c r="C148" s="250"/>
      <c r="D148" s="232" t="e">
        <f t="shared" si="4"/>
        <v>#N/A</v>
      </c>
    </row>
    <row r="149" spans="2:4">
      <c r="B149" s="246"/>
      <c r="C149" s="250"/>
      <c r="D149" s="232" t="e">
        <f t="shared" si="4"/>
        <v>#N/A</v>
      </c>
    </row>
    <row r="150" spans="2:4">
      <c r="B150" s="246"/>
      <c r="C150" s="250"/>
      <c r="D150" s="232" t="e">
        <f t="shared" si="4"/>
        <v>#N/A</v>
      </c>
    </row>
    <row r="151" spans="2:4">
      <c r="B151" s="246"/>
      <c r="C151" s="250"/>
      <c r="D151" s="232" t="e">
        <f t="shared" si="4"/>
        <v>#N/A</v>
      </c>
    </row>
    <row r="152" spans="2:4">
      <c r="B152" s="525"/>
      <c r="C152" s="526"/>
      <c r="D152" s="232" t="e">
        <f t="shared" si="4"/>
        <v>#N/A</v>
      </c>
    </row>
    <row r="153" spans="2:4">
      <c r="B153" s="246"/>
      <c r="C153" s="250"/>
      <c r="D153" s="232" t="e">
        <f t="shared" si="4"/>
        <v>#N/A</v>
      </c>
    </row>
    <row r="154" spans="2:4">
      <c r="B154" s="246"/>
      <c r="C154" s="250"/>
      <c r="D154" s="232" t="e">
        <f t="shared" si="4"/>
        <v>#N/A</v>
      </c>
    </row>
    <row r="155" spans="2:4">
      <c r="B155" s="246"/>
      <c r="C155" s="250"/>
      <c r="D155" s="232" t="e">
        <f t="shared" si="4"/>
        <v>#N/A</v>
      </c>
    </row>
    <row r="156" spans="2:4">
      <c r="B156" s="246"/>
      <c r="C156" s="250"/>
      <c r="D156" s="232" t="e">
        <f t="shared" si="4"/>
        <v>#N/A</v>
      </c>
    </row>
    <row r="157" spans="2:4">
      <c r="B157" s="246"/>
      <c r="C157" s="250"/>
      <c r="D157" s="232" t="e">
        <f t="shared" si="4"/>
        <v>#N/A</v>
      </c>
    </row>
    <row r="158" spans="2:4">
      <c r="B158" s="246"/>
      <c r="C158" s="250"/>
      <c r="D158" s="232" t="e">
        <f t="shared" si="4"/>
        <v>#N/A</v>
      </c>
    </row>
    <row r="159" spans="2:4">
      <c r="B159" s="246"/>
      <c r="C159" s="250"/>
      <c r="D159" s="232" t="e">
        <f t="shared" ref="D159:D175" si="5">IF(INDEX($C$3:$R$18,MATCH(B159,$B$3:$B$18,0),MATCH(C159,$C$2:$R$2,0))="","",INDEX($C$3:$R$18,MATCH(B159,$B$3:$B$18,0),MATCH(C159,$C$2:$R$2,0)))</f>
        <v>#N/A</v>
      </c>
    </row>
    <row r="160" spans="2:4">
      <c r="B160" s="246"/>
      <c r="C160" s="250"/>
      <c r="D160" s="232" t="e">
        <f t="shared" si="5"/>
        <v>#N/A</v>
      </c>
    </row>
    <row r="161" spans="2:4">
      <c r="B161" s="246"/>
      <c r="C161" s="250"/>
      <c r="D161" s="232" t="e">
        <f t="shared" si="5"/>
        <v>#N/A</v>
      </c>
    </row>
    <row r="162" spans="2:4">
      <c r="B162" s="246"/>
      <c r="C162" s="250"/>
      <c r="D162" s="232" t="e">
        <f t="shared" si="5"/>
        <v>#N/A</v>
      </c>
    </row>
    <row r="163" spans="2:4">
      <c r="B163" s="246"/>
      <c r="C163" s="250"/>
      <c r="D163" s="232" t="e">
        <f t="shared" si="5"/>
        <v>#N/A</v>
      </c>
    </row>
    <row r="164" spans="2:4">
      <c r="B164" s="246"/>
      <c r="C164" s="250"/>
      <c r="D164" s="232" t="e">
        <f t="shared" si="5"/>
        <v>#N/A</v>
      </c>
    </row>
    <row r="165" spans="2:4">
      <c r="B165" s="246"/>
      <c r="C165" s="250"/>
      <c r="D165" s="232" t="e">
        <f t="shared" si="5"/>
        <v>#N/A</v>
      </c>
    </row>
    <row r="166" spans="2:4">
      <c r="B166" s="246"/>
      <c r="C166" s="250"/>
      <c r="D166" s="232" t="e">
        <f t="shared" si="5"/>
        <v>#N/A</v>
      </c>
    </row>
    <row r="167" spans="2:4">
      <c r="B167" s="246"/>
      <c r="C167" s="250"/>
      <c r="D167" s="232" t="e">
        <f t="shared" si="5"/>
        <v>#N/A</v>
      </c>
    </row>
    <row r="168" spans="2:4">
      <c r="B168" s="525"/>
      <c r="C168" s="526"/>
      <c r="D168" s="232" t="e">
        <f t="shared" si="5"/>
        <v>#N/A</v>
      </c>
    </row>
    <row r="169" spans="2:4">
      <c r="B169" s="246"/>
      <c r="C169" s="250"/>
      <c r="D169" s="232" t="e">
        <f t="shared" si="5"/>
        <v>#N/A</v>
      </c>
    </row>
    <row r="170" spans="2:4">
      <c r="B170" s="246"/>
      <c r="C170" s="250"/>
      <c r="D170" s="232" t="e">
        <f t="shared" si="5"/>
        <v>#N/A</v>
      </c>
    </row>
    <row r="171" spans="2:4">
      <c r="B171" s="246"/>
      <c r="C171" s="250"/>
      <c r="D171" s="232" t="e">
        <f t="shared" si="5"/>
        <v>#N/A</v>
      </c>
    </row>
    <row r="172" spans="2:4">
      <c r="B172" s="246"/>
      <c r="C172" s="250"/>
      <c r="D172" s="232" t="e">
        <f t="shared" si="5"/>
        <v>#N/A</v>
      </c>
    </row>
    <row r="173" spans="2:4">
      <c r="B173" s="246"/>
      <c r="C173" s="250"/>
      <c r="D173" s="232" t="e">
        <f t="shared" si="5"/>
        <v>#N/A</v>
      </c>
    </row>
    <row r="174" spans="2:4">
      <c r="B174" s="246"/>
      <c r="C174" s="250"/>
      <c r="D174" s="232" t="e">
        <f t="shared" si="5"/>
        <v>#N/A</v>
      </c>
    </row>
    <row r="175" spans="2:4">
      <c r="B175" s="246"/>
      <c r="C175" s="250"/>
      <c r="D175" s="232" t="e">
        <f t="shared" si="5"/>
        <v>#N/A</v>
      </c>
    </row>
  </sheetData>
  <mergeCells count="9">
    <mergeCell ref="A21:A26"/>
    <mergeCell ref="F21:G21"/>
    <mergeCell ref="A27:A30"/>
    <mergeCell ref="A31:A87"/>
    <mergeCell ref="E40:E55"/>
    <mergeCell ref="F40:F55"/>
    <mergeCell ref="E56:E71"/>
    <mergeCell ref="E72:E87"/>
    <mergeCell ref="F72:F87"/>
  </mergeCells>
  <conditionalFormatting sqref="C3:R18">
    <cfRule type="containsText" dxfId="1013" priority="243" operator="containsText" text="DNP">
      <formula>NOT(ISERROR(SEARCH("DNP",C3)))</formula>
    </cfRule>
  </conditionalFormatting>
  <conditionalFormatting sqref="B21">
    <cfRule type="containsText" dxfId="1012" priority="227" operator="containsText" text="Gronks Retiremnt Party">
      <formula>NOT(ISERROR(SEARCH("Gronks Retiremnt Party",B21)))</formula>
    </cfRule>
    <cfRule type="containsText" dxfId="1011" priority="228" operator="containsText" text="PK's Wet Dream Fantasy">
      <formula>NOT(ISERROR(SEARCH("PK's Wet Dream Fantasy",B21)))</formula>
    </cfRule>
    <cfRule type="containsText" dxfId="1010" priority="229" operator="containsText" text="Goulden Johnson Morning Woods">
      <formula>NOT(ISERROR(SEARCH("Goulden Johnson Morning Woods",B21)))</formula>
    </cfRule>
    <cfRule type="containsText" dxfId="1009" priority="230" operator="containsText" text="Da Adams Family">
      <formula>NOT(ISERROR(SEARCH("Da Adams Family",B21)))</formula>
    </cfRule>
    <cfRule type="containsText" dxfId="1008" priority="231" operator="containsText" text="Benny’s Baby Back Bitches">
      <formula>NOT(ISERROR(SEARCH("Benny’s Baby Back Bitches",B21)))</formula>
    </cfRule>
    <cfRule type="containsText" dxfId="1007" priority="232" operator="containsText" text="DJ Chark Doo Doo Doo Doo">
      <formula>NOT(ISERROR(SEARCH("DJ Chark Doo Doo Doo Doo",B21)))</formula>
    </cfRule>
    <cfRule type="containsText" dxfId="1006" priority="233" operator="containsText" text="Pansexual Dead Bird Dildo">
      <formula>NOT(ISERROR(SEARCH("Pansexual Dead Bird Dildo",B21)))</formula>
    </cfRule>
    <cfRule type="containsText" dxfId="1005" priority="234" operator="containsText" text="Lick My Lutz N’ Jack Me Goff">
      <formula>NOT(ISERROR(SEARCH("Lick My Lutz N’ Jack Me Goff",B21)))</formula>
    </cfRule>
    <cfRule type="containsText" dxfId="1004" priority="235" operator="containsText" text="Canary In A Coleman">
      <formula>NOT(ISERROR(SEARCH("Canary In A Coleman",B21)))</formula>
    </cfRule>
    <cfRule type="containsText" dxfId="1003" priority="236" operator="containsText" text="No Good Car Ideas">
      <formula>NOT(ISERROR(SEARCH("No Good Car Ideas",B21)))</formula>
    </cfRule>
    <cfRule type="containsText" dxfId="1002" priority="237" operator="containsText" text="Quadsratic Formula">
      <formula>NOT(ISERROR(SEARCH("Quadsratic Formula",B21)))</formula>
    </cfRule>
    <cfRule type="containsText" dxfId="1001" priority="238" operator="containsText" text="Carolina Colitis">
      <formula>NOT(ISERROR(SEARCH("Carolina Colitis",B21)))</formula>
    </cfRule>
    <cfRule type="containsText" dxfId="1000" priority="239" operator="containsText" text="Lil MissyElliot Big Paycheck">
      <formula>NOT(ISERROR(SEARCH("Lil MissyElliot Big Paycheck",B21)))</formula>
    </cfRule>
    <cfRule type="containsText" dxfId="999" priority="240" operator="containsText" text="Victory Shawarma">
      <formula>NOT(ISERROR(SEARCH("Victory Shawarma",B21)))</formula>
    </cfRule>
    <cfRule type="containsText" dxfId="998" priority="241" operator="containsText" text="US Skol Command">
      <formula>NOT(ISERROR(SEARCH("US Skol Command",B21)))</formula>
    </cfRule>
    <cfRule type="containsText" dxfId="997" priority="242" operator="containsText" text="THE SUBMISSIVE SUBMARINE  ">
      <formula>NOT(ISERROR(SEARCH("THE SUBMISSIVE SUBMARINE  ",B21)))</formula>
    </cfRule>
  </conditionalFormatting>
  <conditionalFormatting sqref="C37:C41 C45:C55">
    <cfRule type="containsText" dxfId="996" priority="211" operator="containsText" text="Gronks Retiremnt Party">
      <formula>NOT(ISERROR(SEARCH("Gronks Retiremnt Party",C37)))</formula>
    </cfRule>
    <cfRule type="containsText" dxfId="995" priority="212" operator="containsText" text="PK's Wet Dream Fantasy">
      <formula>NOT(ISERROR(SEARCH("PK's Wet Dream Fantasy",C37)))</formula>
    </cfRule>
    <cfRule type="containsText" dxfId="994" priority="213" operator="containsText" text="Goulden Johnson Morning Woods">
      <formula>NOT(ISERROR(SEARCH("Goulden Johnson Morning Woods",C37)))</formula>
    </cfRule>
    <cfRule type="containsText" dxfId="993" priority="214" operator="containsText" text="Da Adams Family">
      <formula>NOT(ISERROR(SEARCH("Da Adams Family",C37)))</formula>
    </cfRule>
    <cfRule type="containsText" dxfId="992" priority="215" operator="containsText" text="Benny’s Baby Back Bitches">
      <formula>NOT(ISERROR(SEARCH("Benny’s Baby Back Bitches",C37)))</formula>
    </cfRule>
    <cfRule type="containsText" dxfId="991" priority="216" operator="containsText" text="DJ Chark Doo Doo Doo Doo">
      <formula>NOT(ISERROR(SEARCH("DJ Chark Doo Doo Doo Doo",C37)))</formula>
    </cfRule>
    <cfRule type="containsText" dxfId="990" priority="217" operator="containsText" text="Pansexual Dead Bird Dildo">
      <formula>NOT(ISERROR(SEARCH("Pansexual Dead Bird Dildo",C37)))</formula>
    </cfRule>
    <cfRule type="containsText" dxfId="989" priority="218" operator="containsText" text="Lick My Lutz N’ Jack Me Goff">
      <formula>NOT(ISERROR(SEARCH("Lick My Lutz N’ Jack Me Goff",C37)))</formula>
    </cfRule>
    <cfRule type="containsText" dxfId="988" priority="219" operator="containsText" text="Canary In A Coleman">
      <formula>NOT(ISERROR(SEARCH("Canary In A Coleman",C37)))</formula>
    </cfRule>
    <cfRule type="containsText" dxfId="987" priority="220" operator="containsText" text="No Good Car Ideas">
      <formula>NOT(ISERROR(SEARCH("No Good Car Ideas",C37)))</formula>
    </cfRule>
    <cfRule type="containsText" dxfId="986" priority="221" operator="containsText" text="Quadsratic Formula">
      <formula>NOT(ISERROR(SEARCH("Quadsratic Formula",C37)))</formula>
    </cfRule>
    <cfRule type="containsText" dxfId="985" priority="222" operator="containsText" text="Carolina Colitis">
      <formula>NOT(ISERROR(SEARCH("Carolina Colitis",C37)))</formula>
    </cfRule>
    <cfRule type="containsText" dxfId="984" priority="223" operator="containsText" text="Lil MissyElliot Big Paycheck">
      <formula>NOT(ISERROR(SEARCH("Lil MissyElliot Big Paycheck",C37)))</formula>
    </cfRule>
    <cfRule type="containsText" dxfId="983" priority="224" operator="containsText" text="Victory Shawarma">
      <formula>NOT(ISERROR(SEARCH("Victory Shawarma",C37)))</formula>
    </cfRule>
    <cfRule type="containsText" dxfId="982" priority="225" operator="containsText" text="US Skol Command">
      <formula>NOT(ISERROR(SEARCH("US Skol Command",C37)))</formula>
    </cfRule>
    <cfRule type="containsText" dxfId="981" priority="226" operator="containsText" text="THE SUBMISSIVE SUBMARINE  ">
      <formula>NOT(ISERROR(SEARCH("THE SUBMISSIVE SUBMARINE  ",C37)))</formula>
    </cfRule>
  </conditionalFormatting>
  <conditionalFormatting sqref="B23">
    <cfRule type="containsText" dxfId="980" priority="195" operator="containsText" text="Gronks Retiremnt Party">
      <formula>NOT(ISERROR(SEARCH("Gronks Retiremnt Party",B23)))</formula>
    </cfRule>
    <cfRule type="containsText" dxfId="979" priority="196" operator="containsText" text="PK's Wet Dream Fantasy">
      <formula>NOT(ISERROR(SEARCH("PK's Wet Dream Fantasy",B23)))</formula>
    </cfRule>
    <cfRule type="containsText" dxfId="978" priority="197" operator="containsText" text="Goulden Johnson Morning Woods">
      <formula>NOT(ISERROR(SEARCH("Goulden Johnson Morning Woods",B23)))</formula>
    </cfRule>
    <cfRule type="containsText" dxfId="977" priority="198" operator="containsText" text="Da Adams Family">
      <formula>NOT(ISERROR(SEARCH("Da Adams Family",B23)))</formula>
    </cfRule>
    <cfRule type="containsText" dxfId="976" priority="199" operator="containsText" text="Benny’s Baby Back Bitches">
      <formula>NOT(ISERROR(SEARCH("Benny’s Baby Back Bitches",B23)))</formula>
    </cfRule>
    <cfRule type="containsText" dxfId="975" priority="200" operator="containsText" text="DJ Chark Doo Doo Doo Doo">
      <formula>NOT(ISERROR(SEARCH("DJ Chark Doo Doo Doo Doo",B23)))</formula>
    </cfRule>
    <cfRule type="containsText" dxfId="974" priority="201" operator="containsText" text="Pansexual Dead Bird Dildo">
      <formula>NOT(ISERROR(SEARCH("Pansexual Dead Bird Dildo",B23)))</formula>
    </cfRule>
    <cfRule type="containsText" dxfId="973" priority="202" operator="containsText" text="Lick My Lutz N’ Jack Me Goff">
      <formula>NOT(ISERROR(SEARCH("Lick My Lutz N’ Jack Me Goff",B23)))</formula>
    </cfRule>
    <cfRule type="containsText" dxfId="972" priority="203" operator="containsText" text="Canary In A Coleman">
      <formula>NOT(ISERROR(SEARCH("Canary In A Coleman",B23)))</formula>
    </cfRule>
    <cfRule type="containsText" dxfId="971" priority="204" operator="containsText" text="No Good Car Ideas">
      <formula>NOT(ISERROR(SEARCH("No Good Car Ideas",B23)))</formula>
    </cfRule>
    <cfRule type="containsText" dxfId="970" priority="205" operator="containsText" text="Quadsratic Formula">
      <formula>NOT(ISERROR(SEARCH("Quadsratic Formula",B23)))</formula>
    </cfRule>
    <cfRule type="containsText" dxfId="969" priority="206" operator="containsText" text="Carolina Colitis">
      <formula>NOT(ISERROR(SEARCH("Carolina Colitis",B23)))</formula>
    </cfRule>
    <cfRule type="containsText" dxfId="968" priority="207" operator="containsText" text="Lil MissyElliot Big Paycheck">
      <formula>NOT(ISERROR(SEARCH("Lil MissyElliot Big Paycheck",B23)))</formula>
    </cfRule>
    <cfRule type="containsText" dxfId="967" priority="208" operator="containsText" text="Victory Shawarma">
      <formula>NOT(ISERROR(SEARCH("Victory Shawarma",B23)))</formula>
    </cfRule>
    <cfRule type="containsText" dxfId="966" priority="209" operator="containsText" text="US Skol Command">
      <formula>NOT(ISERROR(SEARCH("US Skol Command",B23)))</formula>
    </cfRule>
    <cfRule type="containsText" dxfId="965" priority="210" operator="containsText" text="THE SUBMISSIVE SUBMARINE  ">
      <formula>NOT(ISERROR(SEARCH("THE SUBMISSIVE SUBMARINE  ",B23)))</formula>
    </cfRule>
  </conditionalFormatting>
  <conditionalFormatting sqref="C24">
    <cfRule type="containsText" dxfId="964" priority="179" operator="containsText" text="Gronks Retiremnt Party">
      <formula>NOT(ISERROR(SEARCH("Gronks Retiremnt Party",C24)))</formula>
    </cfRule>
    <cfRule type="containsText" dxfId="963" priority="180" operator="containsText" text="PK's Wet Dream Fantasy">
      <formula>NOT(ISERROR(SEARCH("PK's Wet Dream Fantasy",C24)))</formula>
    </cfRule>
    <cfRule type="containsText" dxfId="962" priority="181" operator="containsText" text="Goulden Johnson Morning Woods">
      <formula>NOT(ISERROR(SEARCH("Goulden Johnson Morning Woods",C24)))</formula>
    </cfRule>
    <cfRule type="containsText" dxfId="961" priority="182" operator="containsText" text="Da Adams Family">
      <formula>NOT(ISERROR(SEARCH("Da Adams Family",C24)))</formula>
    </cfRule>
    <cfRule type="containsText" dxfId="960" priority="183" operator="containsText" text="Benny’s Baby Back Bitches">
      <formula>NOT(ISERROR(SEARCH("Benny’s Baby Back Bitches",C24)))</formula>
    </cfRule>
    <cfRule type="containsText" dxfId="959" priority="184" operator="containsText" text="DJ Chark Doo Doo Doo Doo">
      <formula>NOT(ISERROR(SEARCH("DJ Chark Doo Doo Doo Doo",C24)))</formula>
    </cfRule>
    <cfRule type="containsText" dxfId="958" priority="185" operator="containsText" text="Pansexual Dead Bird Dildo">
      <formula>NOT(ISERROR(SEARCH("Pansexual Dead Bird Dildo",C24)))</formula>
    </cfRule>
    <cfRule type="containsText" dxfId="957" priority="186" operator="containsText" text="Lick My Lutz N’ Jack Me Goff">
      <formula>NOT(ISERROR(SEARCH("Lick My Lutz N’ Jack Me Goff",C24)))</formula>
    </cfRule>
    <cfRule type="containsText" dxfId="956" priority="187" operator="containsText" text="Canary In A Coleman">
      <formula>NOT(ISERROR(SEARCH("Canary In A Coleman",C24)))</formula>
    </cfRule>
    <cfRule type="containsText" dxfId="955" priority="188" operator="containsText" text="No Good Car Ideas">
      <formula>NOT(ISERROR(SEARCH("No Good Car Ideas",C24)))</formula>
    </cfRule>
    <cfRule type="containsText" dxfId="954" priority="189" operator="containsText" text="Quadsratic Formula">
      <formula>NOT(ISERROR(SEARCH("Quadsratic Formula",C24)))</formula>
    </cfRule>
    <cfRule type="containsText" dxfId="953" priority="190" operator="containsText" text="Carolina Colitis">
      <formula>NOT(ISERROR(SEARCH("Carolina Colitis",C24)))</formula>
    </cfRule>
    <cfRule type="containsText" dxfId="952" priority="191" operator="containsText" text="Lil MissyElliot Big Paycheck">
      <formula>NOT(ISERROR(SEARCH("Lil MissyElliot Big Paycheck",C24)))</formula>
    </cfRule>
    <cfRule type="containsText" dxfId="951" priority="192" operator="containsText" text="Victory Shawarma">
      <formula>NOT(ISERROR(SEARCH("Victory Shawarma",C24)))</formula>
    </cfRule>
    <cfRule type="containsText" dxfId="950" priority="193" operator="containsText" text="US Skol Command">
      <formula>NOT(ISERROR(SEARCH("US Skol Command",C24)))</formula>
    </cfRule>
    <cfRule type="containsText" dxfId="949" priority="194" operator="containsText" text="THE SUBMISSIVE SUBMARINE  ">
      <formula>NOT(ISERROR(SEARCH("THE SUBMISSIVE SUBMARINE  ",C24)))</formula>
    </cfRule>
  </conditionalFormatting>
  <conditionalFormatting sqref="D21:D55">
    <cfRule type="containsText" dxfId="948" priority="178" operator="containsText" text="DNP">
      <formula>NOT(ISERROR(SEARCH("DNP",D21)))</formula>
    </cfRule>
  </conditionalFormatting>
  <conditionalFormatting sqref="B22">
    <cfRule type="containsText" dxfId="947" priority="162" operator="containsText" text="Gronks Retiremnt Party">
      <formula>NOT(ISERROR(SEARCH("Gronks Retiremnt Party",B22)))</formula>
    </cfRule>
    <cfRule type="containsText" dxfId="946" priority="163" operator="containsText" text="PK's Wet Dream Fantasy">
      <formula>NOT(ISERROR(SEARCH("PK's Wet Dream Fantasy",B22)))</formula>
    </cfRule>
    <cfRule type="containsText" dxfId="945" priority="164" operator="containsText" text="Goulden Johnson Morning Woods">
      <formula>NOT(ISERROR(SEARCH("Goulden Johnson Morning Woods",B22)))</formula>
    </cfRule>
    <cfRule type="containsText" dxfId="944" priority="165" operator="containsText" text="Da Adams Family">
      <formula>NOT(ISERROR(SEARCH("Da Adams Family",B22)))</formula>
    </cfRule>
    <cfRule type="containsText" dxfId="943" priority="166" operator="containsText" text="Benny’s Baby Back Bitches">
      <formula>NOT(ISERROR(SEARCH("Benny’s Baby Back Bitches",B22)))</formula>
    </cfRule>
    <cfRule type="containsText" dxfId="942" priority="167" operator="containsText" text="DJ Chark Doo Doo Doo Doo">
      <formula>NOT(ISERROR(SEARCH("DJ Chark Doo Doo Doo Doo",B22)))</formula>
    </cfRule>
    <cfRule type="containsText" dxfId="941" priority="168" operator="containsText" text="Pansexual Dead Bird Dildo">
      <formula>NOT(ISERROR(SEARCH("Pansexual Dead Bird Dildo",B22)))</formula>
    </cfRule>
    <cfRule type="containsText" dxfId="940" priority="169" operator="containsText" text="Lick My Lutz N’ Jack Me Goff">
      <formula>NOT(ISERROR(SEARCH("Lick My Lutz N’ Jack Me Goff",B22)))</formula>
    </cfRule>
    <cfRule type="containsText" dxfId="939" priority="170" operator="containsText" text="Canary In A Coleman">
      <formula>NOT(ISERROR(SEARCH("Canary In A Coleman",B22)))</formula>
    </cfRule>
    <cfRule type="containsText" dxfId="938" priority="171" operator="containsText" text="No Good Car Ideas">
      <formula>NOT(ISERROR(SEARCH("No Good Car Ideas",B22)))</formula>
    </cfRule>
    <cfRule type="containsText" dxfId="937" priority="172" operator="containsText" text="Quadsratic Formula">
      <formula>NOT(ISERROR(SEARCH("Quadsratic Formula",B22)))</formula>
    </cfRule>
    <cfRule type="containsText" dxfId="936" priority="173" operator="containsText" text="Carolina Colitis">
      <formula>NOT(ISERROR(SEARCH("Carolina Colitis",B22)))</formula>
    </cfRule>
    <cfRule type="containsText" dxfId="935" priority="174" operator="containsText" text="Lil MissyElliot Big Paycheck">
      <formula>NOT(ISERROR(SEARCH("Lil MissyElliot Big Paycheck",B22)))</formula>
    </cfRule>
    <cfRule type="containsText" dxfId="934" priority="175" operator="containsText" text="Victory Shawarma">
      <formula>NOT(ISERROR(SEARCH("Victory Shawarma",B22)))</formula>
    </cfRule>
    <cfRule type="containsText" dxfId="933" priority="176" operator="containsText" text="US Skol Command">
      <formula>NOT(ISERROR(SEARCH("US Skol Command",B22)))</formula>
    </cfRule>
    <cfRule type="containsText" dxfId="932" priority="177" operator="containsText" text="THE SUBMISSIVE SUBMARINE  ">
      <formula>NOT(ISERROR(SEARCH("THE SUBMISSIVE SUBMARINE  ",B22)))</formula>
    </cfRule>
  </conditionalFormatting>
  <conditionalFormatting sqref="B27">
    <cfRule type="containsText" dxfId="931" priority="146" operator="containsText" text="Gronks Retiremnt Party">
      <formula>NOT(ISERROR(SEARCH("Gronks Retiremnt Party",B27)))</formula>
    </cfRule>
    <cfRule type="containsText" dxfId="930" priority="147" operator="containsText" text="PK's Wet Dream Fantasy">
      <formula>NOT(ISERROR(SEARCH("PK's Wet Dream Fantasy",B27)))</formula>
    </cfRule>
    <cfRule type="containsText" dxfId="929" priority="148" operator="containsText" text="Goulden Johnson Morning Woods">
      <formula>NOT(ISERROR(SEARCH("Goulden Johnson Morning Woods",B27)))</formula>
    </cfRule>
    <cfRule type="containsText" dxfId="928" priority="149" operator="containsText" text="Da Adams Family">
      <formula>NOT(ISERROR(SEARCH("Da Adams Family",B27)))</formula>
    </cfRule>
    <cfRule type="containsText" dxfId="927" priority="150" operator="containsText" text="Benny’s Baby Back Bitches">
      <formula>NOT(ISERROR(SEARCH("Benny’s Baby Back Bitches",B27)))</formula>
    </cfRule>
    <cfRule type="containsText" dxfId="926" priority="151" operator="containsText" text="DJ Chark Doo Doo Doo Doo">
      <formula>NOT(ISERROR(SEARCH("DJ Chark Doo Doo Doo Doo",B27)))</formula>
    </cfRule>
    <cfRule type="containsText" dxfId="925" priority="152" operator="containsText" text="Pansexual Dead Bird Dildo">
      <formula>NOT(ISERROR(SEARCH("Pansexual Dead Bird Dildo",B27)))</formula>
    </cfRule>
    <cfRule type="containsText" dxfId="924" priority="153" operator="containsText" text="Lick My Lutz N’ Jack Me Goff">
      <formula>NOT(ISERROR(SEARCH("Lick My Lutz N’ Jack Me Goff",B27)))</formula>
    </cfRule>
    <cfRule type="containsText" dxfId="923" priority="154" operator="containsText" text="Canary In A Coleman">
      <formula>NOT(ISERROR(SEARCH("Canary In A Coleman",B27)))</formula>
    </cfRule>
    <cfRule type="containsText" dxfId="922" priority="155" operator="containsText" text="No Good Car Ideas">
      <formula>NOT(ISERROR(SEARCH("No Good Car Ideas",B27)))</formula>
    </cfRule>
    <cfRule type="containsText" dxfId="921" priority="156" operator="containsText" text="Quadsratic Formula">
      <formula>NOT(ISERROR(SEARCH("Quadsratic Formula",B27)))</formula>
    </cfRule>
    <cfRule type="containsText" dxfId="920" priority="157" operator="containsText" text="Carolina Colitis">
      <formula>NOT(ISERROR(SEARCH("Carolina Colitis",B27)))</formula>
    </cfRule>
    <cfRule type="containsText" dxfId="919" priority="158" operator="containsText" text="Lil MissyElliot Big Paycheck">
      <formula>NOT(ISERROR(SEARCH("Lil MissyElliot Big Paycheck",B27)))</formula>
    </cfRule>
    <cfRule type="containsText" dxfId="918" priority="159" operator="containsText" text="Victory Shawarma">
      <formula>NOT(ISERROR(SEARCH("Victory Shawarma",B27)))</formula>
    </cfRule>
    <cfRule type="containsText" dxfId="917" priority="160" operator="containsText" text="US Skol Command">
      <formula>NOT(ISERROR(SEARCH("US Skol Command",B27)))</formula>
    </cfRule>
    <cfRule type="containsText" dxfId="916" priority="161" operator="containsText" text="THE SUBMISSIVE SUBMARINE  ">
      <formula>NOT(ISERROR(SEARCH("THE SUBMISSIVE SUBMARINE  ",B27)))</formula>
    </cfRule>
  </conditionalFormatting>
  <conditionalFormatting sqref="C28">
    <cfRule type="containsText" dxfId="915" priority="130" operator="containsText" text="Gronks Retiremnt Party">
      <formula>NOT(ISERROR(SEARCH("Gronks Retiremnt Party",C28)))</formula>
    </cfRule>
    <cfRule type="containsText" dxfId="914" priority="131" operator="containsText" text="PK's Wet Dream Fantasy">
      <formula>NOT(ISERROR(SEARCH("PK's Wet Dream Fantasy",C28)))</formula>
    </cfRule>
    <cfRule type="containsText" dxfId="913" priority="132" operator="containsText" text="Goulden Johnson Morning Woods">
      <formula>NOT(ISERROR(SEARCH("Goulden Johnson Morning Woods",C28)))</formula>
    </cfRule>
    <cfRule type="containsText" dxfId="912" priority="133" operator="containsText" text="Da Adams Family">
      <formula>NOT(ISERROR(SEARCH("Da Adams Family",C28)))</formula>
    </cfRule>
    <cfRule type="containsText" dxfId="911" priority="134" operator="containsText" text="Benny’s Baby Back Bitches">
      <formula>NOT(ISERROR(SEARCH("Benny’s Baby Back Bitches",C28)))</formula>
    </cfRule>
    <cfRule type="containsText" dxfId="910" priority="135" operator="containsText" text="DJ Chark Doo Doo Doo Doo">
      <formula>NOT(ISERROR(SEARCH("DJ Chark Doo Doo Doo Doo",C28)))</formula>
    </cfRule>
    <cfRule type="containsText" dxfId="909" priority="136" operator="containsText" text="Pansexual Dead Bird Dildo">
      <formula>NOT(ISERROR(SEARCH("Pansexual Dead Bird Dildo",C28)))</formula>
    </cfRule>
    <cfRule type="containsText" dxfId="908" priority="137" operator="containsText" text="Lick My Lutz N’ Jack Me Goff">
      <formula>NOT(ISERROR(SEARCH("Lick My Lutz N’ Jack Me Goff",C28)))</formula>
    </cfRule>
    <cfRule type="containsText" dxfId="907" priority="138" operator="containsText" text="Canary In A Coleman">
      <formula>NOT(ISERROR(SEARCH("Canary In A Coleman",C28)))</formula>
    </cfRule>
    <cfRule type="containsText" dxfId="906" priority="139" operator="containsText" text="No Good Car Ideas">
      <formula>NOT(ISERROR(SEARCH("No Good Car Ideas",C28)))</formula>
    </cfRule>
    <cfRule type="containsText" dxfId="905" priority="140" operator="containsText" text="Quadsratic Formula">
      <formula>NOT(ISERROR(SEARCH("Quadsratic Formula",C28)))</formula>
    </cfRule>
    <cfRule type="containsText" dxfId="904" priority="141" operator="containsText" text="Carolina Colitis">
      <formula>NOT(ISERROR(SEARCH("Carolina Colitis",C28)))</formula>
    </cfRule>
    <cfRule type="containsText" dxfId="903" priority="142" operator="containsText" text="Lil MissyElliot Big Paycheck">
      <formula>NOT(ISERROR(SEARCH("Lil MissyElliot Big Paycheck",C28)))</formula>
    </cfRule>
    <cfRule type="containsText" dxfId="902" priority="143" operator="containsText" text="Victory Shawarma">
      <formula>NOT(ISERROR(SEARCH("Victory Shawarma",C28)))</formula>
    </cfRule>
    <cfRule type="containsText" dxfId="901" priority="144" operator="containsText" text="US Skol Command">
      <formula>NOT(ISERROR(SEARCH("US Skol Command",C28)))</formula>
    </cfRule>
    <cfRule type="containsText" dxfId="900" priority="145" operator="containsText" text="THE SUBMISSIVE SUBMARINE  ">
      <formula>NOT(ISERROR(SEARCH("THE SUBMISSIVE SUBMARINE  ",C28)))</formula>
    </cfRule>
  </conditionalFormatting>
  <conditionalFormatting sqref="B31">
    <cfRule type="containsText" dxfId="899" priority="114" operator="containsText" text="Gronks Retiremnt Party">
      <formula>NOT(ISERROR(SEARCH("Gronks Retiremnt Party",B31)))</formula>
    </cfRule>
    <cfRule type="containsText" dxfId="898" priority="115" operator="containsText" text="PK's Wet Dream Fantasy">
      <formula>NOT(ISERROR(SEARCH("PK's Wet Dream Fantasy",B31)))</formula>
    </cfRule>
    <cfRule type="containsText" dxfId="897" priority="116" operator="containsText" text="Goulden Johnson Morning Woods">
      <formula>NOT(ISERROR(SEARCH("Goulden Johnson Morning Woods",B31)))</formula>
    </cfRule>
    <cfRule type="containsText" dxfId="896" priority="117" operator="containsText" text="Da Adams Family">
      <formula>NOT(ISERROR(SEARCH("Da Adams Family",B31)))</formula>
    </cfRule>
    <cfRule type="containsText" dxfId="895" priority="118" operator="containsText" text="Benny’s Baby Back Bitches">
      <formula>NOT(ISERROR(SEARCH("Benny’s Baby Back Bitches",B31)))</formula>
    </cfRule>
    <cfRule type="containsText" dxfId="894" priority="119" operator="containsText" text="DJ Chark Doo Doo Doo Doo">
      <formula>NOT(ISERROR(SEARCH("DJ Chark Doo Doo Doo Doo",B31)))</formula>
    </cfRule>
    <cfRule type="containsText" dxfId="893" priority="120" operator="containsText" text="Pansexual Dead Bird Dildo">
      <formula>NOT(ISERROR(SEARCH("Pansexual Dead Bird Dildo",B31)))</formula>
    </cfRule>
    <cfRule type="containsText" dxfId="892" priority="121" operator="containsText" text="Lick My Lutz N’ Jack Me Goff">
      <formula>NOT(ISERROR(SEARCH("Lick My Lutz N’ Jack Me Goff",B31)))</formula>
    </cfRule>
    <cfRule type="containsText" dxfId="891" priority="122" operator="containsText" text="Canary In A Coleman">
      <formula>NOT(ISERROR(SEARCH("Canary In A Coleman",B31)))</formula>
    </cfRule>
    <cfRule type="containsText" dxfId="890" priority="123" operator="containsText" text="No Good Car Ideas">
      <formula>NOT(ISERROR(SEARCH("No Good Car Ideas",B31)))</formula>
    </cfRule>
    <cfRule type="containsText" dxfId="889" priority="124" operator="containsText" text="Quadsratic Formula">
      <formula>NOT(ISERROR(SEARCH("Quadsratic Formula",B31)))</formula>
    </cfRule>
    <cfRule type="containsText" dxfId="888" priority="125" operator="containsText" text="Carolina Colitis">
      <formula>NOT(ISERROR(SEARCH("Carolina Colitis",B31)))</formula>
    </cfRule>
    <cfRule type="containsText" dxfId="887" priority="126" operator="containsText" text="Lil MissyElliot Big Paycheck">
      <formula>NOT(ISERROR(SEARCH("Lil MissyElliot Big Paycheck",B31)))</formula>
    </cfRule>
    <cfRule type="containsText" dxfId="886" priority="127" operator="containsText" text="Victory Shawarma">
      <formula>NOT(ISERROR(SEARCH("Victory Shawarma",B31)))</formula>
    </cfRule>
    <cfRule type="containsText" dxfId="885" priority="128" operator="containsText" text="US Skol Command">
      <formula>NOT(ISERROR(SEARCH("US Skol Command",B31)))</formula>
    </cfRule>
    <cfRule type="containsText" dxfId="884" priority="129" operator="containsText" text="THE SUBMISSIVE SUBMARINE  ">
      <formula>NOT(ISERROR(SEARCH("THE SUBMISSIVE SUBMARINE  ",B31)))</formula>
    </cfRule>
  </conditionalFormatting>
  <conditionalFormatting sqref="B33">
    <cfRule type="containsText" dxfId="883" priority="98" operator="containsText" text="Gronks Retiremnt Party">
      <formula>NOT(ISERROR(SEARCH("Gronks Retiremnt Party",B33)))</formula>
    </cfRule>
    <cfRule type="containsText" dxfId="882" priority="99" operator="containsText" text="PK's Wet Dream Fantasy">
      <formula>NOT(ISERROR(SEARCH("PK's Wet Dream Fantasy",B33)))</formula>
    </cfRule>
    <cfRule type="containsText" dxfId="881" priority="100" operator="containsText" text="Goulden Johnson Morning Woods">
      <formula>NOT(ISERROR(SEARCH("Goulden Johnson Morning Woods",B33)))</formula>
    </cfRule>
    <cfRule type="containsText" dxfId="880" priority="101" operator="containsText" text="Da Adams Family">
      <formula>NOT(ISERROR(SEARCH("Da Adams Family",B33)))</formula>
    </cfRule>
    <cfRule type="containsText" dxfId="879" priority="102" operator="containsText" text="Benny’s Baby Back Bitches">
      <formula>NOT(ISERROR(SEARCH("Benny’s Baby Back Bitches",B33)))</formula>
    </cfRule>
    <cfRule type="containsText" dxfId="878" priority="103" operator="containsText" text="DJ Chark Doo Doo Doo Doo">
      <formula>NOT(ISERROR(SEARCH("DJ Chark Doo Doo Doo Doo",B33)))</formula>
    </cfRule>
    <cfRule type="containsText" dxfId="877" priority="104" operator="containsText" text="Pansexual Dead Bird Dildo">
      <formula>NOT(ISERROR(SEARCH("Pansexual Dead Bird Dildo",B33)))</formula>
    </cfRule>
    <cfRule type="containsText" dxfId="876" priority="105" operator="containsText" text="Lick My Lutz N’ Jack Me Goff">
      <formula>NOT(ISERROR(SEARCH("Lick My Lutz N’ Jack Me Goff",B33)))</formula>
    </cfRule>
    <cfRule type="containsText" dxfId="875" priority="106" operator="containsText" text="Canary In A Coleman">
      <formula>NOT(ISERROR(SEARCH("Canary In A Coleman",B33)))</formula>
    </cfRule>
    <cfRule type="containsText" dxfId="874" priority="107" operator="containsText" text="No Good Car Ideas">
      <formula>NOT(ISERROR(SEARCH("No Good Car Ideas",B33)))</formula>
    </cfRule>
    <cfRule type="containsText" dxfId="873" priority="108" operator="containsText" text="Quadsratic Formula">
      <formula>NOT(ISERROR(SEARCH("Quadsratic Formula",B33)))</formula>
    </cfRule>
    <cfRule type="containsText" dxfId="872" priority="109" operator="containsText" text="Carolina Colitis">
      <formula>NOT(ISERROR(SEARCH("Carolina Colitis",B33)))</formula>
    </cfRule>
    <cfRule type="containsText" dxfId="871" priority="110" operator="containsText" text="Lil MissyElliot Big Paycheck">
      <formula>NOT(ISERROR(SEARCH("Lil MissyElliot Big Paycheck",B33)))</formula>
    </cfRule>
    <cfRule type="containsText" dxfId="870" priority="111" operator="containsText" text="Victory Shawarma">
      <formula>NOT(ISERROR(SEARCH("Victory Shawarma",B33)))</formula>
    </cfRule>
    <cfRule type="containsText" dxfId="869" priority="112" operator="containsText" text="US Skol Command">
      <formula>NOT(ISERROR(SEARCH("US Skol Command",B33)))</formula>
    </cfRule>
    <cfRule type="containsText" dxfId="868" priority="113" operator="containsText" text="THE SUBMISSIVE SUBMARINE  ">
      <formula>NOT(ISERROR(SEARCH("THE SUBMISSIVE SUBMARINE  ",B33)))</formula>
    </cfRule>
  </conditionalFormatting>
  <conditionalFormatting sqref="B32">
    <cfRule type="containsText" dxfId="867" priority="82" operator="containsText" text="Gronks Retiremnt Party">
      <formula>NOT(ISERROR(SEARCH("Gronks Retiremnt Party",B32)))</formula>
    </cfRule>
    <cfRule type="containsText" dxfId="866" priority="83" operator="containsText" text="PK's Wet Dream Fantasy">
      <formula>NOT(ISERROR(SEARCH("PK's Wet Dream Fantasy",B32)))</formula>
    </cfRule>
    <cfRule type="containsText" dxfId="865" priority="84" operator="containsText" text="Goulden Johnson Morning Woods">
      <formula>NOT(ISERROR(SEARCH("Goulden Johnson Morning Woods",B32)))</formula>
    </cfRule>
    <cfRule type="containsText" dxfId="864" priority="85" operator="containsText" text="Da Adams Family">
      <formula>NOT(ISERROR(SEARCH("Da Adams Family",B32)))</formula>
    </cfRule>
    <cfRule type="containsText" dxfId="863" priority="86" operator="containsText" text="Benny’s Baby Back Bitches">
      <formula>NOT(ISERROR(SEARCH("Benny’s Baby Back Bitches",B32)))</formula>
    </cfRule>
    <cfRule type="containsText" dxfId="862" priority="87" operator="containsText" text="DJ Chark Doo Doo Doo Doo">
      <formula>NOT(ISERROR(SEARCH("DJ Chark Doo Doo Doo Doo",B32)))</formula>
    </cfRule>
    <cfRule type="containsText" dxfId="861" priority="88" operator="containsText" text="Pansexual Dead Bird Dildo">
      <formula>NOT(ISERROR(SEARCH("Pansexual Dead Bird Dildo",B32)))</formula>
    </cfRule>
    <cfRule type="containsText" dxfId="860" priority="89" operator="containsText" text="Lick My Lutz N’ Jack Me Goff">
      <formula>NOT(ISERROR(SEARCH("Lick My Lutz N’ Jack Me Goff",B32)))</formula>
    </cfRule>
    <cfRule type="containsText" dxfId="859" priority="90" operator="containsText" text="Canary In A Coleman">
      <formula>NOT(ISERROR(SEARCH("Canary In A Coleman",B32)))</formula>
    </cfRule>
    <cfRule type="containsText" dxfId="858" priority="91" operator="containsText" text="No Good Car Ideas">
      <formula>NOT(ISERROR(SEARCH("No Good Car Ideas",B32)))</formula>
    </cfRule>
    <cfRule type="containsText" dxfId="857" priority="92" operator="containsText" text="Quadsratic Formula">
      <formula>NOT(ISERROR(SEARCH("Quadsratic Formula",B32)))</formula>
    </cfRule>
    <cfRule type="containsText" dxfId="856" priority="93" operator="containsText" text="Carolina Colitis">
      <formula>NOT(ISERROR(SEARCH("Carolina Colitis",B32)))</formula>
    </cfRule>
    <cfRule type="containsText" dxfId="855" priority="94" operator="containsText" text="Lil MissyElliot Big Paycheck">
      <formula>NOT(ISERROR(SEARCH("Lil MissyElliot Big Paycheck",B32)))</formula>
    </cfRule>
    <cfRule type="containsText" dxfId="854" priority="95" operator="containsText" text="Victory Shawarma">
      <formula>NOT(ISERROR(SEARCH("Victory Shawarma",B32)))</formula>
    </cfRule>
    <cfRule type="containsText" dxfId="853" priority="96" operator="containsText" text="US Skol Command">
      <formula>NOT(ISERROR(SEARCH("US Skol Command",B32)))</formula>
    </cfRule>
    <cfRule type="containsText" dxfId="852" priority="97" operator="containsText" text="THE SUBMISSIVE SUBMARINE  ">
      <formula>NOT(ISERROR(SEARCH("THE SUBMISSIVE SUBMARINE  ",B32)))</formula>
    </cfRule>
  </conditionalFormatting>
  <conditionalFormatting sqref="C56:C57 C61:C71 C93:C105 C109:C121 C125:C137 C141:C153 C157:C169 C173:C175">
    <cfRule type="containsText" dxfId="851" priority="66" operator="containsText" text="Gronks Retiremnt Party">
      <formula>NOT(ISERROR(SEARCH("Gronks Retiremnt Party",C56)))</formula>
    </cfRule>
    <cfRule type="containsText" dxfId="850" priority="67" operator="containsText" text="PK's Wet Dream Fantasy">
      <formula>NOT(ISERROR(SEARCH("PK's Wet Dream Fantasy",C56)))</formula>
    </cfRule>
    <cfRule type="containsText" dxfId="849" priority="68" operator="containsText" text="Goulden Johnson Morning Woods">
      <formula>NOT(ISERROR(SEARCH("Goulden Johnson Morning Woods",C56)))</formula>
    </cfRule>
    <cfRule type="containsText" dxfId="848" priority="69" operator="containsText" text="Da Adams Family">
      <formula>NOT(ISERROR(SEARCH("Da Adams Family",C56)))</formula>
    </cfRule>
    <cfRule type="containsText" dxfId="847" priority="70" operator="containsText" text="Benny’s Baby Back Bitches">
      <formula>NOT(ISERROR(SEARCH("Benny’s Baby Back Bitches",C56)))</formula>
    </cfRule>
    <cfRule type="containsText" dxfId="846" priority="71" operator="containsText" text="DJ Chark Doo Doo Doo Doo">
      <formula>NOT(ISERROR(SEARCH("DJ Chark Doo Doo Doo Doo",C56)))</formula>
    </cfRule>
    <cfRule type="containsText" dxfId="845" priority="72" operator="containsText" text="Pansexual Dead Bird Dildo">
      <formula>NOT(ISERROR(SEARCH("Pansexual Dead Bird Dildo",C56)))</formula>
    </cfRule>
    <cfRule type="containsText" dxfId="844" priority="73" operator="containsText" text="Lick My Lutz N’ Jack Me Goff">
      <formula>NOT(ISERROR(SEARCH("Lick My Lutz N’ Jack Me Goff",C56)))</formula>
    </cfRule>
    <cfRule type="containsText" dxfId="843" priority="74" operator="containsText" text="Canary In A Coleman">
      <formula>NOT(ISERROR(SEARCH("Canary In A Coleman",C56)))</formula>
    </cfRule>
    <cfRule type="containsText" dxfId="842" priority="75" operator="containsText" text="No Good Car Ideas">
      <formula>NOT(ISERROR(SEARCH("No Good Car Ideas",C56)))</formula>
    </cfRule>
    <cfRule type="containsText" dxfId="841" priority="76" operator="containsText" text="Quadsratic Formula">
      <formula>NOT(ISERROR(SEARCH("Quadsratic Formula",C56)))</formula>
    </cfRule>
    <cfRule type="containsText" dxfId="840" priority="77" operator="containsText" text="Carolina Colitis">
      <formula>NOT(ISERROR(SEARCH("Carolina Colitis",C56)))</formula>
    </cfRule>
    <cfRule type="containsText" dxfId="839" priority="78" operator="containsText" text="Lil MissyElliot Big Paycheck">
      <formula>NOT(ISERROR(SEARCH("Lil MissyElliot Big Paycheck",C56)))</formula>
    </cfRule>
    <cfRule type="containsText" dxfId="838" priority="79" operator="containsText" text="Victory Shawarma">
      <formula>NOT(ISERROR(SEARCH("Victory Shawarma",C56)))</formula>
    </cfRule>
    <cfRule type="containsText" dxfId="837" priority="80" operator="containsText" text="US Skol Command">
      <formula>NOT(ISERROR(SEARCH("US Skol Command",C56)))</formula>
    </cfRule>
    <cfRule type="containsText" dxfId="836" priority="81" operator="containsText" text="THE SUBMISSIVE SUBMARINE  ">
      <formula>NOT(ISERROR(SEARCH("THE SUBMISSIVE SUBMARINE  ",C56)))</formula>
    </cfRule>
  </conditionalFormatting>
  <conditionalFormatting sqref="D56:D175">
    <cfRule type="containsText" dxfId="835" priority="65" operator="containsText" text="DNP">
      <formula>NOT(ISERROR(SEARCH("DNP",D56)))</formula>
    </cfRule>
  </conditionalFormatting>
  <conditionalFormatting sqref="C72:C73 C77:C87">
    <cfRule type="containsText" dxfId="834" priority="49" operator="containsText" text="Gronks Retiremnt Party">
      <formula>NOT(ISERROR(SEARCH("Gronks Retiremnt Party",C72)))</formula>
    </cfRule>
    <cfRule type="containsText" dxfId="833" priority="50" operator="containsText" text="PK's Wet Dream Fantasy">
      <formula>NOT(ISERROR(SEARCH("PK's Wet Dream Fantasy",C72)))</formula>
    </cfRule>
    <cfRule type="containsText" dxfId="832" priority="51" operator="containsText" text="Goulden Johnson Morning Woods">
      <formula>NOT(ISERROR(SEARCH("Goulden Johnson Morning Woods",C72)))</formula>
    </cfRule>
    <cfRule type="containsText" dxfId="831" priority="52" operator="containsText" text="Da Adams Family">
      <formula>NOT(ISERROR(SEARCH("Da Adams Family",C72)))</formula>
    </cfRule>
    <cfRule type="containsText" dxfId="830" priority="53" operator="containsText" text="Benny’s Baby Back Bitches">
      <formula>NOT(ISERROR(SEARCH("Benny’s Baby Back Bitches",C72)))</formula>
    </cfRule>
    <cfRule type="containsText" dxfId="829" priority="54" operator="containsText" text="DJ Chark Doo Doo Doo Doo">
      <formula>NOT(ISERROR(SEARCH("DJ Chark Doo Doo Doo Doo",C72)))</formula>
    </cfRule>
    <cfRule type="containsText" dxfId="828" priority="55" operator="containsText" text="Pansexual Dead Bird Dildo">
      <formula>NOT(ISERROR(SEARCH("Pansexual Dead Bird Dildo",C72)))</formula>
    </cfRule>
    <cfRule type="containsText" dxfId="827" priority="56" operator="containsText" text="Lick My Lutz N’ Jack Me Goff">
      <formula>NOT(ISERROR(SEARCH("Lick My Lutz N’ Jack Me Goff",C72)))</formula>
    </cfRule>
    <cfRule type="containsText" dxfId="826" priority="57" operator="containsText" text="Canary In A Coleman">
      <formula>NOT(ISERROR(SEARCH("Canary In A Coleman",C72)))</formula>
    </cfRule>
    <cfRule type="containsText" dxfId="825" priority="58" operator="containsText" text="No Good Car Ideas">
      <formula>NOT(ISERROR(SEARCH("No Good Car Ideas",C72)))</formula>
    </cfRule>
    <cfRule type="containsText" dxfId="824" priority="59" operator="containsText" text="Quadsratic Formula">
      <formula>NOT(ISERROR(SEARCH("Quadsratic Formula",C72)))</formula>
    </cfRule>
    <cfRule type="containsText" dxfId="823" priority="60" operator="containsText" text="Carolina Colitis">
      <formula>NOT(ISERROR(SEARCH("Carolina Colitis",C72)))</formula>
    </cfRule>
    <cfRule type="containsText" dxfId="822" priority="61" operator="containsText" text="Lil MissyElliot Big Paycheck">
      <formula>NOT(ISERROR(SEARCH("Lil MissyElliot Big Paycheck",C72)))</formula>
    </cfRule>
    <cfRule type="containsText" dxfId="821" priority="62" operator="containsText" text="Victory Shawarma">
      <formula>NOT(ISERROR(SEARCH("Victory Shawarma",C72)))</formula>
    </cfRule>
    <cfRule type="containsText" dxfId="820" priority="63" operator="containsText" text="US Skol Command">
      <formula>NOT(ISERROR(SEARCH("US Skol Command",C72)))</formula>
    </cfRule>
    <cfRule type="containsText" dxfId="819" priority="64" operator="containsText" text="THE SUBMISSIVE SUBMARINE  ">
      <formula>NOT(ISERROR(SEARCH("THE SUBMISSIVE SUBMARINE  ",C72)))</formula>
    </cfRule>
  </conditionalFormatting>
  <conditionalFormatting sqref="B88">
    <cfRule type="containsText" dxfId="818" priority="33" operator="containsText" text="Gronks Retiremnt Party">
      <formula>NOT(ISERROR(SEARCH("Gronks Retiremnt Party",B88)))</formula>
    </cfRule>
    <cfRule type="containsText" dxfId="817" priority="34" operator="containsText" text="PK's Wet Dream Fantasy">
      <formula>NOT(ISERROR(SEARCH("PK's Wet Dream Fantasy",B88)))</formula>
    </cfRule>
    <cfRule type="containsText" dxfId="816" priority="35" operator="containsText" text="Goulden Johnson Morning Woods">
      <formula>NOT(ISERROR(SEARCH("Goulden Johnson Morning Woods",B88)))</formula>
    </cfRule>
    <cfRule type="containsText" dxfId="815" priority="36" operator="containsText" text="Da Adams Family">
      <formula>NOT(ISERROR(SEARCH("Da Adams Family",B88)))</formula>
    </cfRule>
    <cfRule type="containsText" dxfId="814" priority="37" operator="containsText" text="Benny’s Baby Back Bitches">
      <formula>NOT(ISERROR(SEARCH("Benny’s Baby Back Bitches",B88)))</formula>
    </cfRule>
    <cfRule type="containsText" dxfId="813" priority="38" operator="containsText" text="DJ Chark Doo Doo Doo Doo">
      <formula>NOT(ISERROR(SEARCH("DJ Chark Doo Doo Doo Doo",B88)))</formula>
    </cfRule>
    <cfRule type="containsText" dxfId="812" priority="39" operator="containsText" text="Pansexual Dead Bird Dildo">
      <formula>NOT(ISERROR(SEARCH("Pansexual Dead Bird Dildo",B88)))</formula>
    </cfRule>
    <cfRule type="containsText" dxfId="811" priority="40" operator="containsText" text="Lick My Lutz N’ Jack Me Goff">
      <formula>NOT(ISERROR(SEARCH("Lick My Lutz N’ Jack Me Goff",B88)))</formula>
    </cfRule>
    <cfRule type="containsText" dxfId="810" priority="41" operator="containsText" text="Canary In A Coleman">
      <formula>NOT(ISERROR(SEARCH("Canary In A Coleman",B88)))</formula>
    </cfRule>
    <cfRule type="containsText" dxfId="809" priority="42" operator="containsText" text="No Good Car Ideas">
      <formula>NOT(ISERROR(SEARCH("No Good Car Ideas",B88)))</formula>
    </cfRule>
    <cfRule type="containsText" dxfId="808" priority="43" operator="containsText" text="Quadsratic Formula">
      <formula>NOT(ISERROR(SEARCH("Quadsratic Formula",B88)))</formula>
    </cfRule>
    <cfRule type="containsText" dxfId="807" priority="44" operator="containsText" text="Carolina Colitis">
      <formula>NOT(ISERROR(SEARCH("Carolina Colitis",B88)))</formula>
    </cfRule>
    <cfRule type="containsText" dxfId="806" priority="45" operator="containsText" text="Lil MissyElliot Big Paycheck">
      <formula>NOT(ISERROR(SEARCH("Lil MissyElliot Big Paycheck",B88)))</formula>
    </cfRule>
    <cfRule type="containsText" dxfId="805" priority="46" operator="containsText" text="Victory Shawarma">
      <formula>NOT(ISERROR(SEARCH("Victory Shawarma",B88)))</formula>
    </cfRule>
    <cfRule type="containsText" dxfId="804" priority="47" operator="containsText" text="US Skol Command">
      <formula>NOT(ISERROR(SEARCH("US Skol Command",B88)))</formula>
    </cfRule>
    <cfRule type="containsText" dxfId="803" priority="48" operator="containsText" text="THE SUBMISSIVE SUBMARINE  ">
      <formula>NOT(ISERROR(SEARCH("THE SUBMISSIVE SUBMARINE  ",B88)))</formula>
    </cfRule>
  </conditionalFormatting>
  <conditionalFormatting sqref="B90">
    <cfRule type="containsText" dxfId="802" priority="17" operator="containsText" text="Gronks Retiremnt Party">
      <formula>NOT(ISERROR(SEARCH("Gronks Retiremnt Party",B90)))</formula>
    </cfRule>
    <cfRule type="containsText" dxfId="801" priority="18" operator="containsText" text="PK's Wet Dream Fantasy">
      <formula>NOT(ISERROR(SEARCH("PK's Wet Dream Fantasy",B90)))</formula>
    </cfRule>
    <cfRule type="containsText" dxfId="800" priority="19" operator="containsText" text="Goulden Johnson Morning Woods">
      <formula>NOT(ISERROR(SEARCH("Goulden Johnson Morning Woods",B90)))</formula>
    </cfRule>
    <cfRule type="containsText" dxfId="799" priority="20" operator="containsText" text="Da Adams Family">
      <formula>NOT(ISERROR(SEARCH("Da Adams Family",B90)))</formula>
    </cfRule>
    <cfRule type="containsText" dxfId="798" priority="21" operator="containsText" text="Benny’s Baby Back Bitches">
      <formula>NOT(ISERROR(SEARCH("Benny’s Baby Back Bitches",B90)))</formula>
    </cfRule>
    <cfRule type="containsText" dxfId="797" priority="22" operator="containsText" text="DJ Chark Doo Doo Doo Doo">
      <formula>NOT(ISERROR(SEARCH("DJ Chark Doo Doo Doo Doo",B90)))</formula>
    </cfRule>
    <cfRule type="containsText" dxfId="796" priority="23" operator="containsText" text="Pansexual Dead Bird Dildo">
      <formula>NOT(ISERROR(SEARCH("Pansexual Dead Bird Dildo",B90)))</formula>
    </cfRule>
    <cfRule type="containsText" dxfId="795" priority="24" operator="containsText" text="Lick My Lutz N’ Jack Me Goff">
      <formula>NOT(ISERROR(SEARCH("Lick My Lutz N’ Jack Me Goff",B90)))</formula>
    </cfRule>
    <cfRule type="containsText" dxfId="794" priority="25" operator="containsText" text="Canary In A Coleman">
      <formula>NOT(ISERROR(SEARCH("Canary In A Coleman",B90)))</formula>
    </cfRule>
    <cfRule type="containsText" dxfId="793" priority="26" operator="containsText" text="No Good Car Ideas">
      <formula>NOT(ISERROR(SEARCH("No Good Car Ideas",B90)))</formula>
    </cfRule>
    <cfRule type="containsText" dxfId="792" priority="27" operator="containsText" text="Quadsratic Formula">
      <formula>NOT(ISERROR(SEARCH("Quadsratic Formula",B90)))</formula>
    </cfRule>
    <cfRule type="containsText" dxfId="791" priority="28" operator="containsText" text="Carolina Colitis">
      <formula>NOT(ISERROR(SEARCH("Carolina Colitis",B90)))</formula>
    </cfRule>
    <cfRule type="containsText" dxfId="790" priority="29" operator="containsText" text="Lil MissyElliot Big Paycheck">
      <formula>NOT(ISERROR(SEARCH("Lil MissyElliot Big Paycheck",B90)))</formula>
    </cfRule>
    <cfRule type="containsText" dxfId="789" priority="30" operator="containsText" text="Victory Shawarma">
      <formula>NOT(ISERROR(SEARCH("Victory Shawarma",B90)))</formula>
    </cfRule>
    <cfRule type="containsText" dxfId="788" priority="31" operator="containsText" text="US Skol Command">
      <formula>NOT(ISERROR(SEARCH("US Skol Command",B90)))</formula>
    </cfRule>
    <cfRule type="containsText" dxfId="787" priority="32" operator="containsText" text="THE SUBMISSIVE SUBMARINE  ">
      <formula>NOT(ISERROR(SEARCH("THE SUBMISSIVE SUBMARINE  ",B90)))</formula>
    </cfRule>
  </conditionalFormatting>
  <conditionalFormatting sqref="B89">
    <cfRule type="containsText" dxfId="786" priority="1" operator="containsText" text="Gronks Retiremnt Party">
      <formula>NOT(ISERROR(SEARCH("Gronks Retiremnt Party",B89)))</formula>
    </cfRule>
    <cfRule type="containsText" dxfId="785" priority="2" operator="containsText" text="PK's Wet Dream Fantasy">
      <formula>NOT(ISERROR(SEARCH("PK's Wet Dream Fantasy",B89)))</formula>
    </cfRule>
    <cfRule type="containsText" dxfId="784" priority="3" operator="containsText" text="Goulden Johnson Morning Woods">
      <formula>NOT(ISERROR(SEARCH("Goulden Johnson Morning Woods",B89)))</formula>
    </cfRule>
    <cfRule type="containsText" dxfId="783" priority="4" operator="containsText" text="Da Adams Family">
      <formula>NOT(ISERROR(SEARCH("Da Adams Family",B89)))</formula>
    </cfRule>
    <cfRule type="containsText" dxfId="782" priority="5" operator="containsText" text="Benny’s Baby Back Bitches">
      <formula>NOT(ISERROR(SEARCH("Benny’s Baby Back Bitches",B89)))</formula>
    </cfRule>
    <cfRule type="containsText" dxfId="781" priority="6" operator="containsText" text="DJ Chark Doo Doo Doo Doo">
      <formula>NOT(ISERROR(SEARCH("DJ Chark Doo Doo Doo Doo",B89)))</formula>
    </cfRule>
    <cfRule type="containsText" dxfId="780" priority="7" operator="containsText" text="Pansexual Dead Bird Dildo">
      <formula>NOT(ISERROR(SEARCH("Pansexual Dead Bird Dildo",B89)))</formula>
    </cfRule>
    <cfRule type="containsText" dxfId="779" priority="8" operator="containsText" text="Lick My Lutz N’ Jack Me Goff">
      <formula>NOT(ISERROR(SEARCH("Lick My Lutz N’ Jack Me Goff",B89)))</formula>
    </cfRule>
    <cfRule type="containsText" dxfId="778" priority="9" operator="containsText" text="Canary In A Coleman">
      <formula>NOT(ISERROR(SEARCH("Canary In A Coleman",B89)))</formula>
    </cfRule>
    <cfRule type="containsText" dxfId="777" priority="10" operator="containsText" text="No Good Car Ideas">
      <formula>NOT(ISERROR(SEARCH("No Good Car Ideas",B89)))</formula>
    </cfRule>
    <cfRule type="containsText" dxfId="776" priority="11" operator="containsText" text="Quadsratic Formula">
      <formula>NOT(ISERROR(SEARCH("Quadsratic Formula",B89)))</formula>
    </cfRule>
    <cfRule type="containsText" dxfId="775" priority="12" operator="containsText" text="Carolina Colitis">
      <formula>NOT(ISERROR(SEARCH("Carolina Colitis",B89)))</formula>
    </cfRule>
    <cfRule type="containsText" dxfId="774" priority="13" operator="containsText" text="Lil MissyElliot Big Paycheck">
      <formula>NOT(ISERROR(SEARCH("Lil MissyElliot Big Paycheck",B89)))</formula>
    </cfRule>
    <cfRule type="containsText" dxfId="773" priority="14" operator="containsText" text="Victory Shawarma">
      <formula>NOT(ISERROR(SEARCH("Victory Shawarma",B89)))</formula>
    </cfRule>
    <cfRule type="containsText" dxfId="772" priority="15" operator="containsText" text="US Skol Command">
      <formula>NOT(ISERROR(SEARCH("US Skol Command",B89)))</formula>
    </cfRule>
    <cfRule type="containsText" dxfId="771" priority="16" operator="containsText" text="THE SUBMISSIVE SUBMARINE  ">
      <formula>NOT(ISERROR(SEARCH("THE SUBMISSIVE SUBMARINE  ",B89)))</formula>
    </cfRule>
  </conditionalFormatting>
  <pageMargins left="0.7" right="0.7" top="0.75" bottom="0.75" header="0.3" footer="0.3"/>
  <pageSetup scale="3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Y438"/>
  <sheetViews>
    <sheetView topLeftCell="A321" zoomScale="70" zoomScaleNormal="70" workbookViewId="0">
      <pane xSplit="2" topLeftCell="C1" activePane="topRight" state="frozen"/>
      <selection activeCell="X45" sqref="A1:XFD1048576"/>
      <selection pane="topRight" activeCell="F376" sqref="F376:F423"/>
    </sheetView>
  </sheetViews>
  <sheetFormatPr baseColWidth="10" defaultColWidth="8.83203125" defaultRowHeight="15"/>
  <cols>
    <col min="1" max="1" width="15.5" style="190" customWidth="1"/>
    <col min="2" max="2" width="29" customWidth="1"/>
    <col min="3" max="3" width="28.6640625" bestFit="1" customWidth="1"/>
    <col min="4" max="4" width="20.33203125" bestFit="1" customWidth="1"/>
    <col min="5" max="5" width="23.1640625" bestFit="1" customWidth="1"/>
    <col min="6" max="6" width="25" bestFit="1" customWidth="1"/>
    <col min="7" max="7" width="19.83203125" bestFit="1" customWidth="1"/>
    <col min="8" max="8" width="14.5" bestFit="1" customWidth="1"/>
    <col min="9" max="9" width="16.5" bestFit="1" customWidth="1"/>
    <col min="10" max="10" width="20.33203125" bestFit="1" customWidth="1"/>
    <col min="11" max="11" width="24.33203125" bestFit="1" customWidth="1"/>
    <col min="12" max="12" width="23.5" bestFit="1" customWidth="1"/>
    <col min="13" max="14" width="22.6640625" bestFit="1" customWidth="1"/>
    <col min="15" max="15" width="28.6640625" bestFit="1" customWidth="1"/>
    <col min="16" max="16" width="15.33203125" bestFit="1" customWidth="1"/>
    <col min="17" max="17" width="20.1640625" bestFit="1" customWidth="1"/>
    <col min="18" max="18" width="20.33203125" bestFit="1" customWidth="1"/>
  </cols>
  <sheetData>
    <row r="1" spans="2:18">
      <c r="O1" s="28"/>
    </row>
    <row r="2" spans="2:18" ht="16" thickBot="1">
      <c r="B2" s="1" t="s">
        <v>22</v>
      </c>
      <c r="C2" s="209" t="str">
        <f>'ESPN Data'!$L$4</f>
        <v>Team 1</v>
      </c>
      <c r="D2" s="209" t="str">
        <f>'ESPN Data'!$L$5</f>
        <v>Team 2</v>
      </c>
      <c r="E2" s="209" t="str">
        <f>'ESPN Data'!$L$6</f>
        <v>Team 3</v>
      </c>
      <c r="F2" s="209" t="str">
        <f>'ESPN Data'!L$7</f>
        <v>Team 4</v>
      </c>
      <c r="G2" s="209" t="str">
        <f>'ESPN Data'!$L$8</f>
        <v>Team 5</v>
      </c>
      <c r="H2" s="209" t="str">
        <f>'ESPN Data'!$L$9</f>
        <v>Team 6</v>
      </c>
      <c r="I2" s="209" t="str">
        <f>'ESPN Data'!$L$10</f>
        <v>Team 7</v>
      </c>
      <c r="J2" s="209" t="str">
        <f>'ESPN Data'!$L$11</f>
        <v>Team 8</v>
      </c>
      <c r="K2" s="50" t="str">
        <f>'ESPN Data'!$L$12</f>
        <v>Team 9</v>
      </c>
      <c r="L2" s="50" t="str">
        <f>'ESPN Data'!$L$13</f>
        <v>Team 10</v>
      </c>
      <c r="M2" s="50" t="str">
        <f>'ESPN Data'!$L$14</f>
        <v>Team 11</v>
      </c>
      <c r="N2" s="50" t="str">
        <f>'ESPN Data'!$L$15</f>
        <v>Team 12</v>
      </c>
      <c r="O2" s="50" t="str">
        <f>'ESPN Data'!$L$16</f>
        <v>Team 13</v>
      </c>
      <c r="P2" s="50" t="str">
        <f>'ESPN Data'!$L$17</f>
        <v>Team 14</v>
      </c>
      <c r="Q2" s="50" t="str">
        <f>'ESPN Data'!$L$18</f>
        <v>Team 15</v>
      </c>
      <c r="R2" s="50" t="str">
        <f>'ESPN Data'!$L$19</f>
        <v>Team 16</v>
      </c>
    </row>
    <row r="3" spans="2:18">
      <c r="B3" s="193" t="str">
        <f>'ESPN Data'!$L$4</f>
        <v>Team 1</v>
      </c>
      <c r="C3" s="58" t="str">
        <f t="array" ref="C3">IFERROR(INDEX('Point Data'!$U$2:$U$225,MATCH(1,(C$2='Point Data'!$E$2:$E$225)*($B3='Point Data'!$B$2:$B$225),0)),"DNP")</f>
        <v>DNP</v>
      </c>
      <c r="D3" s="58">
        <f t="array" aca="1" ref="D3" ca="1">IFERROR(INDEX('Point Data'!$U$2:$U$225,MATCH(1,(D$2='Point Data'!$E$2:$E$225)*($B3='Point Data'!$B$2:$B$225),0)),"DNP")</f>
        <v>0</v>
      </c>
      <c r="E3" s="58">
        <f t="array" aca="1" ref="E3" ca="1">IFERROR(INDEX('Point Data'!$U$2:$U$225,MATCH(1,(E$2='Point Data'!$E$2:$E$225)*($B3='Point Data'!$B$2:$B$225),0)),"DNP")</f>
        <v>0</v>
      </c>
      <c r="F3" s="58">
        <f t="array" aca="1" ref="F3" ca="1">IFERROR(INDEX('Point Data'!$U$2:$U$225,MATCH(1,(F$2='Point Data'!$E$2:$E$225)*($B3='Point Data'!$B$2:$B$225),0)),"DNP")</f>
        <v>0</v>
      </c>
      <c r="G3" s="58">
        <f t="array" aca="1" ref="G3" ca="1">IFERROR(INDEX('Point Data'!$U$2:$U$225,MATCH(1,(G$2='Point Data'!$E$2:$E$225)*($B3='Point Data'!$B$2:$B$225),0)),"DNP")</f>
        <v>0</v>
      </c>
      <c r="H3" s="58">
        <f t="array" aca="1" ref="H3" ca="1">IFERROR(INDEX('Point Data'!$U$2:$U$225,MATCH(1,(H$2='Point Data'!$E$2:$E$225)*($B3='Point Data'!$B$2:$B$225),0)),"DNP")</f>
        <v>0</v>
      </c>
      <c r="I3" s="58" t="str">
        <f t="array" ref="I3">IFERROR(INDEX('Point Data'!$U$2:$U$225,MATCH(1,(I$2='Point Data'!$E$2:$E$225)*($B3='Point Data'!$B$2:$B$225),0)),"DNP")</f>
        <v>DNP</v>
      </c>
      <c r="J3" s="58">
        <f t="array" aca="1" ref="J3" ca="1">IFERROR(INDEX('Point Data'!$U$2:$U$225,MATCH(1,(J$2='Point Data'!$E$2:$E$225)*($B3='Point Data'!$B$2:$B$225),0)),"DNP")</f>
        <v>0</v>
      </c>
      <c r="K3" s="58">
        <f t="array" aca="1" ref="K3" ca="1">IFERROR(INDEX('Point Data'!$U$2:$U$225,MATCH(1,(K$2='Point Data'!$E$2:$E$225)*($B3='Point Data'!$B$2:$B$225),0)),"DNP")</f>
        <v>0</v>
      </c>
      <c r="L3" s="58">
        <f t="array" aca="1" ref="L3" ca="1">IFERROR(INDEX('Point Data'!$U$2:$U$225,MATCH(1,(L$2='Point Data'!$E$2:$E$225)*($B3='Point Data'!$B$2:$B$225),0)),"DNP")</f>
        <v>0</v>
      </c>
      <c r="M3" s="58">
        <f t="array" aca="1" ref="M3" ca="1">IFERROR(INDEX('Point Data'!$U$2:$U$225,MATCH(1,(M$2='Point Data'!$E$2:$E$225)*($B3='Point Data'!$B$2:$B$225),0)),"DNP")</f>
        <v>0</v>
      </c>
      <c r="N3" s="58">
        <f t="array" aca="1" ref="N3" ca="1">IFERROR(INDEX('Point Data'!$U$2:$U$225,MATCH(1,(N$2='Point Data'!$E$2:$E$225)*($B3='Point Data'!$B$2:$B$225),0)),"DNP")</f>
        <v>1</v>
      </c>
      <c r="O3" s="58">
        <f t="array" aca="1" ref="O3" ca="1">IFERROR(INDEX('Point Data'!$U$2:$U$225,MATCH(1,(O$2='Point Data'!$E$2:$E$225)*($B3='Point Data'!$B$2:$B$225),0)),"DNP")</f>
        <v>1</v>
      </c>
      <c r="P3" s="58" t="str">
        <f t="array" ref="P3">IFERROR(INDEX('Point Data'!$U$2:$U$225,MATCH(1,(P$2='Point Data'!$E$2:$E$225)*($B3='Point Data'!$B$2:$B$225),0)),"DNP")</f>
        <v>DNP</v>
      </c>
      <c r="Q3" s="58">
        <f t="array" aca="1" ref="Q3" ca="1">IFERROR(INDEX('Point Data'!$U$2:$U$225,MATCH(1,(Q$2='Point Data'!$E$2:$E$225)*($B3='Point Data'!$B$2:$B$225),0)),"DNP")</f>
        <v>1</v>
      </c>
      <c r="R3" s="58">
        <f t="array" aca="1" ref="R3" ca="1">IFERROR(INDEX('Point Data'!$U$2:$U$225,MATCH(1,(R$2='Point Data'!$E$2:$E$225)*($B3='Point Data'!$B$2:$B$225),0)),"DNP")</f>
        <v>1</v>
      </c>
    </row>
    <row r="4" spans="2:18">
      <c r="B4" s="194" t="str">
        <f>'ESPN Data'!$L$5</f>
        <v>Team 2</v>
      </c>
      <c r="C4" s="58">
        <f t="array" aca="1" ref="C4" ca="1">IFERROR(INDEX('Point Data'!$U$2:$U$225,MATCH(1,(C$2='Point Data'!$E$2:$E$225)*($B4='Point Data'!$B$2:$B$225),0)),"DNP")</f>
        <v>1</v>
      </c>
      <c r="D4" s="58" t="str">
        <f t="array" ref="D4">IFERROR(INDEX('Point Data'!$U$2:$U$225,MATCH(1,(D$2='Point Data'!$E$2:$E$225)*($B4='Point Data'!$B$2:$B$225),0)),"DNP")</f>
        <v>DNP</v>
      </c>
      <c r="E4" s="58">
        <f t="array" aca="1" ref="E4" ca="1">IFERROR(INDEX('Point Data'!$U$2:$U$225,MATCH(1,(E$2='Point Data'!$E$2:$E$225)*($B4='Point Data'!$B$2:$B$225),0)),"DNP")</f>
        <v>1</v>
      </c>
      <c r="F4" s="58" t="str">
        <f t="array" ref="F4">IFERROR(INDEX('Point Data'!$U$2:$U$225,MATCH(1,(F$2='Point Data'!$E$2:$E$225)*($B4='Point Data'!$B$2:$B$225),0)),"DNP")</f>
        <v>DNP</v>
      </c>
      <c r="G4" s="58">
        <f t="array" aca="1" ref="G4" ca="1">IFERROR(INDEX('Point Data'!$U$2:$U$225,MATCH(1,(G$2='Point Data'!$E$2:$E$225)*($B4='Point Data'!$B$2:$B$225),0)),"DNP")</f>
        <v>0</v>
      </c>
      <c r="H4" s="58">
        <f t="array" aca="1" ref="H4" ca="1">IFERROR(INDEX('Point Data'!$U$2:$U$225,MATCH(1,(H$2='Point Data'!$E$2:$E$225)*($B4='Point Data'!$B$2:$B$225),0)),"DNP")</f>
        <v>1</v>
      </c>
      <c r="I4" s="58">
        <f t="array" aca="1" ref="I4" ca="1">IFERROR(INDEX('Point Data'!$U$2:$U$225,MATCH(1,(I$2='Point Data'!$E$2:$E$225)*($B4='Point Data'!$B$2:$B$225),0)),"DNP")</f>
        <v>1</v>
      </c>
      <c r="J4" s="58" t="str">
        <f t="array" ref="J4">IFERROR(INDEX('Point Data'!$U$2:$U$225,MATCH(1,(J$2='Point Data'!$E$2:$E$225)*($B4='Point Data'!$B$2:$B$225),0)),"DNP")</f>
        <v>DNP</v>
      </c>
      <c r="K4" s="58">
        <f t="array" aca="1" ref="K4" ca="1">IFERROR(INDEX('Point Data'!$U$2:$U$225,MATCH(1,(K$2='Point Data'!$E$2:$E$225)*($B4='Point Data'!$B$2:$B$225),0)),"DNP")</f>
        <v>0</v>
      </c>
      <c r="L4" s="58">
        <f t="array" aca="1" ref="L4" ca="1">IFERROR(INDEX('Point Data'!$U$2:$U$225,MATCH(1,(L$2='Point Data'!$E$2:$E$225)*($B4='Point Data'!$B$2:$B$225),0)),"DNP")</f>
        <v>1</v>
      </c>
      <c r="M4" s="58">
        <f t="array" aca="1" ref="M4" ca="1">IFERROR(INDEX('Point Data'!$U$2:$U$225,MATCH(1,(M$2='Point Data'!$E$2:$E$225)*($B4='Point Data'!$B$2:$B$225),0)),"DNP")</f>
        <v>1</v>
      </c>
      <c r="N4" s="58">
        <f t="array" aca="1" ref="N4" ca="1">IFERROR(INDEX('Point Data'!$U$2:$U$225,MATCH(1,(N$2='Point Data'!$E$2:$E$225)*($B4='Point Data'!$B$2:$B$225),0)),"DNP")</f>
        <v>1</v>
      </c>
      <c r="O4" s="58">
        <f t="array" aca="1" ref="O4" ca="1">IFERROR(INDEX('Point Data'!$U$2:$U$225,MATCH(1,(O$2='Point Data'!$E$2:$E$225)*($B4='Point Data'!$B$2:$B$225),0)),"DNP")</f>
        <v>0</v>
      </c>
      <c r="P4" s="58">
        <f t="array" aca="1" ref="P4" ca="1">IFERROR(INDEX('Point Data'!$U$2:$U$225,MATCH(1,(P$2='Point Data'!$E$2:$E$225)*($B4='Point Data'!$B$2:$B$225),0)),"DNP")</f>
        <v>0</v>
      </c>
      <c r="Q4" s="58">
        <f t="array" aca="1" ref="Q4" ca="1">IFERROR(INDEX('Point Data'!$U$2:$U$225,MATCH(1,(Q$2='Point Data'!$E$2:$E$225)*($B4='Point Data'!$B$2:$B$225),0)),"DNP")</f>
        <v>1</v>
      </c>
      <c r="R4" s="58">
        <f t="array" aca="1" ref="R4" ca="1">IFERROR(INDEX('Point Data'!$U$2:$U$225,MATCH(1,(R$2='Point Data'!$E$2:$E$225)*($B4='Point Data'!$B$2:$B$225),0)),"DNP")</f>
        <v>0</v>
      </c>
    </row>
    <row r="5" spans="2:18">
      <c r="B5" s="194" t="str">
        <f>'ESPN Data'!$L$6</f>
        <v>Team 3</v>
      </c>
      <c r="C5" s="58">
        <f t="array" aca="1" ref="C5" ca="1">IFERROR(INDEX('Point Data'!$U$2:$U$225,MATCH(1,(C$2='Point Data'!$E$2:$E$225)*($B5='Point Data'!$B$2:$B$225),0)),"DNP")</f>
        <v>1</v>
      </c>
      <c r="D5" s="58">
        <f t="array" aca="1" ref="D5" ca="1">IFERROR(INDEX('Point Data'!$U$2:$U$225,MATCH(1,(D$2='Point Data'!$E$2:$E$225)*($B5='Point Data'!$B$2:$B$225),0)),"DNP")</f>
        <v>0</v>
      </c>
      <c r="E5" s="58" t="str">
        <f t="array" ref="E5">IFERROR(INDEX('Point Data'!$U$2:$U$225,MATCH(1,(E$2='Point Data'!$E$2:$E$225)*($B5='Point Data'!$B$2:$B$225),0)),"DNP")</f>
        <v>DNP</v>
      </c>
      <c r="F5" s="58">
        <f t="array" aca="1" ref="F5" ca="1">IFERROR(INDEX('Point Data'!$U$2:$U$225,MATCH(1,(F$2='Point Data'!$E$2:$E$225)*($B5='Point Data'!$B$2:$B$225),0)),"DNP")</f>
        <v>0</v>
      </c>
      <c r="G5" s="58">
        <f t="array" aca="1" ref="G5" ca="1">IFERROR(INDEX('Point Data'!$U$2:$U$225,MATCH(1,(G$2='Point Data'!$E$2:$E$225)*($B5='Point Data'!$B$2:$B$225),0)),"DNP")</f>
        <v>0</v>
      </c>
      <c r="H5" s="58" t="str">
        <f t="array" ref="H5">IFERROR(INDEX('Point Data'!$U$2:$U$225,MATCH(1,(H$2='Point Data'!$E$2:$E$225)*($B5='Point Data'!$B$2:$B$225),0)),"DNP")</f>
        <v>DNP</v>
      </c>
      <c r="I5" s="58">
        <f t="array" aca="1" ref="I5" ca="1">IFERROR(INDEX('Point Data'!$U$2:$U$225,MATCH(1,(I$2='Point Data'!$E$2:$E$225)*($B5='Point Data'!$B$2:$B$225),0)),"DNP")</f>
        <v>0</v>
      </c>
      <c r="J5" s="58">
        <f t="array" aca="1" ref="J5" ca="1">IFERROR(INDEX('Point Data'!$U$2:$U$225,MATCH(1,(J$2='Point Data'!$E$2:$E$225)*($B5='Point Data'!$B$2:$B$225),0)),"DNP")</f>
        <v>0</v>
      </c>
      <c r="K5" s="58">
        <f t="array" aca="1" ref="K5" ca="1">IFERROR(INDEX('Point Data'!$U$2:$U$225,MATCH(1,(K$2='Point Data'!$E$2:$E$225)*($B5='Point Data'!$B$2:$B$225),0)),"DNP")</f>
        <v>0</v>
      </c>
      <c r="L5" s="58">
        <f t="array" aca="1" ref="L5" ca="1">IFERROR(INDEX('Point Data'!$U$2:$U$225,MATCH(1,(L$2='Point Data'!$E$2:$E$225)*($B5='Point Data'!$B$2:$B$225),0)),"DNP")</f>
        <v>1</v>
      </c>
      <c r="M5" s="58">
        <f t="array" aca="1" ref="M5" ca="1">IFERROR(INDEX('Point Data'!$U$2:$U$225,MATCH(1,(M$2='Point Data'!$E$2:$E$225)*($B5='Point Data'!$B$2:$B$225),0)),"DNP")</f>
        <v>0</v>
      </c>
      <c r="N5" s="58">
        <f t="array" aca="1" ref="N5" ca="1">IFERROR(INDEX('Point Data'!$U$2:$U$225,MATCH(1,(N$2='Point Data'!$E$2:$E$225)*($B5='Point Data'!$B$2:$B$225),0)),"DNP")</f>
        <v>1</v>
      </c>
      <c r="O5" s="58">
        <f t="array" aca="1" ref="O5" ca="1">IFERROR(INDEX('Point Data'!$U$2:$U$225,MATCH(1,(O$2='Point Data'!$E$2:$E$225)*($B5='Point Data'!$B$2:$B$225),0)),"DNP")</f>
        <v>1</v>
      </c>
      <c r="P5" s="58" t="str">
        <f t="array" ref="P5">IFERROR(INDEX('Point Data'!$U$2:$U$225,MATCH(1,(P$2='Point Data'!$E$2:$E$225)*($B5='Point Data'!$B$2:$B$225),0)),"DNP")</f>
        <v>DNP</v>
      </c>
      <c r="Q5" s="58">
        <f t="array" aca="1" ref="Q5" ca="1">IFERROR(INDEX('Point Data'!$U$2:$U$225,MATCH(1,(Q$2='Point Data'!$E$2:$E$225)*($B5='Point Data'!$B$2:$B$225),0)),"DNP")</f>
        <v>0</v>
      </c>
      <c r="R5" s="58">
        <f t="array" aca="1" ref="R5" ca="1">IFERROR(INDEX('Point Data'!$U$2:$U$225,MATCH(1,(R$2='Point Data'!$E$2:$E$225)*($B5='Point Data'!$B$2:$B$225),0)),"DNP")</f>
        <v>1</v>
      </c>
    </row>
    <row r="6" spans="2:18">
      <c r="B6" s="194" t="str">
        <f>'ESPN Data'!L$7</f>
        <v>Team 4</v>
      </c>
      <c r="C6" s="58">
        <f t="array" aca="1" ref="C6" ca="1">IFERROR(INDEX('Point Data'!$U$2:$U$225,MATCH(1,(C$2='Point Data'!$E$2:$E$225)*($B6='Point Data'!$B$2:$B$225),0)),"DNP")</f>
        <v>1</v>
      </c>
      <c r="D6" s="58" t="str">
        <f t="array" ref="D6">IFERROR(INDEX('Point Data'!$U$2:$U$225,MATCH(1,(D$2='Point Data'!$E$2:$E$225)*($B6='Point Data'!$B$2:$B$225),0)),"DNP")</f>
        <v>DNP</v>
      </c>
      <c r="E6" s="58">
        <f t="array" aca="1" ref="E6" ca="1">IFERROR(INDEX('Point Data'!$U$2:$U$225,MATCH(1,(E$2='Point Data'!$E$2:$E$225)*($B6='Point Data'!$B$2:$B$225),0)),"DNP")</f>
        <v>1</v>
      </c>
      <c r="F6" s="58" t="str">
        <f t="array" ref="F6">IFERROR(INDEX('Point Data'!$U$2:$U$225,MATCH(1,(F$2='Point Data'!$E$2:$E$225)*($B6='Point Data'!$B$2:$B$225),0)),"DNP")</f>
        <v>DNP</v>
      </c>
      <c r="G6" s="58">
        <f t="array" aca="1" ref="G6" ca="1">IFERROR(INDEX('Point Data'!$U$2:$U$225,MATCH(1,(G$2='Point Data'!$E$2:$E$225)*($B6='Point Data'!$B$2:$B$225),0)),"DNP")</f>
        <v>0</v>
      </c>
      <c r="H6" s="58">
        <f t="array" aca="1" ref="H6" ca="1">IFERROR(INDEX('Point Data'!$U$2:$U$225,MATCH(1,(H$2='Point Data'!$E$2:$E$225)*($B6='Point Data'!$B$2:$B$225),0)),"DNP")</f>
        <v>0</v>
      </c>
      <c r="I6" s="58">
        <f t="array" aca="1" ref="I6" ca="1">IFERROR(INDEX('Point Data'!$U$2:$U$225,MATCH(1,(I$2='Point Data'!$E$2:$E$225)*($B6='Point Data'!$B$2:$B$225),0)),"DNP")</f>
        <v>0</v>
      </c>
      <c r="J6" s="58">
        <f t="array" aca="1" ref="J6" ca="1">IFERROR(INDEX('Point Data'!$U$2:$U$225,MATCH(1,(J$2='Point Data'!$E$2:$E$225)*($B6='Point Data'!$B$2:$B$225),0)),"DNP")</f>
        <v>1</v>
      </c>
      <c r="K6" s="58" t="str">
        <f t="array" ref="K6">IFERROR(INDEX('Point Data'!$U$2:$U$225,MATCH(1,(K$2='Point Data'!$E$2:$E$225)*($B6='Point Data'!$B$2:$B$225),0)),"DNP")</f>
        <v>DNP</v>
      </c>
      <c r="L6" s="58">
        <f t="array" aca="1" ref="L6" ca="1">IFERROR(INDEX('Point Data'!$U$2:$U$225,MATCH(1,(L$2='Point Data'!$E$2:$E$225)*($B6='Point Data'!$B$2:$B$225),0)),"DNP")</f>
        <v>1</v>
      </c>
      <c r="M6" s="58">
        <f t="array" aca="1" ref="M6" ca="1">IFERROR(INDEX('Point Data'!$U$2:$U$225,MATCH(1,(M$2='Point Data'!$E$2:$E$225)*($B6='Point Data'!$B$2:$B$225),0)),"DNP")</f>
        <v>0</v>
      </c>
      <c r="N6" s="58">
        <f t="array" aca="1" ref="N6" ca="1">IFERROR(INDEX('Point Data'!$U$2:$U$225,MATCH(1,(N$2='Point Data'!$E$2:$E$225)*($B6='Point Data'!$B$2:$B$225),0)),"DNP")</f>
        <v>1</v>
      </c>
      <c r="O6" s="58">
        <f t="array" aca="1" ref="O6" ca="1">IFERROR(INDEX('Point Data'!$U$2:$U$225,MATCH(1,(O$2='Point Data'!$E$2:$E$225)*($B6='Point Data'!$B$2:$B$225),0)),"DNP")</f>
        <v>0</v>
      </c>
      <c r="P6" s="58">
        <f t="array" aca="1" ref="P6" ca="1">IFERROR(INDEX('Point Data'!$U$2:$U$225,MATCH(1,(P$2='Point Data'!$E$2:$E$225)*($B6='Point Data'!$B$2:$B$225),0)),"DNP")</f>
        <v>1</v>
      </c>
      <c r="Q6" s="58">
        <f t="array" aca="1" ref="Q6" ca="1">IFERROR(INDEX('Point Data'!$U$2:$U$225,MATCH(1,(Q$2='Point Data'!$E$2:$E$225)*($B6='Point Data'!$B$2:$B$225),0)),"DNP")</f>
        <v>1</v>
      </c>
      <c r="R6" s="58">
        <f t="array" aca="1" ref="R6" ca="1">IFERROR(INDEX('Point Data'!$U$2:$U$225,MATCH(1,(R$2='Point Data'!$E$2:$E$225)*($B6='Point Data'!$B$2:$B$225),0)),"DNP")</f>
        <v>1</v>
      </c>
    </row>
    <row r="7" spans="2:18">
      <c r="B7" s="194" t="str">
        <f>'ESPN Data'!L8</f>
        <v>Team 5</v>
      </c>
      <c r="C7" s="58">
        <f t="array" aca="1" ref="C7" ca="1">IFERROR(INDEX('Point Data'!$U$2:$U$225,MATCH(1,(C$2='Point Data'!$E$2:$E$225)*($B7='Point Data'!$B$2:$B$225),0)),"DNP")</f>
        <v>1</v>
      </c>
      <c r="D7" s="58">
        <f t="array" aca="1" ref="D7" ca="1">IFERROR(INDEX('Point Data'!$U$2:$U$225,MATCH(1,(D$2='Point Data'!$E$2:$E$225)*($B7='Point Data'!$B$2:$B$225),0)),"DNP")</f>
        <v>1</v>
      </c>
      <c r="E7" s="58">
        <f t="array" aca="1" ref="E7" ca="1">IFERROR(INDEX('Point Data'!$U$2:$U$225,MATCH(1,(E$2='Point Data'!$E$2:$E$225)*($B7='Point Data'!$B$2:$B$225),0)),"DNP")</f>
        <v>1</v>
      </c>
      <c r="F7" s="58">
        <f t="array" aca="1" ref="F7" ca="1">IFERROR(INDEX('Point Data'!$U$2:$U$225,MATCH(1,(F$2='Point Data'!$E$2:$E$225)*($B7='Point Data'!$B$2:$B$225),0)),"DNP")</f>
        <v>1</v>
      </c>
      <c r="G7" s="58" t="str">
        <f t="array" ref="G7">IFERROR(INDEX('Point Data'!$U$2:$U$225,MATCH(1,(G$2='Point Data'!$E$2:$E$225)*($B7='Point Data'!$B$2:$B$225),0)),"DNP")</f>
        <v>DNP</v>
      </c>
      <c r="H7" s="58">
        <f t="array" aca="1" ref="H7" ca="1">IFERROR(INDEX('Point Data'!$U$2:$U$225,MATCH(1,(H$2='Point Data'!$E$2:$E$225)*($B7='Point Data'!$B$2:$B$225),0)),"DNP")</f>
        <v>1</v>
      </c>
      <c r="I7" s="58">
        <f t="array" aca="1" ref="I7" ca="1">IFERROR(INDEX('Point Data'!$U$2:$U$225,MATCH(1,(I$2='Point Data'!$E$2:$E$225)*($B7='Point Data'!$B$2:$B$225),0)),"DNP")</f>
        <v>0</v>
      </c>
      <c r="J7" s="58">
        <f t="array" aca="1" ref="J7" ca="1">IFERROR(INDEX('Point Data'!$U$2:$U$225,MATCH(1,(J$2='Point Data'!$E$2:$E$225)*($B7='Point Data'!$B$2:$B$225),0)),"DNP")</f>
        <v>1</v>
      </c>
      <c r="K7" s="58">
        <f t="array" aca="1" ref="K7" ca="1">IFERROR(INDEX('Point Data'!$U$2:$U$225,MATCH(1,(K$2='Point Data'!$E$2:$E$225)*($B7='Point Data'!$B$2:$B$225),0)),"DNP")</f>
        <v>1</v>
      </c>
      <c r="L7" s="58" t="str">
        <f t="array" ref="L7">IFERROR(INDEX('Point Data'!$U$2:$U$225,MATCH(1,(L$2='Point Data'!$E$2:$E$225)*($B7='Point Data'!$B$2:$B$225),0)),"DNP")</f>
        <v>DNP</v>
      </c>
      <c r="M7" s="58">
        <f t="array" aca="1" ref="M7" ca="1">IFERROR(INDEX('Point Data'!$U$2:$U$225,MATCH(1,(M$2='Point Data'!$E$2:$E$225)*($B7='Point Data'!$B$2:$B$225),0)),"DNP")</f>
        <v>0</v>
      </c>
      <c r="N7" s="58">
        <f t="array" aca="1" ref="N7" ca="1">IFERROR(INDEX('Point Data'!$U$2:$U$225,MATCH(1,(N$2='Point Data'!$E$2:$E$225)*($B7='Point Data'!$B$2:$B$225),0)),"DNP")</f>
        <v>0</v>
      </c>
      <c r="O7" s="58">
        <f t="array" aca="1" ref="O7" ca="1">IFERROR(INDEX('Point Data'!$U$2:$U$225,MATCH(1,(O$2='Point Data'!$E$2:$E$225)*($B7='Point Data'!$B$2:$B$225),0)),"DNP")</f>
        <v>1</v>
      </c>
      <c r="P7" s="58">
        <f t="array" aca="1" ref="P7" ca="1">IFERROR(INDEX('Point Data'!$U$2:$U$225,MATCH(1,(P$2='Point Data'!$E$2:$E$225)*($B7='Point Data'!$B$2:$B$225),0)),"DNP")</f>
        <v>1</v>
      </c>
      <c r="Q7" s="58" t="str">
        <f t="array" ref="Q7">IFERROR(INDEX('Point Data'!$U$2:$U$225,MATCH(1,(Q$2='Point Data'!$E$2:$E$225)*($B7='Point Data'!$B$2:$B$225),0)),"DNP")</f>
        <v>DNP</v>
      </c>
      <c r="R7" s="58">
        <f t="array" aca="1" ref="R7" ca="1">IFERROR(INDEX('Point Data'!$U$2:$U$225,MATCH(1,(R$2='Point Data'!$E$2:$E$225)*($B7='Point Data'!$B$2:$B$225),0)),"DNP")</f>
        <v>1</v>
      </c>
    </row>
    <row r="8" spans="2:18">
      <c r="B8" s="194" t="str">
        <f>'ESPN Data'!$L$9</f>
        <v>Team 6</v>
      </c>
      <c r="C8" s="58">
        <f t="array" aca="1" ref="C8" ca="1">IFERROR(INDEX('Point Data'!$U$2:$U$225,MATCH(1,(C$2='Point Data'!$E$2:$E$225)*($B8='Point Data'!$B$2:$B$225),0)),"DNP")</f>
        <v>1</v>
      </c>
      <c r="D8" s="58">
        <f t="array" aca="1" ref="D8" ca="1">IFERROR(INDEX('Point Data'!$U$2:$U$225,MATCH(1,(D$2='Point Data'!$E$2:$E$225)*($B8='Point Data'!$B$2:$B$225),0)),"DNP")</f>
        <v>0</v>
      </c>
      <c r="E8" s="58" t="str">
        <f t="array" ref="E8">IFERROR(INDEX('Point Data'!$U$2:$U$225,MATCH(1,(E$2='Point Data'!$E$2:$E$225)*($B8='Point Data'!$B$2:$B$225),0)),"DNP")</f>
        <v>DNP</v>
      </c>
      <c r="F8" s="58">
        <f t="array" aca="1" ref="F8" ca="1">IFERROR(INDEX('Point Data'!$U$2:$U$225,MATCH(1,(F$2='Point Data'!$E$2:$E$225)*($B8='Point Data'!$B$2:$B$225),0)),"DNP")</f>
        <v>1</v>
      </c>
      <c r="G8" s="58">
        <f t="array" aca="1" ref="G8" ca="1">IFERROR(INDEX('Point Data'!$U$2:$U$225,MATCH(1,(G$2='Point Data'!$E$2:$E$225)*($B8='Point Data'!$B$2:$B$225),0)),"DNP")</f>
        <v>0</v>
      </c>
      <c r="H8" s="58" t="str">
        <f t="array" ref="H8">IFERROR(INDEX('Point Data'!$U$2:$U$225,MATCH(1,(H$2='Point Data'!$E$2:$E$225)*($B8='Point Data'!$B$2:$B$225),0)),"DNP")</f>
        <v>DNP</v>
      </c>
      <c r="I8" s="58">
        <f t="array" aca="1" ref="I8" ca="1">IFERROR(INDEX('Point Data'!$U$2:$U$225,MATCH(1,(I$2='Point Data'!$E$2:$E$225)*($B8='Point Data'!$B$2:$B$225),0)),"DNP")</f>
        <v>1</v>
      </c>
      <c r="J8" s="58">
        <f t="array" aca="1" ref="J8" ca="1">IFERROR(INDEX('Point Data'!$U$2:$U$225,MATCH(1,(J$2='Point Data'!$E$2:$E$225)*($B8='Point Data'!$B$2:$B$225),0)),"DNP")</f>
        <v>1</v>
      </c>
      <c r="K8" s="58">
        <f t="array" aca="1" ref="K8" ca="1">IFERROR(INDEX('Point Data'!$U$2:$U$225,MATCH(1,(K$2='Point Data'!$E$2:$E$225)*($B8='Point Data'!$B$2:$B$225),0)),"DNP")</f>
        <v>1</v>
      </c>
      <c r="L8" s="58">
        <f t="array" aca="1" ref="L8" ca="1">IFERROR(INDEX('Point Data'!$U$2:$U$225,MATCH(1,(L$2='Point Data'!$E$2:$E$225)*($B8='Point Data'!$B$2:$B$225),0)),"DNP")</f>
        <v>0</v>
      </c>
      <c r="M8" s="58">
        <f t="array" aca="1" ref="M8" ca="1">IFERROR(INDEX('Point Data'!$U$2:$U$225,MATCH(1,(M$2='Point Data'!$E$2:$E$225)*($B8='Point Data'!$B$2:$B$225),0)),"DNP")</f>
        <v>1</v>
      </c>
      <c r="N8" s="58">
        <f t="array" aca="1" ref="N8" ca="1">IFERROR(INDEX('Point Data'!$U$2:$U$225,MATCH(1,(N$2='Point Data'!$E$2:$E$225)*($B8='Point Data'!$B$2:$B$225),0)),"DNP")</f>
        <v>1</v>
      </c>
      <c r="O8" s="58">
        <f t="array" aca="1" ref="O8" ca="1">IFERROR(INDEX('Point Data'!$U$2:$U$225,MATCH(1,(O$2='Point Data'!$E$2:$E$225)*($B8='Point Data'!$B$2:$B$225),0)),"DNP")</f>
        <v>0</v>
      </c>
      <c r="P8" s="58">
        <f t="array" aca="1" ref="P8" ca="1">IFERROR(INDEX('Point Data'!$U$2:$U$225,MATCH(1,(P$2='Point Data'!$E$2:$E$225)*($B8='Point Data'!$B$2:$B$225),0)),"DNP")</f>
        <v>0</v>
      </c>
      <c r="Q8" s="58">
        <f t="array" aca="1" ref="Q8" ca="1">IFERROR(INDEX('Point Data'!$U$2:$U$225,MATCH(1,(Q$2='Point Data'!$E$2:$E$225)*($B8='Point Data'!$B$2:$B$225),0)),"DNP")</f>
        <v>1</v>
      </c>
      <c r="R8" s="58" t="str">
        <f t="array" ref="R8">IFERROR(INDEX('Point Data'!$U$2:$U$225,MATCH(1,(R$2='Point Data'!$E$2:$E$225)*($B8='Point Data'!$B$2:$B$225),0)),"DNP")</f>
        <v>DNP</v>
      </c>
    </row>
    <row r="9" spans="2:18">
      <c r="B9" s="194" t="str">
        <f>'ESPN Data'!$L$10</f>
        <v>Team 7</v>
      </c>
      <c r="C9" s="58" t="str">
        <f t="array" ref="C9">IFERROR(INDEX('Point Data'!$U$2:$U$225,MATCH(1,(C$2='Point Data'!$E$2:$E$225)*($B9='Point Data'!$B$2:$B$225),0)),"DNP")</f>
        <v>DNP</v>
      </c>
      <c r="D9" s="58">
        <f t="array" aca="1" ref="D9" ca="1">IFERROR(INDEX('Point Data'!$U$2:$U$225,MATCH(1,(D$2='Point Data'!$E$2:$E$225)*($B9='Point Data'!$B$2:$B$225),0)),"DNP")</f>
        <v>0</v>
      </c>
      <c r="E9" s="58">
        <f t="array" aca="1" ref="E9" ca="1">IFERROR(INDEX('Point Data'!$U$2:$U$225,MATCH(1,(E$2='Point Data'!$E$2:$E$225)*($B9='Point Data'!$B$2:$B$225),0)),"DNP")</f>
        <v>1</v>
      </c>
      <c r="F9" s="58">
        <f t="array" aca="1" ref="F9" ca="1">IFERROR(INDEX('Point Data'!$U$2:$U$225,MATCH(1,(F$2='Point Data'!$E$2:$E$225)*($B9='Point Data'!$B$2:$B$225),0)),"DNP")</f>
        <v>1</v>
      </c>
      <c r="G9" s="58">
        <f t="array" aca="1" ref="G9" ca="1">IFERROR(INDEX('Point Data'!$U$2:$U$225,MATCH(1,(G$2='Point Data'!$E$2:$E$225)*($B9='Point Data'!$B$2:$B$225),0)),"DNP")</f>
        <v>1</v>
      </c>
      <c r="H9" s="58">
        <f t="array" aca="1" ref="H9" ca="1">IFERROR(INDEX('Point Data'!$U$2:$U$225,MATCH(1,(H$2='Point Data'!$E$2:$E$225)*($B9='Point Data'!$B$2:$B$225),0)),"DNP")</f>
        <v>0</v>
      </c>
      <c r="I9" s="58" t="str">
        <f t="array" ref="I9">IFERROR(INDEX('Point Data'!$U$2:$U$225,MATCH(1,(I$2='Point Data'!$E$2:$E$225)*($B9='Point Data'!$B$2:$B$225),0)),"DNP")</f>
        <v>DNP</v>
      </c>
      <c r="J9" s="58">
        <f t="array" aca="1" ref="J9" ca="1">IFERROR(INDEX('Point Data'!$U$2:$U$225,MATCH(1,(J$2='Point Data'!$E$2:$E$225)*($B9='Point Data'!$B$2:$B$225),0)),"DNP")</f>
        <v>0</v>
      </c>
      <c r="K9" s="58">
        <f t="array" aca="1" ref="K9" ca="1">IFERROR(INDEX('Point Data'!$U$2:$U$225,MATCH(1,(K$2='Point Data'!$E$2:$E$225)*($B9='Point Data'!$B$2:$B$225),0)),"DNP")</f>
        <v>0</v>
      </c>
      <c r="L9" s="58">
        <f t="array" aca="1" ref="L9" ca="1">IFERROR(INDEX('Point Data'!$U$2:$U$225,MATCH(1,(L$2='Point Data'!$E$2:$E$225)*($B9='Point Data'!$B$2:$B$225),0)),"DNP")</f>
        <v>1</v>
      </c>
      <c r="M9" s="58">
        <f t="array" aca="1" ref="M9" ca="1">IFERROR(INDEX('Point Data'!$U$2:$U$225,MATCH(1,(M$2='Point Data'!$E$2:$E$225)*($B9='Point Data'!$B$2:$B$225),0)),"DNP")</f>
        <v>0</v>
      </c>
      <c r="N9" s="58">
        <f t="array" aca="1" ref="N9" ca="1">IFERROR(INDEX('Point Data'!$U$2:$U$225,MATCH(1,(N$2='Point Data'!$E$2:$E$225)*($B9='Point Data'!$B$2:$B$225),0)),"DNP")</f>
        <v>1</v>
      </c>
      <c r="O9" s="58" t="str">
        <f t="array" ref="O9">IFERROR(INDEX('Point Data'!$U$2:$U$225,MATCH(1,(O$2='Point Data'!$E$2:$E$225)*($B9='Point Data'!$B$2:$B$225),0)),"DNP")</f>
        <v>DNP</v>
      </c>
      <c r="P9" s="58">
        <f t="array" aca="1" ref="P9" ca="1">IFERROR(INDEX('Point Data'!$U$2:$U$225,MATCH(1,(P$2='Point Data'!$E$2:$E$225)*($B9='Point Data'!$B$2:$B$225),0)),"DNP")</f>
        <v>1</v>
      </c>
      <c r="Q9" s="58">
        <f t="array" aca="1" ref="Q9" ca="1">IFERROR(INDEX('Point Data'!$U$2:$U$225,MATCH(1,(Q$2='Point Data'!$E$2:$E$225)*($B9='Point Data'!$B$2:$B$225),0)),"DNP")</f>
        <v>0</v>
      </c>
      <c r="R9" s="58">
        <f t="array" aca="1" ref="R9" ca="1">IFERROR(INDEX('Point Data'!$U$2:$U$225,MATCH(1,(R$2='Point Data'!$E$2:$E$225)*($B9='Point Data'!$B$2:$B$225),0)),"DNP")</f>
        <v>1</v>
      </c>
    </row>
    <row r="10" spans="2:18">
      <c r="B10" s="194" t="str">
        <f>'ESPN Data'!$L$11</f>
        <v>Team 8</v>
      </c>
      <c r="C10" s="58">
        <f t="array" aca="1" ref="C10" ca="1">IFERROR(INDEX('Point Data'!$U$2:$U$225,MATCH(1,(C$2='Point Data'!$E$2:$E$225)*($B10='Point Data'!$B$2:$B$225),0)),"DNP")</f>
        <v>1</v>
      </c>
      <c r="D10" s="58" t="str">
        <f t="array" ref="D10">IFERROR(INDEX('Point Data'!$U$2:$U$225,MATCH(1,(D$2='Point Data'!$E$2:$E$225)*($B10='Point Data'!$B$2:$B$225),0)),"DNP")</f>
        <v>DNP</v>
      </c>
      <c r="E10" s="58">
        <f t="array" aca="1" ref="E10" ca="1">IFERROR(INDEX('Point Data'!$U$2:$U$225,MATCH(1,(E$2='Point Data'!$E$2:$E$225)*($B10='Point Data'!$B$2:$B$225),0)),"DNP")</f>
        <v>1</v>
      </c>
      <c r="F10" s="58">
        <f t="array" aca="1" ref="F10" ca="1">IFERROR(INDEX('Point Data'!$U$2:$U$225,MATCH(1,(F$2='Point Data'!$E$2:$E$225)*($B10='Point Data'!$B$2:$B$225),0)),"DNP")</f>
        <v>0</v>
      </c>
      <c r="G10" s="58">
        <f t="array" aca="1" ref="G10" ca="1">IFERROR(INDEX('Point Data'!$U$2:$U$225,MATCH(1,(G$2='Point Data'!$E$2:$E$225)*($B10='Point Data'!$B$2:$B$225),0)),"DNP")</f>
        <v>0</v>
      </c>
      <c r="H10" s="58">
        <f t="array" aca="1" ref="H10" ca="1">IFERROR(INDEX('Point Data'!$U$2:$U$225,MATCH(1,(H$2='Point Data'!$E$2:$E$225)*($B10='Point Data'!$B$2:$B$225),0)),"DNP")</f>
        <v>0</v>
      </c>
      <c r="I10" s="58">
        <f t="array" aca="1" ref="I10" ca="1">IFERROR(INDEX('Point Data'!$U$2:$U$225,MATCH(1,(I$2='Point Data'!$E$2:$E$225)*($B10='Point Data'!$B$2:$B$225),0)),"DNP")</f>
        <v>1</v>
      </c>
      <c r="J10" s="58" t="str">
        <f t="array" ref="J10">IFERROR(INDEX('Point Data'!$U$2:$U$225,MATCH(1,(J$2='Point Data'!$E$2:$E$225)*($B10='Point Data'!$B$2:$B$225),0)),"DNP")</f>
        <v>DNP</v>
      </c>
      <c r="K10" s="58">
        <f t="array" aca="1" ref="K10" ca="1">IFERROR(INDEX('Point Data'!$U$2:$U$225,MATCH(1,(K$2='Point Data'!$E$2:$E$225)*($B10='Point Data'!$B$2:$B$225),0)),"DNP")</f>
        <v>0</v>
      </c>
      <c r="L10" s="58">
        <f t="array" aca="1" ref="L10" ca="1">IFERROR(INDEX('Point Data'!$U$2:$U$225,MATCH(1,(L$2='Point Data'!$E$2:$E$225)*($B10='Point Data'!$B$2:$B$225),0)),"DNP")</f>
        <v>1</v>
      </c>
      <c r="M10" s="58">
        <f t="array" aca="1" ref="M10" ca="1">IFERROR(INDEX('Point Data'!$U$2:$U$225,MATCH(1,(M$2='Point Data'!$E$2:$E$225)*($B10='Point Data'!$B$2:$B$225),0)),"DNP")</f>
        <v>1</v>
      </c>
      <c r="N10" s="58">
        <f t="array" aca="1" ref="N10" ca="1">IFERROR(INDEX('Point Data'!$U$2:$U$225,MATCH(1,(N$2='Point Data'!$E$2:$E$225)*($B10='Point Data'!$B$2:$B$225),0)),"DNP")</f>
        <v>1</v>
      </c>
      <c r="O10" s="58">
        <f t="array" aca="1" ref="O10" ca="1">IFERROR(INDEX('Point Data'!$U$2:$U$225,MATCH(1,(O$2='Point Data'!$E$2:$E$225)*($B10='Point Data'!$B$2:$B$225),0)),"DNP")</f>
        <v>1</v>
      </c>
      <c r="P10" s="58">
        <f t="array" aca="1" ref="P10" ca="1">IFERROR(INDEX('Point Data'!$U$2:$U$225,MATCH(1,(P$2='Point Data'!$E$2:$E$225)*($B10='Point Data'!$B$2:$B$225),0)),"DNP")</f>
        <v>0</v>
      </c>
      <c r="Q10" s="58">
        <f t="array" aca="1" ref="Q10" ca="1">IFERROR(INDEX('Point Data'!$U$2:$U$225,MATCH(1,(Q$2='Point Data'!$E$2:$E$225)*($B10='Point Data'!$B$2:$B$225),0)),"DNP")</f>
        <v>0</v>
      </c>
      <c r="R10" s="58" t="str">
        <f t="array" ref="R10">IFERROR(INDEX('Point Data'!$U$2:$U$225,MATCH(1,(R$2='Point Data'!$E$2:$E$225)*($B10='Point Data'!$B$2:$B$225),0)),"DNP")</f>
        <v>DNP</v>
      </c>
    </row>
    <row r="11" spans="2:18">
      <c r="B11" s="195" t="str">
        <f>'ESPN Data'!$L$12</f>
        <v>Team 9</v>
      </c>
      <c r="C11" s="58">
        <f t="array" aca="1" ref="C11" ca="1">IFERROR(INDEX('Point Data'!$U$2:$U$225,MATCH(1,(C$2='Point Data'!$E$2:$E$225)*($B11='Point Data'!$B$2:$B$225),0)),"DNP")</f>
        <v>1</v>
      </c>
      <c r="D11" s="58">
        <f t="array" aca="1" ref="D11" ca="1">IFERROR(INDEX('Point Data'!$U$2:$U$225,MATCH(1,(D$2='Point Data'!$E$2:$E$225)*($B11='Point Data'!$B$2:$B$225),0)),"DNP")</f>
        <v>1</v>
      </c>
      <c r="E11" s="58">
        <f t="array" aca="1" ref="E11" ca="1">IFERROR(INDEX('Point Data'!$U$2:$U$225,MATCH(1,(E$2='Point Data'!$E$2:$E$225)*($B11='Point Data'!$B$2:$B$225),0)),"DNP")</f>
        <v>1</v>
      </c>
      <c r="F11" s="58" t="str">
        <f t="array" ref="F11">IFERROR(INDEX('Point Data'!$U$2:$U$225,MATCH(1,(F$2='Point Data'!$E$2:$E$225)*($B11='Point Data'!$B$2:$B$225),0)),"DNP")</f>
        <v>DNP</v>
      </c>
      <c r="G11" s="58">
        <f t="array" aca="1" ref="G11" ca="1">IFERROR(INDEX('Point Data'!$U$2:$U$225,MATCH(1,(G$2='Point Data'!$E$2:$E$225)*($B11='Point Data'!$B$2:$B$225),0)),"DNP")</f>
        <v>0</v>
      </c>
      <c r="H11" s="58">
        <f t="array" aca="1" ref="H11" ca="1">IFERROR(INDEX('Point Data'!$U$2:$U$225,MATCH(1,(H$2='Point Data'!$E$2:$E$225)*($B11='Point Data'!$B$2:$B$225),0)),"DNP")</f>
        <v>0</v>
      </c>
      <c r="I11" s="58">
        <f t="array" aca="1" ref="I11" ca="1">IFERROR(INDEX('Point Data'!$U$2:$U$225,MATCH(1,(I$2='Point Data'!$E$2:$E$225)*($B11='Point Data'!$B$2:$B$225),0)),"DNP")</f>
        <v>1</v>
      </c>
      <c r="J11" s="58">
        <f t="array" aca="1" ref="J11" ca="1">IFERROR(INDEX('Point Data'!$U$2:$U$225,MATCH(1,(J$2='Point Data'!$E$2:$E$225)*($B11='Point Data'!$B$2:$B$225),0)),"DNP")</f>
        <v>1</v>
      </c>
      <c r="K11" s="58" t="str">
        <f t="array" ref="K11">IFERROR(INDEX('Point Data'!$U$2:$U$225,MATCH(1,(K$2='Point Data'!$E$2:$E$225)*($B11='Point Data'!$B$2:$B$225),0)),"DNP")</f>
        <v>DNP</v>
      </c>
      <c r="L11" s="58" t="str">
        <f t="array" ref="L11">IFERROR(INDEX('Point Data'!$U$2:$U$225,MATCH(1,(L$2='Point Data'!$E$2:$E$225)*($B11='Point Data'!$B$2:$B$225),0)),"DNP")</f>
        <v>DNP</v>
      </c>
      <c r="M11" s="58">
        <f t="array" aca="1" ref="M11" ca="1">IFERROR(INDEX('Point Data'!$U$2:$U$225,MATCH(1,(M$2='Point Data'!$E$2:$E$225)*($B11='Point Data'!$B$2:$B$225),0)),"DNP")</f>
        <v>0</v>
      </c>
      <c r="N11" s="58">
        <f t="array" aca="1" ref="N11" ca="1">IFERROR(INDEX('Point Data'!$U$2:$U$225,MATCH(1,(N$2='Point Data'!$E$2:$E$225)*($B11='Point Data'!$B$2:$B$225),0)),"DNP")</f>
        <v>0</v>
      </c>
      <c r="O11" s="58">
        <f t="array" aca="1" ref="O11" ca="1">IFERROR(INDEX('Point Data'!$U$2:$U$225,MATCH(1,(O$2='Point Data'!$E$2:$E$225)*($B11='Point Data'!$B$2:$B$225),0)),"DNP")</f>
        <v>1</v>
      </c>
      <c r="P11" s="58">
        <f t="array" aca="1" ref="P11" ca="1">IFERROR(INDEX('Point Data'!$U$2:$U$225,MATCH(1,(P$2='Point Data'!$E$2:$E$225)*($B11='Point Data'!$B$2:$B$225),0)),"DNP")</f>
        <v>1</v>
      </c>
      <c r="Q11" s="58">
        <f t="array" aca="1" ref="Q11" ca="1">IFERROR(INDEX('Point Data'!$U$2:$U$225,MATCH(1,(Q$2='Point Data'!$E$2:$E$225)*($B11='Point Data'!$B$2:$B$225),0)),"DNP")</f>
        <v>1</v>
      </c>
      <c r="R11" s="58">
        <f t="array" aca="1" ref="R11" ca="1">IFERROR(INDEX('Point Data'!$U$2:$U$225,MATCH(1,(R$2='Point Data'!$E$2:$E$225)*($B11='Point Data'!$B$2:$B$225),0)),"DNP")</f>
        <v>1</v>
      </c>
    </row>
    <row r="12" spans="2:18">
      <c r="B12" s="195" t="str">
        <f>'ESPN Data'!$L$13</f>
        <v>Team 10</v>
      </c>
      <c r="C12" s="58">
        <f t="array" aca="1" ref="C12" ca="1">IFERROR(INDEX('Point Data'!$U$2:$U$225,MATCH(1,(C$2='Point Data'!$E$2:$E$225)*($B12='Point Data'!$B$2:$B$225),0)),"DNP")</f>
        <v>1</v>
      </c>
      <c r="D12" s="58">
        <f t="array" aca="1" ref="D12" ca="1">IFERROR(INDEX('Point Data'!$U$2:$U$225,MATCH(1,(D$2='Point Data'!$E$2:$E$225)*($B12='Point Data'!$B$2:$B$225),0)),"DNP")</f>
        <v>0</v>
      </c>
      <c r="E12" s="58">
        <f t="array" aca="1" ref="E12" ca="1">IFERROR(INDEX('Point Data'!$U$2:$U$225,MATCH(1,(E$2='Point Data'!$E$2:$E$225)*($B12='Point Data'!$B$2:$B$225),0)),"DNP")</f>
        <v>0</v>
      </c>
      <c r="F12" s="58">
        <f t="array" aca="1" ref="F12" ca="1">IFERROR(INDEX('Point Data'!$U$2:$U$225,MATCH(1,(F$2='Point Data'!$E$2:$E$225)*($B12='Point Data'!$B$2:$B$225),0)),"DNP")</f>
        <v>0</v>
      </c>
      <c r="G12" s="58" t="str">
        <f t="array" ref="G12">IFERROR(INDEX('Point Data'!$U$2:$U$225,MATCH(1,(G$2='Point Data'!$E$2:$E$225)*($B12='Point Data'!$B$2:$B$225),0)),"DNP")</f>
        <v>DNP</v>
      </c>
      <c r="H12" s="58">
        <f t="array" aca="1" ref="H12" ca="1">IFERROR(INDEX('Point Data'!$U$2:$U$225,MATCH(1,(H$2='Point Data'!$E$2:$E$225)*($B12='Point Data'!$B$2:$B$225),0)),"DNP")</f>
        <v>1</v>
      </c>
      <c r="I12" s="58">
        <f t="array" aca="1" ref="I12" ca="1">IFERROR(INDEX('Point Data'!$U$2:$U$225,MATCH(1,(I$2='Point Data'!$E$2:$E$225)*($B12='Point Data'!$B$2:$B$225),0)),"DNP")</f>
        <v>0</v>
      </c>
      <c r="J12" s="58">
        <f t="array" aca="1" ref="J12" ca="1">IFERROR(INDEX('Point Data'!$U$2:$U$225,MATCH(1,(J$2='Point Data'!$E$2:$E$225)*($B12='Point Data'!$B$2:$B$225),0)),"DNP")</f>
        <v>0</v>
      </c>
      <c r="K12" s="58" t="str">
        <f t="array" ref="K12">IFERROR(INDEX('Point Data'!$U$2:$U$225,MATCH(1,(K$2='Point Data'!$E$2:$E$225)*($B12='Point Data'!$B$2:$B$225),0)),"DNP")</f>
        <v>DNP</v>
      </c>
      <c r="L12" s="58" t="str">
        <f t="array" ref="L12">IFERROR(INDEX('Point Data'!$U$2:$U$225,MATCH(1,(L$2='Point Data'!$E$2:$E$225)*($B12='Point Data'!$B$2:$B$225),0)),"DNP")</f>
        <v>DNP</v>
      </c>
      <c r="M12" s="58">
        <f t="array" aca="1" ref="M12" ca="1">IFERROR(INDEX('Point Data'!$U$2:$U$225,MATCH(1,(M$2='Point Data'!$E$2:$E$225)*($B12='Point Data'!$B$2:$B$225),0)),"DNP")</f>
        <v>1</v>
      </c>
      <c r="N12" s="58">
        <f t="array" aca="1" ref="N12" ca="1">IFERROR(INDEX('Point Data'!$U$2:$U$225,MATCH(1,(N$2='Point Data'!$E$2:$E$225)*($B12='Point Data'!$B$2:$B$225),0)),"DNP")</f>
        <v>0</v>
      </c>
      <c r="O12" s="58">
        <f t="array" aca="1" ref="O12" ca="1">IFERROR(INDEX('Point Data'!$U$2:$U$225,MATCH(1,(O$2='Point Data'!$E$2:$E$225)*($B12='Point Data'!$B$2:$B$225),0)),"DNP")</f>
        <v>1</v>
      </c>
      <c r="P12" s="58">
        <f t="array" aca="1" ref="P12" ca="1">IFERROR(INDEX('Point Data'!$U$2:$U$225,MATCH(1,(P$2='Point Data'!$E$2:$E$225)*($B12='Point Data'!$B$2:$B$225),0)),"DNP")</f>
        <v>0</v>
      </c>
      <c r="Q12" s="58">
        <f t="array" aca="1" ref="Q12" ca="1">IFERROR(INDEX('Point Data'!$U$2:$U$225,MATCH(1,(Q$2='Point Data'!$E$2:$E$225)*($B12='Point Data'!$B$2:$B$225),0)),"DNP")</f>
        <v>0</v>
      </c>
      <c r="R12" s="58">
        <f t="array" aca="1" ref="R12" ca="1">IFERROR(INDEX('Point Data'!$U$2:$U$225,MATCH(1,(R$2='Point Data'!$E$2:$E$225)*($B12='Point Data'!$B$2:$B$225),0)),"DNP")</f>
        <v>1</v>
      </c>
    </row>
    <row r="13" spans="2:18">
      <c r="B13" s="195" t="str">
        <f>'ESPN Data'!$L$14</f>
        <v>Team 11</v>
      </c>
      <c r="C13" s="58">
        <f t="array" aca="1" ref="C13" ca="1">IFERROR(INDEX('Point Data'!$U$2:$U$225,MATCH(1,(C$2='Point Data'!$E$2:$E$225)*($B13='Point Data'!$B$2:$B$225),0)),"DNP")</f>
        <v>1</v>
      </c>
      <c r="D13" s="58">
        <f t="array" aca="1" ref="D13" ca="1">IFERROR(INDEX('Point Data'!$U$2:$U$225,MATCH(1,(D$2='Point Data'!$E$2:$E$225)*($B13='Point Data'!$B$2:$B$225),0)),"DNP")</f>
        <v>0</v>
      </c>
      <c r="E13" s="58">
        <f t="array" aca="1" ref="E13" ca="1">IFERROR(INDEX('Point Data'!$U$2:$U$225,MATCH(1,(E$2='Point Data'!$E$2:$E$225)*($B13='Point Data'!$B$2:$B$225),0)),"DNP")</f>
        <v>1</v>
      </c>
      <c r="F13" s="58">
        <f t="array" aca="1" ref="F13" ca="1">IFERROR(INDEX('Point Data'!$U$2:$U$225,MATCH(1,(F$2='Point Data'!$E$2:$E$225)*($B13='Point Data'!$B$2:$B$225),0)),"DNP")</f>
        <v>1</v>
      </c>
      <c r="G13" s="58">
        <f t="array" aca="1" ref="G13" ca="1">IFERROR(INDEX('Point Data'!$U$2:$U$225,MATCH(1,(G$2='Point Data'!$E$2:$E$225)*($B13='Point Data'!$B$2:$B$225),0)),"DNP")</f>
        <v>1</v>
      </c>
      <c r="H13" s="58">
        <f t="array" aca="1" ref="H13" ca="1">IFERROR(INDEX('Point Data'!$U$2:$U$225,MATCH(1,(H$2='Point Data'!$E$2:$E$225)*($B13='Point Data'!$B$2:$B$225),0)),"DNP")</f>
        <v>0</v>
      </c>
      <c r="I13" s="58">
        <f t="array" aca="1" ref="I13" ca="1">IFERROR(INDEX('Point Data'!$U$2:$U$225,MATCH(1,(I$2='Point Data'!$E$2:$E$225)*($B13='Point Data'!$B$2:$B$225),0)),"DNP")</f>
        <v>1</v>
      </c>
      <c r="J13" s="58">
        <f t="array" aca="1" ref="J13" ca="1">IFERROR(INDEX('Point Data'!$U$2:$U$225,MATCH(1,(J$2='Point Data'!$E$2:$E$225)*($B13='Point Data'!$B$2:$B$225),0)),"DNP")</f>
        <v>0</v>
      </c>
      <c r="K13" s="58">
        <f t="array" aca="1" ref="K13" ca="1">IFERROR(INDEX('Point Data'!$U$2:$U$225,MATCH(1,(K$2='Point Data'!$E$2:$E$225)*($B13='Point Data'!$B$2:$B$225),0)),"DNP")</f>
        <v>1</v>
      </c>
      <c r="L13" s="58">
        <f t="array" aca="1" ref="L13" ca="1">IFERROR(INDEX('Point Data'!$U$2:$U$225,MATCH(1,(L$2='Point Data'!$E$2:$E$225)*($B13='Point Data'!$B$2:$B$225),0)),"DNP")</f>
        <v>0</v>
      </c>
      <c r="M13" s="58" t="str">
        <f t="array" ref="M13">IFERROR(INDEX('Point Data'!$U$2:$U$225,MATCH(1,(M$2='Point Data'!$E$2:$E$225)*($B13='Point Data'!$B$2:$B$225),0)),"DNP")</f>
        <v>DNP</v>
      </c>
      <c r="N13" s="58" t="str">
        <f t="array" ref="N13">IFERROR(INDEX('Point Data'!$U$2:$U$225,MATCH(1,(N$2='Point Data'!$E$2:$E$225)*($B13='Point Data'!$B$2:$B$225),0)),"DNP")</f>
        <v>DNP</v>
      </c>
      <c r="O13" s="58" t="str">
        <f t="array" ref="O13">IFERROR(INDEX('Point Data'!$U$2:$U$225,MATCH(1,(O$2='Point Data'!$E$2:$E$225)*($B13='Point Data'!$B$2:$B$225),0)),"DNP")</f>
        <v>DNP</v>
      </c>
      <c r="P13" s="58">
        <f t="array" aca="1" ref="P13" ca="1">IFERROR(INDEX('Point Data'!$U$2:$U$225,MATCH(1,(P$2='Point Data'!$E$2:$E$225)*($B13='Point Data'!$B$2:$B$225),0)),"DNP")</f>
        <v>1</v>
      </c>
      <c r="Q13" s="58">
        <f t="array" aca="1" ref="Q13" ca="1">IFERROR(INDEX('Point Data'!$U$2:$U$225,MATCH(1,(Q$2='Point Data'!$E$2:$E$225)*($B13='Point Data'!$B$2:$B$225),0)),"DNP")</f>
        <v>1</v>
      </c>
      <c r="R13" s="58">
        <f t="array" aca="1" ref="R13" ca="1">IFERROR(INDEX('Point Data'!$U$2:$U$225,MATCH(1,(R$2='Point Data'!$E$2:$E$225)*($B13='Point Data'!$B$2:$B$225),0)),"DNP")</f>
        <v>0</v>
      </c>
    </row>
    <row r="14" spans="2:18">
      <c r="B14" s="195" t="str">
        <f>'ESPN Data'!$L$15</f>
        <v>Team 12</v>
      </c>
      <c r="C14" s="58">
        <f t="array" aca="1" ref="C14" ca="1">IFERROR(INDEX('Point Data'!$U$2:$U$225,MATCH(1,(C$2='Point Data'!$E$2:$E$225)*($B14='Point Data'!$B$2:$B$225),0)),"DNP")</f>
        <v>0</v>
      </c>
      <c r="D14" s="58">
        <f t="array" aca="1" ref="D14" ca="1">IFERROR(INDEX('Point Data'!$U$2:$U$225,MATCH(1,(D$2='Point Data'!$E$2:$E$225)*($B14='Point Data'!$B$2:$B$225),0)),"DNP")</f>
        <v>0</v>
      </c>
      <c r="E14" s="58">
        <f t="array" aca="1" ref="E14" ca="1">IFERROR(INDEX('Point Data'!$U$2:$U$225,MATCH(1,(E$2='Point Data'!$E$2:$E$225)*($B14='Point Data'!$B$2:$B$225),0)),"DNP")</f>
        <v>0</v>
      </c>
      <c r="F14" s="58">
        <f t="array" aca="1" ref="F14" ca="1">IFERROR(INDEX('Point Data'!$U$2:$U$225,MATCH(1,(F$2='Point Data'!$E$2:$E$225)*($B14='Point Data'!$B$2:$B$225),0)),"DNP")</f>
        <v>0</v>
      </c>
      <c r="G14" s="58">
        <f t="array" aca="1" ref="G14" ca="1">IFERROR(INDEX('Point Data'!$U$2:$U$225,MATCH(1,(G$2='Point Data'!$E$2:$E$225)*($B14='Point Data'!$B$2:$B$225),0)),"DNP")</f>
        <v>1</v>
      </c>
      <c r="H14" s="58">
        <f t="array" aca="1" ref="H14" ca="1">IFERROR(INDEX('Point Data'!$U$2:$U$225,MATCH(1,(H$2='Point Data'!$E$2:$E$225)*($B14='Point Data'!$B$2:$B$225),0)),"DNP")</f>
        <v>0</v>
      </c>
      <c r="I14" s="58">
        <f t="array" aca="1" ref="I14" ca="1">IFERROR(INDEX('Point Data'!$U$2:$U$225,MATCH(1,(I$2='Point Data'!$E$2:$E$225)*($B14='Point Data'!$B$2:$B$225),0)),"DNP")</f>
        <v>0</v>
      </c>
      <c r="J14" s="58">
        <f t="array" aca="1" ref="J14" ca="1">IFERROR(INDEX('Point Data'!$U$2:$U$225,MATCH(1,(J$2='Point Data'!$E$2:$E$225)*($B14='Point Data'!$B$2:$B$225),0)),"DNP")</f>
        <v>0</v>
      </c>
      <c r="K14" s="58">
        <f t="array" aca="1" ref="K14" ca="1">IFERROR(INDEX('Point Data'!$U$2:$U$225,MATCH(1,(K$2='Point Data'!$E$2:$E$225)*($B14='Point Data'!$B$2:$B$225),0)),"DNP")</f>
        <v>1</v>
      </c>
      <c r="L14" s="58">
        <f t="array" aca="1" ref="L14" ca="1">IFERROR(INDEX('Point Data'!$U$2:$U$225,MATCH(1,(L$2='Point Data'!$E$2:$E$225)*($B14='Point Data'!$B$2:$B$225),0)),"DNP")</f>
        <v>1</v>
      </c>
      <c r="M14" s="58" t="str">
        <f t="array" ref="M14">IFERROR(INDEX('Point Data'!$U$2:$U$225,MATCH(1,(M$2='Point Data'!$E$2:$E$225)*($B14='Point Data'!$B$2:$B$225),0)),"DNP")</f>
        <v>DNP</v>
      </c>
      <c r="N14" s="58" t="str">
        <f t="array" ref="N14">IFERROR(INDEX('Point Data'!$U$2:$U$225,MATCH(1,(N$2='Point Data'!$E$2:$E$225)*($B14='Point Data'!$B$2:$B$225),0)),"DNP")</f>
        <v>DNP</v>
      </c>
      <c r="O14" s="58">
        <f t="array" aca="1" ref="O14" ca="1">IFERROR(INDEX('Point Data'!$U$2:$U$225,MATCH(1,(O$2='Point Data'!$E$2:$E$225)*($B14='Point Data'!$B$2:$B$225),0)),"DNP")</f>
        <v>0</v>
      </c>
      <c r="P14" s="58">
        <f t="array" aca="1" ref="P14" ca="1">IFERROR(INDEX('Point Data'!$U$2:$U$225,MATCH(1,(P$2='Point Data'!$E$2:$E$225)*($B14='Point Data'!$B$2:$B$225),0)),"DNP")</f>
        <v>1</v>
      </c>
      <c r="Q14" s="58" t="str">
        <f t="array" ref="Q14">IFERROR(INDEX('Point Data'!$U$2:$U$225,MATCH(1,(Q$2='Point Data'!$E$2:$E$225)*($B14='Point Data'!$B$2:$B$225),0)),"DNP")</f>
        <v>DNP</v>
      </c>
      <c r="R14" s="58">
        <f t="array" aca="1" ref="R14" ca="1">IFERROR(INDEX('Point Data'!$U$2:$U$225,MATCH(1,(R$2='Point Data'!$E$2:$E$225)*($B14='Point Data'!$B$2:$B$225),0)),"DNP")</f>
        <v>0</v>
      </c>
    </row>
    <row r="15" spans="2:18">
      <c r="B15" s="195" t="str">
        <f>'ESPN Data'!$L$16</f>
        <v>Team 13</v>
      </c>
      <c r="C15" s="58">
        <f t="array" aca="1" ref="C15" ca="1">IFERROR(INDEX('Point Data'!$U$2:$U$225,MATCH(1,(C$2='Point Data'!$E$2:$E$225)*($B15='Point Data'!$B$2:$B$225),0)),"DNP")</f>
        <v>0</v>
      </c>
      <c r="D15" s="58">
        <f t="array" aca="1" ref="D15" ca="1">IFERROR(INDEX('Point Data'!$U$2:$U$225,MATCH(1,(D$2='Point Data'!$E$2:$E$225)*($B15='Point Data'!$B$2:$B$225),0)),"DNP")</f>
        <v>1</v>
      </c>
      <c r="E15" s="58">
        <f t="array" aca="1" ref="E15" ca="1">IFERROR(INDEX('Point Data'!$U$2:$U$225,MATCH(1,(E$2='Point Data'!$E$2:$E$225)*($B15='Point Data'!$B$2:$B$225),0)),"DNP")</f>
        <v>0</v>
      </c>
      <c r="F15" s="58">
        <f t="array" aca="1" ref="F15" ca="1">IFERROR(INDEX('Point Data'!$U$2:$U$225,MATCH(1,(F$2='Point Data'!$E$2:$E$225)*($B15='Point Data'!$B$2:$B$225),0)),"DNP")</f>
        <v>1</v>
      </c>
      <c r="G15" s="58">
        <f t="array" aca="1" ref="G15" ca="1">IFERROR(INDEX('Point Data'!$U$2:$U$225,MATCH(1,(G$2='Point Data'!$E$2:$E$225)*($B15='Point Data'!$B$2:$B$225),0)),"DNP")</f>
        <v>0</v>
      </c>
      <c r="H15" s="58">
        <f t="array" aca="1" ref="H15" ca="1">IFERROR(INDEX('Point Data'!$U$2:$U$225,MATCH(1,(H$2='Point Data'!$E$2:$E$225)*($B15='Point Data'!$B$2:$B$225),0)),"DNP")</f>
        <v>1</v>
      </c>
      <c r="I15" s="58" t="str">
        <f t="array" ref="I15">IFERROR(INDEX('Point Data'!$U$2:$U$225,MATCH(1,(I$2='Point Data'!$E$2:$E$225)*($B15='Point Data'!$B$2:$B$225),0)),"DNP")</f>
        <v>DNP</v>
      </c>
      <c r="J15" s="58">
        <f t="array" aca="1" ref="J15" ca="1">IFERROR(INDEX('Point Data'!$U$2:$U$225,MATCH(1,(J$2='Point Data'!$E$2:$E$225)*($B15='Point Data'!$B$2:$B$225),0)),"DNP")</f>
        <v>0</v>
      </c>
      <c r="K15" s="58">
        <f t="array" aca="1" ref="K15" ca="1">IFERROR(INDEX('Point Data'!$U$2:$U$225,MATCH(1,(K$2='Point Data'!$E$2:$E$225)*($B15='Point Data'!$B$2:$B$225),0)),"DNP")</f>
        <v>0</v>
      </c>
      <c r="L15" s="58">
        <f t="array" aca="1" ref="L15" ca="1">IFERROR(INDEX('Point Data'!$U$2:$U$225,MATCH(1,(L$2='Point Data'!$E$2:$E$225)*($B15='Point Data'!$B$2:$B$225),0)),"DNP")</f>
        <v>0</v>
      </c>
      <c r="M15" s="58" t="str">
        <f t="array" ref="M15">IFERROR(INDEX('Point Data'!$U$2:$U$225,MATCH(1,(M$2='Point Data'!$E$2:$E$225)*($B15='Point Data'!$B$2:$B$225),0)),"DNP")</f>
        <v>DNP</v>
      </c>
      <c r="N15" s="58">
        <f t="array" aca="1" ref="N15" ca="1">IFERROR(INDEX('Point Data'!$U$2:$U$225,MATCH(1,(N$2='Point Data'!$E$2:$E$225)*($B15='Point Data'!$B$2:$B$225),0)),"DNP")</f>
        <v>1</v>
      </c>
      <c r="O15" s="58" t="str">
        <f t="array" ref="O15">IFERROR(INDEX('Point Data'!$U$2:$U$225,MATCH(1,(O$2='Point Data'!$E$2:$E$225)*($B15='Point Data'!$B$2:$B$225),0)),"DNP")</f>
        <v>DNP</v>
      </c>
      <c r="P15" s="58">
        <f t="array" aca="1" ref="P15" ca="1">IFERROR(INDEX('Point Data'!$U$2:$U$225,MATCH(1,(P$2='Point Data'!$E$2:$E$225)*($B15='Point Data'!$B$2:$B$225),0)),"DNP")</f>
        <v>0</v>
      </c>
      <c r="Q15" s="58">
        <f t="array" aca="1" ref="Q15" ca="1">IFERROR(INDEX('Point Data'!$U$2:$U$225,MATCH(1,(Q$2='Point Data'!$E$2:$E$225)*($B15='Point Data'!$B$2:$B$225),0)),"DNP")</f>
        <v>0</v>
      </c>
      <c r="R15" s="58">
        <f t="array" aca="1" ref="R15" ca="1">IFERROR(INDEX('Point Data'!$U$2:$U$225,MATCH(1,(R$2='Point Data'!$E$2:$E$225)*($B15='Point Data'!$B$2:$B$225),0)),"DNP")</f>
        <v>1</v>
      </c>
    </row>
    <row r="16" spans="2:18">
      <c r="B16" s="195" t="str">
        <f>'ESPN Data'!$L$17</f>
        <v>Team 14</v>
      </c>
      <c r="C16" s="58" t="str">
        <f t="array" ref="C16">IFERROR(INDEX('Point Data'!$U$2:$U$225,MATCH(1,(C$2='Point Data'!$E$2:$E$225)*($B16='Point Data'!$B$2:$B$225),0)),"DNP")</f>
        <v>DNP</v>
      </c>
      <c r="D16" s="58">
        <f t="array" aca="1" ref="D16" ca="1">IFERROR(INDEX('Point Data'!$U$2:$U$225,MATCH(1,(D$2='Point Data'!$E$2:$E$225)*($B16='Point Data'!$B$2:$B$225),0)),"DNP")</f>
        <v>1</v>
      </c>
      <c r="E16" s="58" t="str">
        <f t="array" ref="E16">IFERROR(INDEX('Point Data'!$U$2:$U$225,MATCH(1,(E$2='Point Data'!$E$2:$E$225)*($B16='Point Data'!$B$2:$B$225),0)),"DNP")</f>
        <v>DNP</v>
      </c>
      <c r="F16" s="58">
        <f t="array" aca="1" ref="F16" ca="1">IFERROR(INDEX('Point Data'!$U$2:$U$225,MATCH(1,(F$2='Point Data'!$E$2:$E$225)*($B16='Point Data'!$B$2:$B$225),0)),"DNP")</f>
        <v>0</v>
      </c>
      <c r="G16" s="58">
        <f t="array" aca="1" ref="G16" ca="1">IFERROR(INDEX('Point Data'!$U$2:$U$225,MATCH(1,(G$2='Point Data'!$E$2:$E$225)*($B16='Point Data'!$B$2:$B$225),0)),"DNP")</f>
        <v>0</v>
      </c>
      <c r="H16" s="58">
        <f t="array" aca="1" ref="H16" ca="1">IFERROR(INDEX('Point Data'!$U$2:$U$225,MATCH(1,(H$2='Point Data'!$E$2:$E$225)*($B16='Point Data'!$B$2:$B$225),0)),"DNP")</f>
        <v>1</v>
      </c>
      <c r="I16" s="58">
        <f t="array" aca="1" ref="I16" ca="1">IFERROR(INDEX('Point Data'!$U$2:$U$225,MATCH(1,(I$2='Point Data'!$E$2:$E$225)*($B16='Point Data'!$B$2:$B$225),0)),"DNP")</f>
        <v>0</v>
      </c>
      <c r="J16" s="58">
        <f t="array" aca="1" ref="J16" ca="1">IFERROR(INDEX('Point Data'!$U$2:$U$225,MATCH(1,(J$2='Point Data'!$E$2:$E$225)*($B16='Point Data'!$B$2:$B$225),0)),"DNP")</f>
        <v>1</v>
      </c>
      <c r="K16" s="58">
        <f t="array" aca="1" ref="K16" ca="1">IFERROR(INDEX('Point Data'!$U$2:$U$225,MATCH(1,(K$2='Point Data'!$E$2:$E$225)*($B16='Point Data'!$B$2:$B$225),0)),"DNP")</f>
        <v>0</v>
      </c>
      <c r="L16" s="58">
        <f t="array" aca="1" ref="L16" ca="1">IFERROR(INDEX('Point Data'!$U$2:$U$225,MATCH(1,(L$2='Point Data'!$E$2:$E$225)*($B16='Point Data'!$B$2:$B$225),0)),"DNP")</f>
        <v>1</v>
      </c>
      <c r="M16" s="58">
        <f t="array" aca="1" ref="M16" ca="1">IFERROR(INDEX('Point Data'!$U$2:$U$225,MATCH(1,(M$2='Point Data'!$E$2:$E$225)*($B16='Point Data'!$B$2:$B$225),0)),"DNP")</f>
        <v>0</v>
      </c>
      <c r="N16" s="58">
        <f t="array" aca="1" ref="N16" ca="1">IFERROR(INDEX('Point Data'!$U$2:$U$225,MATCH(1,(N$2='Point Data'!$E$2:$E$225)*($B16='Point Data'!$B$2:$B$225),0)),"DNP")</f>
        <v>0</v>
      </c>
      <c r="O16" s="58">
        <f t="array" aca="1" ref="O16" ca="1">IFERROR(INDEX('Point Data'!$U$2:$U$225,MATCH(1,(O$2='Point Data'!$E$2:$E$225)*($B16='Point Data'!$B$2:$B$225),0)),"DNP")</f>
        <v>1</v>
      </c>
      <c r="P16" s="58" t="str">
        <f t="array" ref="P16">IFERROR(INDEX('Point Data'!$U$2:$U$225,MATCH(1,(P$2='Point Data'!$E$2:$E$225)*($B16='Point Data'!$B$2:$B$225),0)),"DNP")</f>
        <v>DNP</v>
      </c>
      <c r="Q16" s="58">
        <f t="array" aca="1" ref="Q16" ca="1">IFERROR(INDEX('Point Data'!$U$2:$U$225,MATCH(1,(Q$2='Point Data'!$E$2:$E$225)*($B16='Point Data'!$B$2:$B$225),0)),"DNP")</f>
        <v>1</v>
      </c>
      <c r="R16" s="58">
        <f t="array" aca="1" ref="R16" ca="1">IFERROR(INDEX('Point Data'!$U$2:$U$225,MATCH(1,(R$2='Point Data'!$E$2:$E$225)*($B16='Point Data'!$B$2:$B$225),0)),"DNP")</f>
        <v>1</v>
      </c>
    </row>
    <row r="17" spans="1:25">
      <c r="B17" s="195" t="str">
        <f>'ESPN Data'!$L$18</f>
        <v>Team 15</v>
      </c>
      <c r="C17" s="58">
        <f t="array" aca="1" ref="C17" ca="1">IFERROR(INDEX('Point Data'!$U$2:$U$225,MATCH(1,(C$2='Point Data'!$E$2:$E$225)*($B17='Point Data'!$B$2:$B$225),0)),"DNP")</f>
        <v>0</v>
      </c>
      <c r="D17" s="58">
        <f t="array" aca="1" ref="D17" ca="1">IFERROR(INDEX('Point Data'!$U$2:$U$225,MATCH(1,(D$2='Point Data'!$E$2:$E$225)*($B17='Point Data'!$B$2:$B$225),0)),"DNP")</f>
        <v>0</v>
      </c>
      <c r="E17" s="58">
        <f t="array" aca="1" ref="E17" ca="1">IFERROR(INDEX('Point Data'!$U$2:$U$225,MATCH(1,(E$2='Point Data'!$E$2:$E$225)*($B17='Point Data'!$B$2:$B$225),0)),"DNP")</f>
        <v>1</v>
      </c>
      <c r="F17" s="58">
        <f t="array" aca="1" ref="F17" ca="1">IFERROR(INDEX('Point Data'!$U$2:$U$225,MATCH(1,(F$2='Point Data'!$E$2:$E$225)*($B17='Point Data'!$B$2:$B$225),0)),"DNP")</f>
        <v>0</v>
      </c>
      <c r="G17" s="58" t="str">
        <f t="array" ref="G17">IFERROR(INDEX('Point Data'!$U$2:$U$225,MATCH(1,(G$2='Point Data'!$E$2:$E$225)*($B17='Point Data'!$B$2:$B$225),0)),"DNP")</f>
        <v>DNP</v>
      </c>
      <c r="H17" s="58">
        <f t="array" aca="1" ref="H17" ca="1">IFERROR(INDEX('Point Data'!$U$2:$U$225,MATCH(1,(H$2='Point Data'!$E$2:$E$225)*($B17='Point Data'!$B$2:$B$225),0)),"DNP")</f>
        <v>0</v>
      </c>
      <c r="I17" s="58">
        <f t="array" aca="1" ref="I17" ca="1">IFERROR(INDEX('Point Data'!$U$2:$U$225,MATCH(1,(I$2='Point Data'!$E$2:$E$225)*($B17='Point Data'!$B$2:$B$225),0)),"DNP")</f>
        <v>1</v>
      </c>
      <c r="J17" s="58">
        <f t="array" aca="1" ref="J17" ca="1">IFERROR(INDEX('Point Data'!$U$2:$U$225,MATCH(1,(J$2='Point Data'!$E$2:$E$225)*($B17='Point Data'!$B$2:$B$225),0)),"DNP")</f>
        <v>1</v>
      </c>
      <c r="K17" s="58">
        <f t="array" aca="1" ref="K17" ca="1">IFERROR(INDEX('Point Data'!$U$2:$U$225,MATCH(1,(K$2='Point Data'!$E$2:$E$225)*($B17='Point Data'!$B$2:$B$225),0)),"DNP")</f>
        <v>0</v>
      </c>
      <c r="L17" s="58">
        <f t="array" aca="1" ref="L17" ca="1">IFERROR(INDEX('Point Data'!$U$2:$U$225,MATCH(1,(L$2='Point Data'!$E$2:$E$225)*($B17='Point Data'!$B$2:$B$225),0)),"DNP")</f>
        <v>1</v>
      </c>
      <c r="M17" s="58">
        <f t="array" aca="1" ref="M17" ca="1">IFERROR(INDEX('Point Data'!$U$2:$U$225,MATCH(1,(M$2='Point Data'!$E$2:$E$225)*($B17='Point Data'!$B$2:$B$225),0)),"DNP")</f>
        <v>0</v>
      </c>
      <c r="N17" s="58" t="str">
        <f t="array" ref="N17">IFERROR(INDEX('Point Data'!$U$2:$U$225,MATCH(1,(N$2='Point Data'!$E$2:$E$225)*($B17='Point Data'!$B$2:$B$225),0)),"DNP")</f>
        <v>DNP</v>
      </c>
      <c r="O17" s="58">
        <f t="array" aca="1" ref="O17" ca="1">IFERROR(INDEX('Point Data'!$U$2:$U$225,MATCH(1,(O$2='Point Data'!$E$2:$E$225)*($B17='Point Data'!$B$2:$B$225),0)),"DNP")</f>
        <v>1</v>
      </c>
      <c r="P17" s="58">
        <f t="array" aca="1" ref="P17" ca="1">IFERROR(INDEX('Point Data'!$U$2:$U$225,MATCH(1,(P$2='Point Data'!$E$2:$E$225)*($B17='Point Data'!$B$2:$B$225),0)),"DNP")</f>
        <v>0</v>
      </c>
      <c r="Q17" s="58" t="str">
        <f t="array" ref="Q17">IFERROR(INDEX('Point Data'!$U$2:$U$225,MATCH(1,(Q$2='Point Data'!$E$2:$E$225)*($B17='Point Data'!$B$2:$B$225),0)),"DNP")</f>
        <v>DNP</v>
      </c>
      <c r="R17" s="58">
        <f t="array" aca="1" ref="R17" ca="1">IFERROR(INDEX('Point Data'!$U$2:$U$225,MATCH(1,(R$2='Point Data'!$E$2:$E$225)*($B17='Point Data'!$B$2:$B$225),0)),"DNP")</f>
        <v>0</v>
      </c>
    </row>
    <row r="18" spans="1:25" ht="16" thickBot="1">
      <c r="B18" s="196" t="str">
        <f>'ESPN Data'!$L$19</f>
        <v>Team 16</v>
      </c>
      <c r="C18" s="58">
        <f t="array" aca="1" ref="C18" ca="1">IFERROR(INDEX('Point Data'!$U$2:$U$225,MATCH(1,(C$2='Point Data'!$E$2:$E$225)*($B18='Point Data'!$B$2:$B$225),0)),"DNP")</f>
        <v>0</v>
      </c>
      <c r="D18" s="58">
        <f t="array" aca="1" ref="D18" ca="1">IFERROR(INDEX('Point Data'!$U$2:$U$225,MATCH(1,(D$2='Point Data'!$E$2:$E$225)*($B18='Point Data'!$B$2:$B$225),0)),"DNP")</f>
        <v>1</v>
      </c>
      <c r="E18" s="58">
        <f t="array" aca="1" ref="E18" ca="1">IFERROR(INDEX('Point Data'!$U$2:$U$225,MATCH(1,(E$2='Point Data'!$E$2:$E$225)*($B18='Point Data'!$B$2:$B$225),0)),"DNP")</f>
        <v>0</v>
      </c>
      <c r="F18" s="58">
        <f t="array" aca="1" ref="F18" ca="1">IFERROR(INDEX('Point Data'!$U$2:$U$225,MATCH(1,(F$2='Point Data'!$E$2:$E$225)*($B18='Point Data'!$B$2:$B$225),0)),"DNP")</f>
        <v>0</v>
      </c>
      <c r="G18" s="58">
        <f t="array" aca="1" ref="G18" ca="1">IFERROR(INDEX('Point Data'!$U$2:$U$225,MATCH(1,(G$2='Point Data'!$E$2:$E$225)*($B18='Point Data'!$B$2:$B$225),0)),"DNP")</f>
        <v>0</v>
      </c>
      <c r="H18" s="58" t="str">
        <f t="array" ref="H18">IFERROR(INDEX('Point Data'!$U$2:$U$225,MATCH(1,(H$2='Point Data'!$E$2:$E$225)*($B18='Point Data'!$B$2:$B$225),0)),"DNP")</f>
        <v>DNP</v>
      </c>
      <c r="I18" s="58">
        <f t="array" aca="1" ref="I18" ca="1">IFERROR(INDEX('Point Data'!$U$2:$U$225,MATCH(1,(I$2='Point Data'!$E$2:$E$225)*($B18='Point Data'!$B$2:$B$225),0)),"DNP")</f>
        <v>0</v>
      </c>
      <c r="J18" s="58" t="str">
        <f t="array" ref="J18">IFERROR(INDEX('Point Data'!$U$2:$U$225,MATCH(1,(J$2='Point Data'!$E$2:$E$225)*($B18='Point Data'!$B$2:$B$225),0)),"DNP")</f>
        <v>DNP</v>
      </c>
      <c r="K18" s="58">
        <f t="array" aca="1" ref="K18" ca="1">IFERROR(INDEX('Point Data'!$U$2:$U$225,MATCH(1,(K$2='Point Data'!$E$2:$E$225)*($B18='Point Data'!$B$2:$B$225),0)),"DNP")</f>
        <v>0</v>
      </c>
      <c r="L18" s="58">
        <f t="array" aca="1" ref="L18" ca="1">IFERROR(INDEX('Point Data'!$U$2:$U$225,MATCH(1,(L$2='Point Data'!$E$2:$E$225)*($B18='Point Data'!$B$2:$B$225),0)),"DNP")</f>
        <v>0</v>
      </c>
      <c r="M18" s="58">
        <f t="array" aca="1" ref="M18" ca="1">IFERROR(INDEX('Point Data'!$U$2:$U$225,MATCH(1,(M$2='Point Data'!$E$2:$E$225)*($B18='Point Data'!$B$2:$B$225),0)),"DNP")</f>
        <v>1</v>
      </c>
      <c r="N18" s="58">
        <f t="array" aca="1" ref="N18" ca="1">IFERROR(INDEX('Point Data'!$U$2:$U$225,MATCH(1,(N$2='Point Data'!$E$2:$E$225)*($B18='Point Data'!$B$2:$B$225),0)),"DNP")</f>
        <v>1</v>
      </c>
      <c r="O18" s="58">
        <f t="array" aca="1" ref="O18" ca="1">IFERROR(INDEX('Point Data'!$U$2:$U$225,MATCH(1,(O$2='Point Data'!$E$2:$E$225)*($B18='Point Data'!$B$2:$B$225),0)),"DNP")</f>
        <v>0</v>
      </c>
      <c r="P18" s="58">
        <f t="array" aca="1" ref="P18" ca="1">IFERROR(INDEX('Point Data'!$U$2:$U$225,MATCH(1,(P$2='Point Data'!$E$2:$E$225)*($B18='Point Data'!$B$2:$B$225),0)),"DNP")</f>
        <v>0</v>
      </c>
      <c r="Q18" s="58">
        <f t="array" aca="1" ref="Q18" ca="1">IFERROR(INDEX('Point Data'!$U$2:$U$225,MATCH(1,(Q$2='Point Data'!$E$2:$E$225)*($B18='Point Data'!$B$2:$B$225),0)),"DNP")</f>
        <v>1</v>
      </c>
      <c r="R18" s="58" t="str">
        <f t="array" ref="R18">IFERROR(INDEX('Point Data'!$U$2:$U$225,MATCH(1,(R$2='Point Data'!$E$2:$E$225)*($B18='Point Data'!$B$2:$B$225),0)),"DNP")</f>
        <v>DNP</v>
      </c>
    </row>
    <row r="19" spans="1:25" ht="16" thickBot="1"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25" ht="16" thickBot="1">
      <c r="A20" s="520" t="s">
        <v>151</v>
      </c>
      <c r="B20" s="159" t="s">
        <v>23</v>
      </c>
      <c r="C20" s="522" t="s">
        <v>24</v>
      </c>
      <c r="D20" s="523" t="s">
        <v>25</v>
      </c>
      <c r="E20" s="518"/>
    </row>
    <row r="21" spans="1:25">
      <c r="A21" s="651">
        <v>1</v>
      </c>
      <c r="B21" s="237" t="s">
        <v>90</v>
      </c>
      <c r="C21" s="242" t="s">
        <v>92</v>
      </c>
      <c r="D21" s="79" t="e">
        <f>IF(INDEX($C$3:$R$18,MATCH(B21,$B$3:$B$18,0),MATCH(C21,$C$2:$R$2,0))="","",INDEX($C$3:$R$18,MATCH(B21,$B$3:$B$18,0),MATCH(C21,$C$2:$R$2,0)))</f>
        <v>#N/A</v>
      </c>
      <c r="E21" s="524"/>
      <c r="F21" s="654"/>
      <c r="G21" s="654"/>
    </row>
    <row r="22" spans="1:25">
      <c r="A22" s="652"/>
      <c r="B22" s="246" t="s">
        <v>90</v>
      </c>
      <c r="C22" s="250" t="s">
        <v>99</v>
      </c>
      <c r="D22" s="55" t="e">
        <f t="shared" ref="D22:D26" si="0">IF(INDEX($C$3:$R$18,MATCH(B22,$B$3:$B$18,0),MATCH(C22,$C$2:$R$2,0))="","",INDEX($C$3:$R$18,MATCH(B22,$B$3:$B$18,0),MATCH(C22,$C$2:$R$2,0)))</f>
        <v>#N/A</v>
      </c>
      <c r="E22" s="524"/>
    </row>
    <row r="23" spans="1:25">
      <c r="A23" s="652"/>
      <c r="B23" s="246" t="s">
        <v>90</v>
      </c>
      <c r="C23" s="250" t="s">
        <v>100</v>
      </c>
      <c r="D23" s="55" t="e">
        <f t="shared" si="0"/>
        <v>#N/A</v>
      </c>
      <c r="E23" s="524"/>
      <c r="F23" s="18"/>
      <c r="G23" s="19"/>
      <c r="H23" s="16"/>
    </row>
    <row r="24" spans="1:25">
      <c r="A24" s="652"/>
      <c r="B24" s="246" t="s">
        <v>92</v>
      </c>
      <c r="C24" s="250" t="s">
        <v>99</v>
      </c>
      <c r="D24" s="55" t="e">
        <f t="shared" si="0"/>
        <v>#N/A</v>
      </c>
      <c r="E24" s="524"/>
      <c r="F24" s="18"/>
      <c r="G24" s="19"/>
      <c r="H24" s="16"/>
    </row>
    <row r="25" spans="1:25">
      <c r="A25" s="652"/>
      <c r="B25" s="246" t="s">
        <v>92</v>
      </c>
      <c r="C25" s="250" t="s">
        <v>100</v>
      </c>
      <c r="D25" s="55" t="e">
        <f t="shared" si="0"/>
        <v>#N/A</v>
      </c>
      <c r="E25" s="524"/>
      <c r="F25" s="18"/>
      <c r="G25" s="19"/>
      <c r="H25" s="16"/>
    </row>
    <row r="26" spans="1:25" ht="16" thickBot="1">
      <c r="A26" s="653"/>
      <c r="B26" s="262" t="s">
        <v>99</v>
      </c>
      <c r="C26" s="258" t="s">
        <v>100</v>
      </c>
      <c r="D26" s="158" t="e">
        <f t="shared" si="0"/>
        <v>#N/A</v>
      </c>
      <c r="E26" s="524"/>
      <c r="F26" s="18"/>
      <c r="G26" s="19"/>
      <c r="H26" s="1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</row>
    <row r="27" spans="1:25">
      <c r="A27" s="651">
        <v>6</v>
      </c>
      <c r="B27" s="237" t="s">
        <v>90</v>
      </c>
      <c r="C27" s="266" t="s">
        <v>94</v>
      </c>
      <c r="D27" s="79" t="e">
        <f>IF(INDEX($C$3:$R$18,MATCH(B27,$B$3:$B$18,0),MATCH(C27,$C$2:$R$2,0))="","",INDEX($C$3:$R$18,MATCH(B27,$B$3:$B$18,0),MATCH(C27,$C$2:$R$2,0)))</f>
        <v>#N/A</v>
      </c>
      <c r="E27" s="524"/>
      <c r="F27" s="18"/>
      <c r="G27" s="19"/>
      <c r="H27" s="16"/>
      <c r="I27" s="87"/>
      <c r="J27" s="88"/>
      <c r="K27" s="88"/>
      <c r="L27" s="88"/>
      <c r="M27" s="88"/>
      <c r="N27" s="89"/>
      <c r="O27" s="89"/>
      <c r="P27" s="89"/>
      <c r="Q27" s="89"/>
      <c r="R27" s="90"/>
      <c r="S27" s="90"/>
      <c r="T27" s="90"/>
      <c r="U27" s="90"/>
      <c r="V27" s="91"/>
      <c r="W27" s="91"/>
      <c r="X27" s="91"/>
      <c r="Y27" s="91"/>
    </row>
    <row r="28" spans="1:25">
      <c r="A28" s="652"/>
      <c r="B28" s="246" t="s">
        <v>92</v>
      </c>
      <c r="C28" s="267" t="s">
        <v>99</v>
      </c>
      <c r="D28" s="55" t="e">
        <f>IF(INDEX($C$3:$R$18,MATCH(B28,$B$3:$B$18,0),MATCH(C28,$C$2:$R$2,0))="","",INDEX($C$3:$R$18,MATCH(B28,$B$3:$B$18,0),MATCH(C28,$C$2:$R$2,0)))</f>
        <v>#N/A</v>
      </c>
      <c r="E28" s="524"/>
      <c r="F28" s="18"/>
      <c r="G28" s="19"/>
      <c r="H28" s="16"/>
      <c r="I28" s="87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</row>
    <row r="29" spans="1:25">
      <c r="A29" s="652"/>
      <c r="B29" s="246" t="s">
        <v>92</v>
      </c>
      <c r="C29" s="267" t="s">
        <v>100</v>
      </c>
      <c r="D29" s="55" t="e">
        <f>IF(INDEX($C$3:$R$18,MATCH(B29,$B$3:$B$18,0),MATCH(C29,$C$2:$R$2,0))="","",INDEX($C$3:$R$18,MATCH(B29,$B$3:$B$18,0),MATCH(C29,$C$2:$R$2,0)))</f>
        <v>#N/A</v>
      </c>
      <c r="E29" s="524"/>
      <c r="F29" s="18"/>
      <c r="G29" s="19"/>
      <c r="H29" s="16"/>
      <c r="I29" s="87"/>
      <c r="J29" s="89"/>
      <c r="K29" s="89"/>
      <c r="L29" s="89"/>
      <c r="M29" s="89"/>
      <c r="N29" s="88"/>
      <c r="O29" s="88"/>
      <c r="P29" s="88"/>
      <c r="Q29" s="88"/>
      <c r="R29" s="91"/>
      <c r="S29" s="91"/>
      <c r="T29" s="91"/>
      <c r="U29" s="91"/>
      <c r="V29" s="90"/>
      <c r="W29" s="90"/>
      <c r="X29" s="90"/>
      <c r="Y29" s="90"/>
    </row>
    <row r="30" spans="1:25" ht="16" thickBot="1">
      <c r="A30" s="653"/>
      <c r="B30" s="271" t="s">
        <v>99</v>
      </c>
      <c r="C30" s="275" t="s">
        <v>100</v>
      </c>
      <c r="D30" s="236" t="e">
        <f>IF(INDEX($C$3:$R$18,MATCH(B30,$B$3:$B$18,0),MATCH(C30,$C$2:$R$2,0))="","",INDEX($C$3:$R$18,MATCH(B30,$B$3:$B$18,0),MATCH(C30,$C$2:$R$2,0)))</f>
        <v>#N/A</v>
      </c>
      <c r="E30" s="524"/>
      <c r="F30" s="18"/>
      <c r="G30" s="19"/>
      <c r="H30" s="16"/>
      <c r="I30" s="87"/>
      <c r="J30" s="89"/>
      <c r="K30" s="89"/>
      <c r="L30" s="89"/>
      <c r="M30" s="89"/>
      <c r="N30" s="88"/>
      <c r="O30" s="88"/>
      <c r="P30" s="88"/>
      <c r="Q30" s="88"/>
      <c r="R30" s="91"/>
      <c r="S30" s="91"/>
      <c r="T30" s="91"/>
      <c r="U30" s="91"/>
      <c r="V30" s="90"/>
      <c r="W30" s="90"/>
      <c r="X30" s="90"/>
      <c r="Y30" s="90"/>
    </row>
    <row r="31" spans="1:25">
      <c r="A31" s="655">
        <v>2</v>
      </c>
      <c r="B31" s="237" t="s">
        <v>90</v>
      </c>
      <c r="C31" s="242" t="s">
        <v>92</v>
      </c>
      <c r="D31" s="231" t="e">
        <f t="shared" ref="D31:D94" si="1">IF(INDEX($C$3:$R$18,MATCH(B31,$B$3:$B$18,0),MATCH(C31,$C$2:$R$2,0))="","",INDEX($C$3:$R$18,MATCH(B31,$B$3:$B$18,0),MATCH(C31,$C$2:$R$2,0)))</f>
        <v>#N/A</v>
      </c>
      <c r="E31" s="524"/>
      <c r="F31" s="18"/>
      <c r="G31" s="19"/>
      <c r="H31" s="16"/>
      <c r="I31" s="87"/>
      <c r="J31" s="90"/>
      <c r="K31" s="90"/>
      <c r="L31" s="90"/>
      <c r="M31" s="90"/>
      <c r="N31" s="91"/>
      <c r="O31" s="91"/>
      <c r="P31" s="91"/>
      <c r="Q31" s="91"/>
      <c r="R31" s="88"/>
      <c r="S31" s="88"/>
      <c r="T31" s="88"/>
      <c r="U31" s="88"/>
      <c r="V31" s="89"/>
      <c r="W31" s="89"/>
      <c r="X31" s="89"/>
      <c r="Y31" s="89"/>
    </row>
    <row r="32" spans="1:25">
      <c r="A32" s="656"/>
      <c r="B32" s="246" t="s">
        <v>90</v>
      </c>
      <c r="C32" s="250" t="s">
        <v>102</v>
      </c>
      <c r="D32" s="232" t="e">
        <f t="shared" si="1"/>
        <v>#N/A</v>
      </c>
      <c r="E32" s="524"/>
      <c r="F32" s="18"/>
      <c r="G32" s="19"/>
      <c r="H32" s="16"/>
      <c r="I32" s="87"/>
      <c r="J32" s="90"/>
      <c r="K32" s="90"/>
      <c r="L32" s="90"/>
      <c r="M32" s="90"/>
      <c r="N32" s="91"/>
      <c r="O32" s="91"/>
      <c r="P32" s="91"/>
      <c r="Q32" s="91"/>
      <c r="R32" s="88"/>
      <c r="S32" s="88"/>
      <c r="T32" s="88"/>
      <c r="U32" s="88"/>
      <c r="V32" s="89"/>
      <c r="W32" s="89"/>
      <c r="X32" s="89"/>
      <c r="Y32" s="89"/>
    </row>
    <row r="33" spans="1:25" ht="16" thickBot="1">
      <c r="A33" s="656"/>
      <c r="B33" s="271" t="s">
        <v>90</v>
      </c>
      <c r="C33" s="274" t="s">
        <v>100</v>
      </c>
      <c r="D33" s="232" t="e">
        <f t="shared" si="1"/>
        <v>#N/A</v>
      </c>
      <c r="E33" s="524"/>
      <c r="F33" s="18"/>
      <c r="G33" s="19"/>
      <c r="H33" s="16"/>
      <c r="I33" s="87"/>
      <c r="J33" s="90"/>
      <c r="K33" s="90"/>
      <c r="L33" s="90"/>
      <c r="M33" s="90"/>
      <c r="N33" s="91"/>
      <c r="O33" s="91"/>
      <c r="P33" s="91"/>
      <c r="Q33" s="91"/>
      <c r="R33" s="88"/>
      <c r="S33" s="88"/>
      <c r="T33" s="88"/>
      <c r="U33" s="88"/>
      <c r="V33" s="89"/>
      <c r="W33" s="89"/>
      <c r="X33" s="89"/>
      <c r="Y33" s="89"/>
    </row>
    <row r="34" spans="1:25">
      <c r="A34" s="656"/>
      <c r="B34" s="237" t="s">
        <v>92</v>
      </c>
      <c r="C34" s="242" t="s">
        <v>102</v>
      </c>
      <c r="D34" s="232" t="e">
        <f t="shared" si="1"/>
        <v>#N/A</v>
      </c>
      <c r="E34" s="524"/>
      <c r="F34" s="51" t="s">
        <v>29</v>
      </c>
      <c r="G34" s="16"/>
      <c r="H34" s="16"/>
      <c r="I34" s="87"/>
      <c r="J34" s="90"/>
      <c r="K34" s="90"/>
      <c r="L34" s="90"/>
      <c r="M34" s="90"/>
      <c r="N34" s="91"/>
      <c r="O34" s="91"/>
      <c r="P34" s="91"/>
      <c r="Q34" s="91"/>
      <c r="R34" s="88"/>
      <c r="S34" s="88"/>
      <c r="T34" s="88"/>
      <c r="U34" s="88"/>
      <c r="V34" s="89"/>
      <c r="W34" s="89"/>
      <c r="X34" s="89"/>
      <c r="Y34" s="89"/>
    </row>
    <row r="35" spans="1:25" ht="16" thickBot="1">
      <c r="A35" s="656"/>
      <c r="B35" s="262" t="s">
        <v>92</v>
      </c>
      <c r="C35" s="258" t="s">
        <v>100</v>
      </c>
      <c r="D35" s="232" t="e">
        <f t="shared" si="1"/>
        <v>#N/A</v>
      </c>
      <c r="E35" s="524"/>
      <c r="F35" s="16"/>
      <c r="G35" s="16"/>
      <c r="H35" s="16"/>
      <c r="I35" s="87"/>
      <c r="J35" s="91"/>
      <c r="K35" s="91"/>
      <c r="L35" s="91"/>
      <c r="M35" s="91"/>
      <c r="N35" s="90"/>
      <c r="O35" s="90"/>
      <c r="P35" s="90"/>
      <c r="Q35" s="90"/>
      <c r="R35" s="89"/>
      <c r="S35" s="89"/>
      <c r="T35" s="89"/>
      <c r="U35" s="89"/>
      <c r="V35" s="88"/>
      <c r="W35" s="88"/>
      <c r="X35" s="88"/>
      <c r="Y35" s="88"/>
    </row>
    <row r="36" spans="1:25">
      <c r="A36" s="656"/>
      <c r="B36" s="237" t="s">
        <v>100</v>
      </c>
      <c r="C36" s="242" t="s">
        <v>102</v>
      </c>
      <c r="D36" s="232" t="e">
        <f t="shared" si="1"/>
        <v>#N/A</v>
      </c>
      <c r="E36" s="524"/>
      <c r="I36" s="87"/>
      <c r="J36" s="91"/>
      <c r="K36" s="91"/>
      <c r="L36" s="91"/>
      <c r="M36" s="91"/>
      <c r="N36" s="90"/>
      <c r="O36" s="90"/>
      <c r="P36" s="90"/>
      <c r="Q36" s="90"/>
      <c r="R36" s="89"/>
      <c r="S36" s="89"/>
      <c r="T36" s="89"/>
      <c r="U36" s="89"/>
      <c r="V36" s="88"/>
      <c r="W36" s="88"/>
      <c r="X36" s="88"/>
      <c r="Y36" s="88"/>
    </row>
    <row r="37" spans="1:25" ht="16" thickBot="1">
      <c r="A37" s="656"/>
      <c r="B37" s="262" t="s">
        <v>100</v>
      </c>
      <c r="C37" s="258" t="s">
        <v>92</v>
      </c>
      <c r="D37" s="232" t="e">
        <f t="shared" si="1"/>
        <v>#N/A</v>
      </c>
      <c r="E37" s="524"/>
      <c r="I37" s="87"/>
      <c r="J37" s="91"/>
      <c r="K37" s="91"/>
      <c r="L37" s="91"/>
      <c r="M37" s="91"/>
      <c r="N37" s="90"/>
      <c r="O37" s="90"/>
      <c r="P37" s="90"/>
      <c r="Q37" s="90"/>
      <c r="R37" s="89"/>
      <c r="S37" s="89"/>
      <c r="T37" s="89"/>
      <c r="U37" s="89"/>
      <c r="V37" s="88"/>
      <c r="W37" s="88"/>
      <c r="X37" s="88"/>
      <c r="Y37" s="88"/>
    </row>
    <row r="38" spans="1:25">
      <c r="A38" s="656"/>
      <c r="B38" s="237" t="s">
        <v>102</v>
      </c>
      <c r="C38" s="242" t="s">
        <v>92</v>
      </c>
      <c r="D38" s="232" t="e">
        <f t="shared" si="1"/>
        <v>#N/A</v>
      </c>
      <c r="E38" s="524"/>
      <c r="I38" s="87"/>
      <c r="J38" s="91"/>
      <c r="K38" s="91"/>
      <c r="L38" s="91"/>
      <c r="M38" s="91"/>
      <c r="N38" s="90"/>
      <c r="O38" s="90"/>
      <c r="P38" s="90"/>
      <c r="Q38" s="90"/>
      <c r="R38" s="89"/>
      <c r="S38" s="89"/>
      <c r="T38" s="89"/>
      <c r="U38" s="89"/>
      <c r="V38" s="88"/>
      <c r="W38" s="88"/>
      <c r="X38" s="88"/>
      <c r="Y38" s="88"/>
    </row>
    <row r="39" spans="1:25" ht="16" thickBot="1">
      <c r="A39" s="656"/>
      <c r="B39" s="262" t="s">
        <v>102</v>
      </c>
      <c r="C39" s="258" t="s">
        <v>100</v>
      </c>
      <c r="D39" s="527" t="e">
        <f>IF(INDEX($C$3:$R$18,MATCH(B39,$B$3:$B$18,0),MATCH(C39,$C$2:$R$2,0))="","",INDEX($C$3:$R$18,MATCH(B39,$B$3:$B$18,0),MATCH(C39,$C$2:$R$2,0)))</f>
        <v>#N/A</v>
      </c>
      <c r="E39" s="524"/>
      <c r="I39" s="87"/>
      <c r="J39" s="88"/>
      <c r="K39" s="88"/>
      <c r="L39" s="88"/>
      <c r="M39" s="88"/>
      <c r="N39" s="89"/>
      <c r="O39" s="89"/>
      <c r="P39" s="89"/>
      <c r="Q39" s="89"/>
      <c r="R39" s="90"/>
      <c r="S39" s="90"/>
      <c r="T39" s="90"/>
      <c r="U39" s="90"/>
      <c r="V39" s="91"/>
      <c r="W39" s="91"/>
      <c r="X39" s="91"/>
      <c r="Y39" s="91"/>
    </row>
    <row r="40" spans="1:25">
      <c r="A40" s="656"/>
      <c r="B40" s="525" t="s">
        <v>102</v>
      </c>
      <c r="C40" s="526"/>
      <c r="D40" s="79" t="e">
        <f t="shared" si="1"/>
        <v>#N/A</v>
      </c>
      <c r="E40" s="651">
        <f>SUMIF(D40:D55,"&gt;0")</f>
        <v>0</v>
      </c>
      <c r="F40" s="658" t="s">
        <v>152</v>
      </c>
      <c r="I40" s="87"/>
      <c r="J40" s="88"/>
      <c r="K40" s="88"/>
      <c r="L40" s="88"/>
      <c r="M40" s="88"/>
      <c r="N40" s="89"/>
      <c r="O40" s="89"/>
      <c r="P40" s="89"/>
      <c r="Q40" s="89"/>
      <c r="R40" s="90"/>
      <c r="S40" s="90"/>
      <c r="T40" s="90"/>
      <c r="U40" s="90"/>
      <c r="V40" s="91"/>
      <c r="W40" s="91"/>
      <c r="X40" s="91"/>
      <c r="Y40" s="91"/>
    </row>
    <row r="41" spans="1:25">
      <c r="A41" s="656"/>
      <c r="B41" s="246" t="s">
        <v>102</v>
      </c>
      <c r="C41" s="250"/>
      <c r="D41" s="55" t="e">
        <f t="shared" si="1"/>
        <v>#N/A</v>
      </c>
      <c r="E41" s="652"/>
      <c r="F41" s="659"/>
      <c r="I41" s="87"/>
      <c r="J41" s="88"/>
      <c r="K41" s="88"/>
      <c r="L41" s="88"/>
      <c r="M41" s="88"/>
      <c r="N41" s="89"/>
      <c r="O41" s="89"/>
      <c r="P41" s="89"/>
      <c r="Q41" s="89"/>
      <c r="R41" s="90"/>
      <c r="S41" s="90"/>
      <c r="T41" s="90"/>
      <c r="U41" s="90"/>
      <c r="V41" s="91"/>
      <c r="W41" s="91"/>
      <c r="X41" s="91"/>
      <c r="Y41" s="91"/>
    </row>
    <row r="42" spans="1:25">
      <c r="A42" s="656"/>
      <c r="B42" s="246" t="s">
        <v>102</v>
      </c>
      <c r="C42" s="250" t="s">
        <v>103</v>
      </c>
      <c r="D42" s="55" t="e">
        <f t="shared" si="1"/>
        <v>#N/A</v>
      </c>
      <c r="E42" s="652"/>
      <c r="F42" s="659"/>
    </row>
    <row r="43" spans="1:25">
      <c r="A43" s="656"/>
      <c r="B43" s="246" t="s">
        <v>102</v>
      </c>
      <c r="C43" s="250" t="s">
        <v>98</v>
      </c>
      <c r="D43" s="55" t="e">
        <f t="shared" si="1"/>
        <v>#N/A</v>
      </c>
      <c r="E43" s="652"/>
      <c r="F43" s="659"/>
    </row>
    <row r="44" spans="1:25">
      <c r="A44" s="656"/>
      <c r="B44" s="246" t="s">
        <v>102</v>
      </c>
      <c r="C44" s="250" t="s">
        <v>96</v>
      </c>
      <c r="D44" s="55" t="e">
        <f t="shared" si="1"/>
        <v>#N/A</v>
      </c>
      <c r="E44" s="652"/>
      <c r="F44" s="659"/>
    </row>
    <row r="45" spans="1:25">
      <c r="A45" s="656"/>
      <c r="B45" s="246" t="s">
        <v>102</v>
      </c>
      <c r="C45" s="250" t="s">
        <v>95</v>
      </c>
      <c r="D45" s="55" t="e">
        <f t="shared" si="1"/>
        <v>#N/A</v>
      </c>
      <c r="E45" s="652"/>
      <c r="F45" s="659"/>
    </row>
    <row r="46" spans="1:25">
      <c r="A46" s="656"/>
      <c r="B46" s="246" t="s">
        <v>102</v>
      </c>
      <c r="C46" s="250"/>
      <c r="D46" s="55" t="e">
        <f t="shared" si="1"/>
        <v>#N/A</v>
      </c>
      <c r="E46" s="652"/>
      <c r="F46" s="659"/>
    </row>
    <row r="47" spans="1:25">
      <c r="A47" s="656"/>
      <c r="B47" s="246" t="s">
        <v>102</v>
      </c>
      <c r="C47" s="250" t="s">
        <v>91</v>
      </c>
      <c r="D47" s="55" t="e">
        <f t="shared" si="1"/>
        <v>#N/A</v>
      </c>
      <c r="E47" s="652"/>
      <c r="F47" s="659"/>
    </row>
    <row r="48" spans="1:25">
      <c r="A48" s="656"/>
      <c r="B48" s="246" t="s">
        <v>102</v>
      </c>
      <c r="C48" s="250" t="s">
        <v>93</v>
      </c>
      <c r="D48" s="55" t="e">
        <f t="shared" si="1"/>
        <v>#N/A</v>
      </c>
      <c r="E48" s="652"/>
      <c r="F48" s="659"/>
    </row>
    <row r="49" spans="1:6">
      <c r="A49" s="656"/>
      <c r="B49" s="246" t="s">
        <v>102</v>
      </c>
      <c r="C49" s="250"/>
      <c r="D49" s="55" t="e">
        <f t="shared" si="1"/>
        <v>#N/A</v>
      </c>
      <c r="E49" s="652"/>
      <c r="F49" s="659"/>
    </row>
    <row r="50" spans="1:6">
      <c r="A50" s="656"/>
      <c r="B50" s="246" t="s">
        <v>102</v>
      </c>
      <c r="C50" s="250" t="s">
        <v>99</v>
      </c>
      <c r="D50" s="55" t="e">
        <f t="shared" si="1"/>
        <v>#N/A</v>
      </c>
      <c r="E50" s="652"/>
      <c r="F50" s="659"/>
    </row>
    <row r="51" spans="1:6">
      <c r="A51" s="656"/>
      <c r="B51" s="246" t="s">
        <v>102</v>
      </c>
      <c r="C51" s="250" t="s">
        <v>104</v>
      </c>
      <c r="D51" s="55" t="e">
        <f t="shared" si="1"/>
        <v>#N/A</v>
      </c>
      <c r="E51" s="652"/>
      <c r="F51" s="659"/>
    </row>
    <row r="52" spans="1:6">
      <c r="A52" s="656"/>
      <c r="B52" s="246" t="s">
        <v>102</v>
      </c>
      <c r="C52" s="250"/>
      <c r="D52" s="55" t="e">
        <f t="shared" si="1"/>
        <v>#N/A</v>
      </c>
      <c r="E52" s="652"/>
      <c r="F52" s="659"/>
    </row>
    <row r="53" spans="1:6">
      <c r="A53" s="656"/>
      <c r="B53" s="246" t="s">
        <v>102</v>
      </c>
      <c r="C53" s="250" t="s">
        <v>90</v>
      </c>
      <c r="D53" s="55" t="e">
        <f t="shared" si="1"/>
        <v>#N/A</v>
      </c>
      <c r="E53" s="652"/>
      <c r="F53" s="659"/>
    </row>
    <row r="54" spans="1:6">
      <c r="A54" s="656"/>
      <c r="B54" s="246" t="s">
        <v>102</v>
      </c>
      <c r="C54" s="250"/>
      <c r="D54" s="55" t="e">
        <f t="shared" si="1"/>
        <v>#N/A</v>
      </c>
      <c r="E54" s="652"/>
      <c r="F54" s="659"/>
    </row>
    <row r="55" spans="1:6" ht="16" thickBot="1">
      <c r="A55" s="656"/>
      <c r="B55" s="271" t="s">
        <v>102</v>
      </c>
      <c r="C55" s="274"/>
      <c r="D55" s="158" t="e">
        <f t="shared" si="1"/>
        <v>#N/A</v>
      </c>
      <c r="E55" s="653"/>
      <c r="F55" s="660"/>
    </row>
    <row r="56" spans="1:6">
      <c r="A56" s="656"/>
      <c r="B56" s="237" t="s">
        <v>100</v>
      </c>
      <c r="C56" s="242"/>
      <c r="D56" s="79" t="e">
        <f t="shared" si="1"/>
        <v>#N/A</v>
      </c>
      <c r="E56" s="651">
        <f t="shared" ref="E56" si="2">SUMIF(D56:D71,"&gt;0")</f>
        <v>0</v>
      </c>
    </row>
    <row r="57" spans="1:6">
      <c r="A57" s="656"/>
      <c r="B57" s="246" t="s">
        <v>100</v>
      </c>
      <c r="C57" s="250" t="s">
        <v>94</v>
      </c>
      <c r="D57" s="55" t="e">
        <f t="shared" si="1"/>
        <v>#N/A</v>
      </c>
      <c r="E57" s="652"/>
    </row>
    <row r="58" spans="1:6">
      <c r="A58" s="656"/>
      <c r="B58" s="246" t="s">
        <v>100</v>
      </c>
      <c r="C58" s="250"/>
      <c r="D58" s="55" t="e">
        <f t="shared" si="1"/>
        <v>#N/A</v>
      </c>
      <c r="E58" s="652"/>
    </row>
    <row r="59" spans="1:6">
      <c r="A59" s="656"/>
      <c r="B59" s="246" t="s">
        <v>100</v>
      </c>
      <c r="C59" s="250" t="s">
        <v>98</v>
      </c>
      <c r="D59" s="55" t="e">
        <f t="shared" si="1"/>
        <v>#N/A</v>
      </c>
      <c r="E59" s="652"/>
    </row>
    <row r="60" spans="1:6">
      <c r="A60" s="656"/>
      <c r="B60" s="246" t="s">
        <v>100</v>
      </c>
      <c r="C60" s="250" t="s">
        <v>96</v>
      </c>
      <c r="D60" s="55" t="e">
        <f t="shared" si="1"/>
        <v>#N/A</v>
      </c>
      <c r="E60" s="652"/>
    </row>
    <row r="61" spans="1:6">
      <c r="A61" s="656"/>
      <c r="B61" s="246" t="s">
        <v>100</v>
      </c>
      <c r="C61" s="250" t="s">
        <v>95</v>
      </c>
      <c r="D61" s="55" t="e">
        <f t="shared" si="1"/>
        <v>#N/A</v>
      </c>
      <c r="E61" s="652"/>
    </row>
    <row r="62" spans="1:6">
      <c r="A62" s="656"/>
      <c r="B62" s="246" t="s">
        <v>100</v>
      </c>
      <c r="C62" s="250" t="s">
        <v>105</v>
      </c>
      <c r="D62" s="55" t="e">
        <f t="shared" si="1"/>
        <v>#N/A</v>
      </c>
      <c r="E62" s="652"/>
    </row>
    <row r="63" spans="1:6">
      <c r="A63" s="656"/>
      <c r="B63" s="246" t="s">
        <v>100</v>
      </c>
      <c r="C63" s="250"/>
      <c r="D63" s="55" t="e">
        <f t="shared" si="1"/>
        <v>#N/A</v>
      </c>
      <c r="E63" s="652"/>
    </row>
    <row r="64" spans="1:6">
      <c r="A64" s="656"/>
      <c r="B64" s="246" t="s">
        <v>100</v>
      </c>
      <c r="C64" s="250" t="s">
        <v>93</v>
      </c>
      <c r="D64" s="55" t="e">
        <f t="shared" si="1"/>
        <v>#N/A</v>
      </c>
      <c r="E64" s="652"/>
    </row>
    <row r="65" spans="1:6">
      <c r="A65" s="656"/>
      <c r="B65" s="246" t="s">
        <v>100</v>
      </c>
      <c r="C65" s="250"/>
      <c r="D65" s="55" t="e">
        <f t="shared" si="1"/>
        <v>#N/A</v>
      </c>
      <c r="E65" s="652"/>
    </row>
    <row r="66" spans="1:6">
      <c r="A66" s="656"/>
      <c r="B66" s="246" t="s">
        <v>100</v>
      </c>
      <c r="C66" s="250" t="s">
        <v>99</v>
      </c>
      <c r="D66" s="55" t="e">
        <f t="shared" si="1"/>
        <v>#N/A</v>
      </c>
      <c r="E66" s="652"/>
    </row>
    <row r="67" spans="1:6">
      <c r="A67" s="656"/>
      <c r="B67" s="246" t="s">
        <v>100</v>
      </c>
      <c r="C67" s="250" t="s">
        <v>104</v>
      </c>
      <c r="D67" s="55" t="e">
        <f t="shared" si="1"/>
        <v>#N/A</v>
      </c>
      <c r="E67" s="652"/>
    </row>
    <row r="68" spans="1:6">
      <c r="A68" s="656"/>
      <c r="B68" s="246" t="s">
        <v>100</v>
      </c>
      <c r="C68" s="250"/>
      <c r="D68" s="55" t="e">
        <f t="shared" si="1"/>
        <v>#N/A</v>
      </c>
      <c r="E68" s="652"/>
    </row>
    <row r="69" spans="1:6">
      <c r="A69" s="656"/>
      <c r="B69" s="246" t="s">
        <v>100</v>
      </c>
      <c r="C69" s="250" t="s">
        <v>90</v>
      </c>
      <c r="D69" s="55" t="e">
        <f t="shared" si="1"/>
        <v>#N/A</v>
      </c>
      <c r="E69" s="652"/>
    </row>
    <row r="70" spans="1:6">
      <c r="A70" s="656"/>
      <c r="B70" s="246" t="s">
        <v>100</v>
      </c>
      <c r="C70" s="250"/>
      <c r="D70" s="55" t="e">
        <f t="shared" si="1"/>
        <v>#N/A</v>
      </c>
      <c r="E70" s="652"/>
    </row>
    <row r="71" spans="1:6" ht="16" thickBot="1">
      <c r="A71" s="656"/>
      <c r="B71" s="262" t="s">
        <v>100</v>
      </c>
      <c r="C71" s="258"/>
      <c r="D71" s="158" t="e">
        <f t="shared" si="1"/>
        <v>#N/A</v>
      </c>
      <c r="E71" s="653"/>
    </row>
    <row r="72" spans="1:6">
      <c r="A72" s="656"/>
      <c r="B72" s="237" t="s">
        <v>92</v>
      </c>
      <c r="C72" s="242"/>
      <c r="D72" s="79" t="e">
        <f t="shared" si="1"/>
        <v>#N/A</v>
      </c>
      <c r="E72" s="651">
        <f t="shared" ref="E72" si="3">SUMIF(D72:D87,"&gt;0")</f>
        <v>0</v>
      </c>
      <c r="F72" s="658"/>
    </row>
    <row r="73" spans="1:6">
      <c r="A73" s="656"/>
      <c r="B73" s="246" t="s">
        <v>92</v>
      </c>
      <c r="C73" s="250"/>
      <c r="D73" s="55" t="e">
        <f t="shared" si="1"/>
        <v>#N/A</v>
      </c>
      <c r="E73" s="652"/>
      <c r="F73" s="659"/>
    </row>
    <row r="74" spans="1:6">
      <c r="A74" s="656"/>
      <c r="B74" s="246" t="s">
        <v>92</v>
      </c>
      <c r="C74" s="250"/>
      <c r="D74" s="55" t="e">
        <f t="shared" si="1"/>
        <v>#N/A</v>
      </c>
      <c r="E74" s="652"/>
      <c r="F74" s="659"/>
    </row>
    <row r="75" spans="1:6">
      <c r="A75" s="656"/>
      <c r="B75" s="246" t="s">
        <v>92</v>
      </c>
      <c r="C75" s="250" t="s">
        <v>98</v>
      </c>
      <c r="D75" s="55" t="e">
        <f t="shared" si="1"/>
        <v>#N/A</v>
      </c>
      <c r="E75" s="652"/>
      <c r="F75" s="659"/>
    </row>
    <row r="76" spans="1:6">
      <c r="A76" s="656"/>
      <c r="B76" s="246" t="s">
        <v>92</v>
      </c>
      <c r="C76" s="250" t="s">
        <v>96</v>
      </c>
      <c r="D76" s="55" t="e">
        <f t="shared" si="1"/>
        <v>#N/A</v>
      </c>
      <c r="E76" s="652"/>
      <c r="F76" s="659"/>
    </row>
    <row r="77" spans="1:6">
      <c r="A77" s="656"/>
      <c r="B77" s="246" t="s">
        <v>92</v>
      </c>
      <c r="C77" s="250" t="s">
        <v>95</v>
      </c>
      <c r="D77" s="55" t="e">
        <f t="shared" si="1"/>
        <v>#N/A</v>
      </c>
      <c r="E77" s="652"/>
      <c r="F77" s="659"/>
    </row>
    <row r="78" spans="1:6">
      <c r="A78" s="656"/>
      <c r="B78" s="246" t="s">
        <v>92</v>
      </c>
      <c r="C78" s="250"/>
      <c r="D78" s="55" t="e">
        <f t="shared" si="1"/>
        <v>#N/A</v>
      </c>
      <c r="E78" s="652"/>
      <c r="F78" s="659"/>
    </row>
    <row r="79" spans="1:6">
      <c r="A79" s="656"/>
      <c r="B79" s="246" t="s">
        <v>92</v>
      </c>
      <c r="C79" s="250"/>
      <c r="D79" s="55" t="e">
        <f t="shared" si="1"/>
        <v>#N/A</v>
      </c>
      <c r="E79" s="652"/>
      <c r="F79" s="659"/>
    </row>
    <row r="80" spans="1:6">
      <c r="A80" s="656"/>
      <c r="B80" s="246" t="s">
        <v>92</v>
      </c>
      <c r="C80" s="250" t="s">
        <v>93</v>
      </c>
      <c r="D80" s="55" t="e">
        <f t="shared" si="1"/>
        <v>#N/A</v>
      </c>
      <c r="E80" s="652"/>
      <c r="F80" s="659"/>
    </row>
    <row r="81" spans="1:6">
      <c r="A81" s="656"/>
      <c r="B81" s="246" t="s">
        <v>92</v>
      </c>
      <c r="C81" s="250"/>
      <c r="D81" s="55" t="e">
        <f t="shared" si="1"/>
        <v>#N/A</v>
      </c>
      <c r="E81" s="652"/>
      <c r="F81" s="659"/>
    </row>
    <row r="82" spans="1:6">
      <c r="A82" s="656"/>
      <c r="B82" s="246" t="s">
        <v>92</v>
      </c>
      <c r="C82" s="250" t="s">
        <v>99</v>
      </c>
      <c r="D82" s="55" t="e">
        <f t="shared" si="1"/>
        <v>#N/A</v>
      </c>
      <c r="E82" s="652"/>
      <c r="F82" s="659"/>
    </row>
    <row r="83" spans="1:6">
      <c r="A83" s="656"/>
      <c r="B83" s="246" t="s">
        <v>92</v>
      </c>
      <c r="C83" s="250" t="s">
        <v>104</v>
      </c>
      <c r="D83" s="55" t="e">
        <f t="shared" si="1"/>
        <v>#N/A</v>
      </c>
      <c r="E83" s="652"/>
      <c r="F83" s="659"/>
    </row>
    <row r="84" spans="1:6">
      <c r="A84" s="656"/>
      <c r="B84" s="246" t="s">
        <v>92</v>
      </c>
      <c r="C84" s="250"/>
      <c r="D84" s="55" t="e">
        <f t="shared" si="1"/>
        <v>#N/A</v>
      </c>
      <c r="E84" s="652"/>
      <c r="F84" s="659"/>
    </row>
    <row r="85" spans="1:6">
      <c r="A85" s="656"/>
      <c r="B85" s="246" t="s">
        <v>92</v>
      </c>
      <c r="C85" s="250" t="s">
        <v>90</v>
      </c>
      <c r="D85" s="55" t="e">
        <f t="shared" si="1"/>
        <v>#N/A</v>
      </c>
      <c r="E85" s="652"/>
      <c r="F85" s="659"/>
    </row>
    <row r="86" spans="1:6">
      <c r="A86" s="656"/>
      <c r="B86" s="246" t="s">
        <v>92</v>
      </c>
      <c r="C86" s="250" t="s">
        <v>97</v>
      </c>
      <c r="D86" s="55" t="e">
        <f t="shared" si="1"/>
        <v>#N/A</v>
      </c>
      <c r="E86" s="652"/>
      <c r="F86" s="659"/>
    </row>
    <row r="87" spans="1:6" ht="16" thickBot="1">
      <c r="A87" s="657"/>
      <c r="B87" s="262" t="s">
        <v>92</v>
      </c>
      <c r="C87" s="258" t="s">
        <v>101</v>
      </c>
      <c r="D87" s="158" t="e">
        <f t="shared" si="1"/>
        <v>#N/A</v>
      </c>
      <c r="E87" s="653"/>
      <c r="F87" s="660"/>
    </row>
    <row r="88" spans="1:6">
      <c r="A88" s="651" t="s">
        <v>155</v>
      </c>
      <c r="B88" s="237" t="s">
        <v>97</v>
      </c>
      <c r="C88" s="242" t="s">
        <v>92</v>
      </c>
      <c r="D88" s="521" t="e">
        <f t="shared" si="1"/>
        <v>#N/A</v>
      </c>
      <c r="E88" s="651">
        <f t="shared" ref="E88" si="4">SUMIF(D88:D103,"&gt;0")</f>
        <v>0</v>
      </c>
      <c r="F88" s="667" t="s">
        <v>153</v>
      </c>
    </row>
    <row r="89" spans="1:6">
      <c r="A89" s="652"/>
      <c r="B89" s="246" t="s">
        <v>97</v>
      </c>
      <c r="C89" s="250" t="s">
        <v>94</v>
      </c>
      <c r="D89" s="232" t="e">
        <f t="shared" si="1"/>
        <v>#N/A</v>
      </c>
      <c r="E89" s="652"/>
      <c r="F89" s="668"/>
    </row>
    <row r="90" spans="1:6">
      <c r="A90" s="652"/>
      <c r="B90" s="271" t="s">
        <v>97</v>
      </c>
      <c r="C90" s="274" t="s">
        <v>103</v>
      </c>
      <c r="D90" s="232" t="e">
        <f t="shared" si="1"/>
        <v>#N/A</v>
      </c>
      <c r="E90" s="652"/>
      <c r="F90" s="668"/>
    </row>
    <row r="91" spans="1:6">
      <c r="A91" s="652"/>
      <c r="B91" s="246" t="s">
        <v>97</v>
      </c>
      <c r="C91" s="250" t="s">
        <v>98</v>
      </c>
      <c r="D91" s="232" t="e">
        <f t="shared" si="1"/>
        <v>#N/A</v>
      </c>
      <c r="E91" s="652"/>
      <c r="F91" s="668"/>
    </row>
    <row r="92" spans="1:6">
      <c r="A92" s="652"/>
      <c r="B92" s="246" t="s">
        <v>97</v>
      </c>
      <c r="C92" s="250" t="s">
        <v>96</v>
      </c>
      <c r="D92" s="232" t="e">
        <f t="shared" si="1"/>
        <v>#N/A</v>
      </c>
      <c r="E92" s="652"/>
      <c r="F92" s="668"/>
    </row>
    <row r="93" spans="1:6">
      <c r="A93" s="652"/>
      <c r="B93" s="246" t="s">
        <v>97</v>
      </c>
      <c r="C93" s="250" t="s">
        <v>95</v>
      </c>
      <c r="D93" s="232" t="e">
        <f t="shared" si="1"/>
        <v>#N/A</v>
      </c>
      <c r="E93" s="652"/>
      <c r="F93" s="668"/>
    </row>
    <row r="94" spans="1:6">
      <c r="A94" s="652"/>
      <c r="B94" s="246" t="s">
        <v>97</v>
      </c>
      <c r="C94" s="250" t="s">
        <v>105</v>
      </c>
      <c r="D94" s="232" t="e">
        <f t="shared" si="1"/>
        <v>#N/A</v>
      </c>
      <c r="E94" s="652"/>
      <c r="F94" s="668"/>
    </row>
    <row r="95" spans="1:6">
      <c r="A95" s="652"/>
      <c r="B95" s="246" t="s">
        <v>97</v>
      </c>
      <c r="C95" s="250" t="s">
        <v>91</v>
      </c>
      <c r="D95" s="232" t="e">
        <f t="shared" ref="D95:D158" si="5">IF(INDEX($C$3:$R$18,MATCH(B95,$B$3:$B$18,0),MATCH(C95,$C$2:$R$2,0))="","",INDEX($C$3:$R$18,MATCH(B95,$B$3:$B$18,0),MATCH(C95,$C$2:$R$2,0)))</f>
        <v>#N/A</v>
      </c>
      <c r="E95" s="652"/>
      <c r="F95" s="668"/>
    </row>
    <row r="96" spans="1:6">
      <c r="A96" s="652"/>
      <c r="B96" s="246" t="s">
        <v>97</v>
      </c>
      <c r="C96" s="250" t="s">
        <v>93</v>
      </c>
      <c r="D96" s="232" t="e">
        <f t="shared" si="5"/>
        <v>#N/A</v>
      </c>
      <c r="E96" s="652"/>
      <c r="F96" s="668"/>
    </row>
    <row r="97" spans="1:6">
      <c r="A97" s="652"/>
      <c r="B97" s="246" t="s">
        <v>97</v>
      </c>
      <c r="C97" s="250" t="s">
        <v>102</v>
      </c>
      <c r="D97" s="232" t="e">
        <f t="shared" si="5"/>
        <v>#N/A</v>
      </c>
      <c r="E97" s="652"/>
      <c r="F97" s="668"/>
    </row>
    <row r="98" spans="1:6">
      <c r="A98" s="652"/>
      <c r="B98" s="246" t="s">
        <v>97</v>
      </c>
      <c r="C98" s="250" t="s">
        <v>99</v>
      </c>
      <c r="D98" s="232" t="e">
        <f t="shared" si="5"/>
        <v>#N/A</v>
      </c>
      <c r="E98" s="652"/>
      <c r="F98" s="668"/>
    </row>
    <row r="99" spans="1:6">
      <c r="A99" s="652"/>
      <c r="B99" s="246" t="s">
        <v>97</v>
      </c>
      <c r="C99" s="250" t="s">
        <v>104</v>
      </c>
      <c r="D99" s="232" t="e">
        <f t="shared" si="5"/>
        <v>#N/A</v>
      </c>
      <c r="E99" s="652"/>
      <c r="F99" s="668"/>
    </row>
    <row r="100" spans="1:6">
      <c r="A100" s="652"/>
      <c r="B100" s="246" t="s">
        <v>97</v>
      </c>
      <c r="C100" s="250" t="s">
        <v>100</v>
      </c>
      <c r="D100" s="232" t="e">
        <f t="shared" si="5"/>
        <v>#N/A</v>
      </c>
      <c r="E100" s="652"/>
      <c r="F100" s="668"/>
    </row>
    <row r="101" spans="1:6">
      <c r="A101" s="652"/>
      <c r="B101" s="246" t="s">
        <v>97</v>
      </c>
      <c r="C101" s="250" t="s">
        <v>90</v>
      </c>
      <c r="D101" s="232" t="e">
        <f t="shared" si="5"/>
        <v>#N/A</v>
      </c>
      <c r="E101" s="652"/>
      <c r="F101" s="668"/>
    </row>
    <row r="102" spans="1:6">
      <c r="A102" s="652"/>
      <c r="B102" s="246" t="s">
        <v>97</v>
      </c>
      <c r="C102" s="250" t="s">
        <v>97</v>
      </c>
      <c r="D102" s="232" t="e">
        <f t="shared" si="5"/>
        <v>#N/A</v>
      </c>
      <c r="E102" s="652"/>
      <c r="F102" s="668"/>
    </row>
    <row r="103" spans="1:6" ht="16" thickBot="1">
      <c r="A103" s="652"/>
      <c r="B103" s="262" t="s">
        <v>97</v>
      </c>
      <c r="C103" s="258"/>
      <c r="D103" s="232" t="e">
        <f t="shared" si="5"/>
        <v>#N/A</v>
      </c>
      <c r="E103" s="653"/>
      <c r="F103" s="668"/>
    </row>
    <row r="104" spans="1:6">
      <c r="A104" s="652"/>
      <c r="B104" s="237" t="s">
        <v>92</v>
      </c>
      <c r="C104" s="242" t="s">
        <v>92</v>
      </c>
      <c r="D104" s="232" t="e">
        <f t="shared" si="5"/>
        <v>#N/A</v>
      </c>
      <c r="E104" s="651">
        <f t="shared" ref="E104" si="6">SUMIF(D104:D119,"&gt;0")</f>
        <v>0</v>
      </c>
      <c r="F104" s="668"/>
    </row>
    <row r="105" spans="1:6">
      <c r="A105" s="652"/>
      <c r="B105" s="246" t="s">
        <v>92</v>
      </c>
      <c r="C105" s="250"/>
      <c r="D105" s="232" t="e">
        <f t="shared" si="5"/>
        <v>#N/A</v>
      </c>
      <c r="E105" s="652"/>
      <c r="F105" s="668"/>
    </row>
    <row r="106" spans="1:6">
      <c r="A106" s="652"/>
      <c r="B106" s="246" t="s">
        <v>92</v>
      </c>
      <c r="C106" s="274" t="s">
        <v>103</v>
      </c>
      <c r="D106" s="232" t="e">
        <f t="shared" si="5"/>
        <v>#N/A</v>
      </c>
      <c r="E106" s="652"/>
      <c r="F106" s="668"/>
    </row>
    <row r="107" spans="1:6">
      <c r="A107" s="652"/>
      <c r="B107" s="246" t="s">
        <v>92</v>
      </c>
      <c r="C107" s="250" t="s">
        <v>98</v>
      </c>
      <c r="D107" s="232" t="e">
        <f t="shared" si="5"/>
        <v>#N/A</v>
      </c>
      <c r="E107" s="652"/>
      <c r="F107" s="668"/>
    </row>
    <row r="108" spans="1:6">
      <c r="A108" s="652"/>
      <c r="B108" s="246" t="s">
        <v>92</v>
      </c>
      <c r="C108" s="250" t="s">
        <v>96</v>
      </c>
      <c r="D108" s="232" t="e">
        <f t="shared" si="5"/>
        <v>#N/A</v>
      </c>
      <c r="E108" s="652"/>
      <c r="F108" s="668"/>
    </row>
    <row r="109" spans="1:6">
      <c r="A109" s="652"/>
      <c r="B109" s="246" t="s">
        <v>92</v>
      </c>
      <c r="C109" s="250" t="s">
        <v>95</v>
      </c>
      <c r="D109" s="232" t="e">
        <f t="shared" si="5"/>
        <v>#N/A</v>
      </c>
      <c r="E109" s="652"/>
      <c r="F109" s="668"/>
    </row>
    <row r="110" spans="1:6">
      <c r="A110" s="652"/>
      <c r="B110" s="246" t="s">
        <v>92</v>
      </c>
      <c r="C110" s="250" t="s">
        <v>105</v>
      </c>
      <c r="D110" s="232" t="e">
        <f t="shared" si="5"/>
        <v>#N/A</v>
      </c>
      <c r="E110" s="652"/>
      <c r="F110" s="668"/>
    </row>
    <row r="111" spans="1:6">
      <c r="A111" s="652"/>
      <c r="B111" s="246" t="s">
        <v>92</v>
      </c>
      <c r="C111" s="250" t="s">
        <v>91</v>
      </c>
      <c r="D111" s="232" t="e">
        <f t="shared" si="5"/>
        <v>#N/A</v>
      </c>
      <c r="E111" s="652"/>
      <c r="F111" s="668"/>
    </row>
    <row r="112" spans="1:6">
      <c r="A112" s="652"/>
      <c r="B112" s="246" t="s">
        <v>92</v>
      </c>
      <c r="C112" s="250" t="s">
        <v>93</v>
      </c>
      <c r="D112" s="232" t="e">
        <f t="shared" si="5"/>
        <v>#N/A</v>
      </c>
      <c r="E112" s="652"/>
      <c r="F112" s="668"/>
    </row>
    <row r="113" spans="1:6">
      <c r="A113" s="652"/>
      <c r="B113" s="246" t="s">
        <v>92</v>
      </c>
      <c r="C113" s="250" t="s">
        <v>102</v>
      </c>
      <c r="D113" s="232" t="e">
        <f t="shared" si="5"/>
        <v>#N/A</v>
      </c>
      <c r="E113" s="652"/>
      <c r="F113" s="668"/>
    </row>
    <row r="114" spans="1:6">
      <c r="A114" s="652"/>
      <c r="B114" s="246" t="s">
        <v>92</v>
      </c>
      <c r="C114" s="250" t="s">
        <v>99</v>
      </c>
      <c r="D114" s="232" t="e">
        <f t="shared" si="5"/>
        <v>#N/A</v>
      </c>
      <c r="E114" s="652"/>
      <c r="F114" s="668"/>
    </row>
    <row r="115" spans="1:6">
      <c r="A115" s="652"/>
      <c r="B115" s="246" t="s">
        <v>92</v>
      </c>
      <c r="C115" s="250" t="s">
        <v>104</v>
      </c>
      <c r="D115" s="232" t="e">
        <f t="shared" si="5"/>
        <v>#N/A</v>
      </c>
      <c r="E115" s="652"/>
      <c r="F115" s="668"/>
    </row>
    <row r="116" spans="1:6">
      <c r="A116" s="652"/>
      <c r="B116" s="246" t="s">
        <v>92</v>
      </c>
      <c r="C116" s="250" t="s">
        <v>100</v>
      </c>
      <c r="D116" s="232" t="e">
        <f t="shared" si="5"/>
        <v>#N/A</v>
      </c>
      <c r="E116" s="652"/>
      <c r="F116" s="668"/>
    </row>
    <row r="117" spans="1:6">
      <c r="A117" s="652"/>
      <c r="B117" s="246" t="s">
        <v>92</v>
      </c>
      <c r="C117" s="250" t="s">
        <v>90</v>
      </c>
      <c r="D117" s="232" t="e">
        <f t="shared" si="5"/>
        <v>#N/A</v>
      </c>
      <c r="E117" s="652"/>
      <c r="F117" s="668"/>
    </row>
    <row r="118" spans="1:6">
      <c r="A118" s="652"/>
      <c r="B118" s="246" t="s">
        <v>92</v>
      </c>
      <c r="C118" s="250" t="s">
        <v>97</v>
      </c>
      <c r="D118" s="232" t="e">
        <f t="shared" si="5"/>
        <v>#N/A</v>
      </c>
      <c r="E118" s="652"/>
      <c r="F118" s="668"/>
    </row>
    <row r="119" spans="1:6" ht="16" thickBot="1">
      <c r="A119" s="653"/>
      <c r="B119" s="262" t="s">
        <v>92</v>
      </c>
      <c r="C119" s="258" t="s">
        <v>101</v>
      </c>
      <c r="D119" s="232" t="e">
        <f t="shared" si="5"/>
        <v>#N/A</v>
      </c>
      <c r="E119" s="653"/>
      <c r="F119" s="669"/>
    </row>
    <row r="120" spans="1:6">
      <c r="A120" s="670" t="s">
        <v>156</v>
      </c>
      <c r="B120" s="237" t="s">
        <v>97</v>
      </c>
      <c r="C120" s="242" t="s">
        <v>92</v>
      </c>
      <c r="D120" s="232" t="e">
        <f t="shared" si="5"/>
        <v>#N/A</v>
      </c>
      <c r="E120" s="651">
        <f t="shared" ref="E120:E152" si="7">SUMIF(D120:D135,"&gt;0")</f>
        <v>0</v>
      </c>
      <c r="F120" s="672" t="s">
        <v>154</v>
      </c>
    </row>
    <row r="121" spans="1:6">
      <c r="A121" s="671"/>
      <c r="B121" s="246" t="s">
        <v>97</v>
      </c>
      <c r="C121" s="250" t="s">
        <v>94</v>
      </c>
      <c r="D121" s="232" t="e">
        <f t="shared" si="5"/>
        <v>#N/A</v>
      </c>
      <c r="E121" s="652"/>
      <c r="F121" s="673"/>
    </row>
    <row r="122" spans="1:6">
      <c r="A122" s="671"/>
      <c r="B122" s="271" t="s">
        <v>97</v>
      </c>
      <c r="C122" s="274" t="s">
        <v>103</v>
      </c>
      <c r="D122" s="232" t="e">
        <f t="shared" si="5"/>
        <v>#N/A</v>
      </c>
      <c r="E122" s="652"/>
      <c r="F122" s="673"/>
    </row>
    <row r="123" spans="1:6">
      <c r="A123" s="671"/>
      <c r="B123" s="246" t="s">
        <v>97</v>
      </c>
      <c r="C123" s="250" t="s">
        <v>98</v>
      </c>
      <c r="D123" s="232" t="e">
        <f t="shared" si="5"/>
        <v>#N/A</v>
      </c>
      <c r="E123" s="652"/>
      <c r="F123" s="673"/>
    </row>
    <row r="124" spans="1:6">
      <c r="A124" s="671"/>
      <c r="B124" s="246" t="s">
        <v>97</v>
      </c>
      <c r="C124" s="250" t="s">
        <v>96</v>
      </c>
      <c r="D124" s="232" t="e">
        <f t="shared" si="5"/>
        <v>#N/A</v>
      </c>
      <c r="E124" s="652"/>
      <c r="F124" s="673"/>
    </row>
    <row r="125" spans="1:6">
      <c r="A125" s="671"/>
      <c r="B125" s="246" t="s">
        <v>97</v>
      </c>
      <c r="C125" s="250"/>
      <c r="D125" s="232" t="e">
        <f t="shared" si="5"/>
        <v>#N/A</v>
      </c>
      <c r="E125" s="652"/>
      <c r="F125" s="673"/>
    </row>
    <row r="126" spans="1:6">
      <c r="A126" s="671"/>
      <c r="B126" s="246" t="s">
        <v>97</v>
      </c>
      <c r="C126" s="250" t="s">
        <v>105</v>
      </c>
      <c r="D126" s="232" t="e">
        <f t="shared" si="5"/>
        <v>#N/A</v>
      </c>
      <c r="E126" s="652"/>
      <c r="F126" s="673"/>
    </row>
    <row r="127" spans="1:6">
      <c r="A127" s="671"/>
      <c r="B127" s="246" t="s">
        <v>97</v>
      </c>
      <c r="C127" s="250"/>
      <c r="D127" s="232" t="e">
        <f t="shared" si="5"/>
        <v>#N/A</v>
      </c>
      <c r="E127" s="652"/>
      <c r="F127" s="673"/>
    </row>
    <row r="128" spans="1:6">
      <c r="A128" s="671"/>
      <c r="B128" s="246" t="s">
        <v>97</v>
      </c>
      <c r="C128" s="250" t="s">
        <v>93</v>
      </c>
      <c r="D128" s="232" t="e">
        <f t="shared" si="5"/>
        <v>#N/A</v>
      </c>
      <c r="E128" s="652"/>
      <c r="F128" s="673"/>
    </row>
    <row r="129" spans="1:6">
      <c r="A129" s="671"/>
      <c r="B129" s="246" t="s">
        <v>97</v>
      </c>
      <c r="C129" s="250" t="s">
        <v>102</v>
      </c>
      <c r="D129" s="232" t="e">
        <f t="shared" si="5"/>
        <v>#N/A</v>
      </c>
      <c r="E129" s="652"/>
      <c r="F129" s="673"/>
    </row>
    <row r="130" spans="1:6">
      <c r="A130" s="671"/>
      <c r="B130" s="246" t="s">
        <v>97</v>
      </c>
      <c r="C130" s="250" t="s">
        <v>99</v>
      </c>
      <c r="D130" s="232" t="e">
        <f t="shared" si="5"/>
        <v>#N/A</v>
      </c>
      <c r="E130" s="652"/>
      <c r="F130" s="673"/>
    </row>
    <row r="131" spans="1:6">
      <c r="A131" s="671"/>
      <c r="B131" s="246" t="s">
        <v>97</v>
      </c>
      <c r="C131" s="250" t="s">
        <v>104</v>
      </c>
      <c r="D131" s="232" t="e">
        <f t="shared" si="5"/>
        <v>#N/A</v>
      </c>
      <c r="E131" s="652"/>
      <c r="F131" s="673"/>
    </row>
    <row r="132" spans="1:6">
      <c r="A132" s="671"/>
      <c r="B132" s="246" t="s">
        <v>97</v>
      </c>
      <c r="C132" s="250" t="s">
        <v>100</v>
      </c>
      <c r="D132" s="232" t="e">
        <f t="shared" si="5"/>
        <v>#N/A</v>
      </c>
      <c r="E132" s="652"/>
      <c r="F132" s="673"/>
    </row>
    <row r="133" spans="1:6">
      <c r="A133" s="671"/>
      <c r="B133" s="246" t="s">
        <v>97</v>
      </c>
      <c r="C133" s="250" t="s">
        <v>90</v>
      </c>
      <c r="D133" s="232" t="e">
        <f t="shared" si="5"/>
        <v>#N/A</v>
      </c>
      <c r="E133" s="652"/>
      <c r="F133" s="673"/>
    </row>
    <row r="134" spans="1:6">
      <c r="A134" s="671"/>
      <c r="B134" s="246" t="s">
        <v>97</v>
      </c>
      <c r="C134" s="250" t="s">
        <v>97</v>
      </c>
      <c r="D134" s="232" t="e">
        <f t="shared" si="5"/>
        <v>#N/A</v>
      </c>
      <c r="E134" s="652"/>
      <c r="F134" s="673"/>
    </row>
    <row r="135" spans="1:6" ht="16" thickBot="1">
      <c r="A135" s="671"/>
      <c r="B135" s="262" t="s">
        <v>97</v>
      </c>
      <c r="C135" s="258"/>
      <c r="D135" s="232" t="e">
        <f t="shared" si="5"/>
        <v>#N/A</v>
      </c>
      <c r="E135" s="653"/>
      <c r="F135" s="673"/>
    </row>
    <row r="136" spans="1:6">
      <c r="A136" s="671"/>
      <c r="B136" s="237" t="s">
        <v>92</v>
      </c>
      <c r="C136" s="242" t="s">
        <v>92</v>
      </c>
      <c r="D136" s="232" t="e">
        <f t="shared" si="5"/>
        <v>#N/A</v>
      </c>
      <c r="E136" s="651">
        <f t="shared" si="7"/>
        <v>0</v>
      </c>
      <c r="F136" s="673"/>
    </row>
    <row r="137" spans="1:6">
      <c r="A137" s="671"/>
      <c r="B137" s="246" t="s">
        <v>92</v>
      </c>
      <c r="C137" s="250"/>
      <c r="D137" s="232" t="e">
        <f t="shared" si="5"/>
        <v>#N/A</v>
      </c>
      <c r="E137" s="652"/>
      <c r="F137" s="673"/>
    </row>
    <row r="138" spans="1:6">
      <c r="A138" s="671"/>
      <c r="B138" s="246" t="s">
        <v>92</v>
      </c>
      <c r="C138" s="274" t="s">
        <v>103</v>
      </c>
      <c r="D138" s="232" t="e">
        <f t="shared" si="5"/>
        <v>#N/A</v>
      </c>
      <c r="E138" s="652"/>
      <c r="F138" s="673"/>
    </row>
    <row r="139" spans="1:6">
      <c r="A139" s="671"/>
      <c r="B139" s="246" t="s">
        <v>92</v>
      </c>
      <c r="C139" s="250" t="s">
        <v>98</v>
      </c>
      <c r="D139" s="232" t="e">
        <f t="shared" si="5"/>
        <v>#N/A</v>
      </c>
      <c r="E139" s="652"/>
      <c r="F139" s="673"/>
    </row>
    <row r="140" spans="1:6">
      <c r="A140" s="671"/>
      <c r="B140" s="246" t="s">
        <v>92</v>
      </c>
      <c r="C140" s="250" t="s">
        <v>96</v>
      </c>
      <c r="D140" s="232" t="e">
        <f t="shared" si="5"/>
        <v>#N/A</v>
      </c>
      <c r="E140" s="652"/>
      <c r="F140" s="673"/>
    </row>
    <row r="141" spans="1:6">
      <c r="A141" s="671"/>
      <c r="B141" s="246" t="s">
        <v>92</v>
      </c>
      <c r="C141" s="250"/>
      <c r="D141" s="232" t="e">
        <f t="shared" si="5"/>
        <v>#N/A</v>
      </c>
      <c r="E141" s="652"/>
      <c r="F141" s="673"/>
    </row>
    <row r="142" spans="1:6">
      <c r="A142" s="671"/>
      <c r="B142" s="246" t="s">
        <v>92</v>
      </c>
      <c r="C142" s="250" t="s">
        <v>105</v>
      </c>
      <c r="D142" s="232" t="e">
        <f t="shared" si="5"/>
        <v>#N/A</v>
      </c>
      <c r="E142" s="652"/>
      <c r="F142" s="673"/>
    </row>
    <row r="143" spans="1:6">
      <c r="A143" s="671"/>
      <c r="B143" s="246" t="s">
        <v>92</v>
      </c>
      <c r="C143" s="250"/>
      <c r="D143" s="232" t="e">
        <f t="shared" si="5"/>
        <v>#N/A</v>
      </c>
      <c r="E143" s="652"/>
      <c r="F143" s="673"/>
    </row>
    <row r="144" spans="1:6">
      <c r="A144" s="671"/>
      <c r="B144" s="246" t="s">
        <v>92</v>
      </c>
      <c r="C144" s="250" t="s">
        <v>93</v>
      </c>
      <c r="D144" s="232" t="e">
        <f t="shared" si="5"/>
        <v>#N/A</v>
      </c>
      <c r="E144" s="652"/>
      <c r="F144" s="673"/>
    </row>
    <row r="145" spans="1:6">
      <c r="A145" s="671"/>
      <c r="B145" s="246" t="s">
        <v>92</v>
      </c>
      <c r="C145" s="250" t="s">
        <v>102</v>
      </c>
      <c r="D145" s="232" t="e">
        <f t="shared" si="5"/>
        <v>#N/A</v>
      </c>
      <c r="E145" s="652"/>
      <c r="F145" s="673"/>
    </row>
    <row r="146" spans="1:6">
      <c r="A146" s="671"/>
      <c r="B146" s="246" t="s">
        <v>92</v>
      </c>
      <c r="C146" s="250" t="s">
        <v>99</v>
      </c>
      <c r="D146" s="232" t="e">
        <f t="shared" si="5"/>
        <v>#N/A</v>
      </c>
      <c r="E146" s="652"/>
      <c r="F146" s="673"/>
    </row>
    <row r="147" spans="1:6">
      <c r="A147" s="671"/>
      <c r="B147" s="246" t="s">
        <v>92</v>
      </c>
      <c r="C147" s="250" t="s">
        <v>104</v>
      </c>
      <c r="D147" s="232" t="e">
        <f t="shared" si="5"/>
        <v>#N/A</v>
      </c>
      <c r="E147" s="652"/>
      <c r="F147" s="673"/>
    </row>
    <row r="148" spans="1:6">
      <c r="A148" s="671"/>
      <c r="B148" s="246" t="s">
        <v>92</v>
      </c>
      <c r="C148" s="250" t="s">
        <v>100</v>
      </c>
      <c r="D148" s="232" t="e">
        <f t="shared" si="5"/>
        <v>#N/A</v>
      </c>
      <c r="E148" s="652"/>
      <c r="F148" s="673"/>
    </row>
    <row r="149" spans="1:6">
      <c r="A149" s="671"/>
      <c r="B149" s="246" t="s">
        <v>92</v>
      </c>
      <c r="C149" s="250" t="s">
        <v>90</v>
      </c>
      <c r="D149" s="232" t="e">
        <f t="shared" si="5"/>
        <v>#N/A</v>
      </c>
      <c r="E149" s="652"/>
      <c r="F149" s="673"/>
    </row>
    <row r="150" spans="1:6">
      <c r="A150" s="671"/>
      <c r="B150" s="246" t="s">
        <v>92</v>
      </c>
      <c r="C150" s="250" t="s">
        <v>97</v>
      </c>
      <c r="D150" s="232" t="e">
        <f t="shared" si="5"/>
        <v>#N/A</v>
      </c>
      <c r="E150" s="652"/>
      <c r="F150" s="673"/>
    </row>
    <row r="151" spans="1:6" ht="16" thickBot="1">
      <c r="A151" s="671"/>
      <c r="B151" s="262" t="s">
        <v>92</v>
      </c>
      <c r="C151" s="258" t="s">
        <v>101</v>
      </c>
      <c r="D151" s="527" t="e">
        <f t="shared" si="5"/>
        <v>#N/A</v>
      </c>
      <c r="E151" s="653"/>
      <c r="F151" s="673"/>
    </row>
    <row r="152" spans="1:6">
      <c r="A152" s="671"/>
      <c r="B152" s="237" t="s">
        <v>99</v>
      </c>
      <c r="C152" s="242"/>
      <c r="D152" s="79" t="e">
        <f t="shared" si="5"/>
        <v>#N/A</v>
      </c>
      <c r="E152" s="651">
        <f t="shared" si="7"/>
        <v>0</v>
      </c>
      <c r="F152" s="673"/>
    </row>
    <row r="153" spans="1:6">
      <c r="A153" s="671"/>
      <c r="B153" s="246" t="s">
        <v>99</v>
      </c>
      <c r="C153" s="250"/>
      <c r="D153" s="55" t="e">
        <f t="shared" si="5"/>
        <v>#N/A</v>
      </c>
      <c r="E153" s="652"/>
      <c r="F153" s="673"/>
    </row>
    <row r="154" spans="1:6">
      <c r="A154" s="671"/>
      <c r="B154" s="246" t="s">
        <v>99</v>
      </c>
      <c r="C154" s="250" t="s">
        <v>103</v>
      </c>
      <c r="D154" s="55" t="e">
        <f t="shared" si="5"/>
        <v>#N/A</v>
      </c>
      <c r="E154" s="652"/>
      <c r="F154" s="673"/>
    </row>
    <row r="155" spans="1:6">
      <c r="A155" s="671"/>
      <c r="B155" s="246" t="s">
        <v>99</v>
      </c>
      <c r="C155" s="250" t="s">
        <v>98</v>
      </c>
      <c r="D155" s="55" t="e">
        <f t="shared" si="5"/>
        <v>#N/A</v>
      </c>
      <c r="E155" s="652"/>
      <c r="F155" s="673"/>
    </row>
    <row r="156" spans="1:6">
      <c r="A156" s="671"/>
      <c r="B156" s="246" t="s">
        <v>99</v>
      </c>
      <c r="C156" s="250" t="s">
        <v>96</v>
      </c>
      <c r="D156" s="55" t="e">
        <f t="shared" si="5"/>
        <v>#N/A</v>
      </c>
      <c r="E156" s="652"/>
      <c r="F156" s="673"/>
    </row>
    <row r="157" spans="1:6">
      <c r="A157" s="671"/>
      <c r="B157" s="246" t="s">
        <v>99</v>
      </c>
      <c r="C157" s="250" t="s">
        <v>95</v>
      </c>
      <c r="D157" s="55" t="e">
        <f t="shared" si="5"/>
        <v>#N/A</v>
      </c>
      <c r="E157" s="652"/>
      <c r="F157" s="673"/>
    </row>
    <row r="158" spans="1:6">
      <c r="A158" s="671"/>
      <c r="B158" s="246" t="s">
        <v>99</v>
      </c>
      <c r="C158" s="250" t="s">
        <v>105</v>
      </c>
      <c r="D158" s="55" t="e">
        <f t="shared" si="5"/>
        <v>#N/A</v>
      </c>
      <c r="E158" s="652"/>
      <c r="F158" s="673"/>
    </row>
    <row r="159" spans="1:6">
      <c r="A159" s="671"/>
      <c r="B159" s="246" t="s">
        <v>99</v>
      </c>
      <c r="C159" s="250" t="s">
        <v>91</v>
      </c>
      <c r="D159" s="55" t="e">
        <f t="shared" ref="D159:D222" si="8">IF(INDEX($C$3:$R$18,MATCH(B159,$B$3:$B$18,0),MATCH(C159,$C$2:$R$2,0))="","",INDEX($C$3:$R$18,MATCH(B159,$B$3:$B$18,0),MATCH(C159,$C$2:$R$2,0)))</f>
        <v>#N/A</v>
      </c>
      <c r="E159" s="652"/>
      <c r="F159" s="673"/>
    </row>
    <row r="160" spans="1:6">
      <c r="A160" s="671"/>
      <c r="B160" s="246" t="s">
        <v>99</v>
      </c>
      <c r="C160" s="250" t="s">
        <v>93</v>
      </c>
      <c r="D160" s="55" t="e">
        <f t="shared" si="8"/>
        <v>#N/A</v>
      </c>
      <c r="E160" s="652"/>
      <c r="F160" s="673"/>
    </row>
    <row r="161" spans="1:7">
      <c r="A161" s="671"/>
      <c r="B161" s="246" t="s">
        <v>99</v>
      </c>
      <c r="C161" s="250" t="s">
        <v>102</v>
      </c>
      <c r="D161" s="55" t="e">
        <f t="shared" si="8"/>
        <v>#N/A</v>
      </c>
      <c r="E161" s="652"/>
      <c r="F161" s="673"/>
    </row>
    <row r="162" spans="1:7">
      <c r="A162" s="671"/>
      <c r="B162" s="246" t="s">
        <v>99</v>
      </c>
      <c r="C162" s="250" t="s">
        <v>99</v>
      </c>
      <c r="D162" s="55" t="e">
        <f t="shared" si="8"/>
        <v>#N/A</v>
      </c>
      <c r="E162" s="652"/>
      <c r="F162" s="673"/>
    </row>
    <row r="163" spans="1:7">
      <c r="A163" s="671"/>
      <c r="B163" s="246" t="s">
        <v>99</v>
      </c>
      <c r="C163" s="250" t="s">
        <v>104</v>
      </c>
      <c r="D163" s="55" t="e">
        <f t="shared" si="8"/>
        <v>#N/A</v>
      </c>
      <c r="E163" s="652"/>
      <c r="F163" s="673"/>
    </row>
    <row r="164" spans="1:7">
      <c r="A164" s="671"/>
      <c r="B164" s="246" t="s">
        <v>99</v>
      </c>
      <c r="C164" s="250" t="s">
        <v>100</v>
      </c>
      <c r="D164" s="55" t="e">
        <f t="shared" si="8"/>
        <v>#N/A</v>
      </c>
      <c r="E164" s="652"/>
      <c r="F164" s="673"/>
    </row>
    <row r="165" spans="1:7">
      <c r="A165" s="671"/>
      <c r="B165" s="246" t="s">
        <v>99</v>
      </c>
      <c r="C165" s="250" t="s">
        <v>90</v>
      </c>
      <c r="D165" s="55" t="e">
        <f t="shared" si="8"/>
        <v>#N/A</v>
      </c>
      <c r="E165" s="652"/>
      <c r="F165" s="673"/>
    </row>
    <row r="166" spans="1:7">
      <c r="A166" s="671"/>
      <c r="B166" s="246" t="s">
        <v>99</v>
      </c>
      <c r="C166" s="250"/>
      <c r="D166" s="55" t="e">
        <f t="shared" si="8"/>
        <v>#N/A</v>
      </c>
      <c r="E166" s="652"/>
      <c r="F166" s="673"/>
    </row>
    <row r="167" spans="1:7" ht="16" thickBot="1">
      <c r="A167" s="671"/>
      <c r="B167" s="262" t="s">
        <v>99</v>
      </c>
      <c r="C167" s="258"/>
      <c r="D167" s="158" t="e">
        <f t="shared" si="8"/>
        <v>#N/A</v>
      </c>
      <c r="E167" s="653"/>
      <c r="F167" s="674"/>
    </row>
    <row r="168" spans="1:7">
      <c r="A168" s="651">
        <v>9</v>
      </c>
      <c r="B168" s="525" t="s">
        <v>99</v>
      </c>
      <c r="C168" s="526" t="s">
        <v>92</v>
      </c>
      <c r="D168" s="79" t="e">
        <f t="shared" si="8"/>
        <v>#N/A</v>
      </c>
      <c r="E168" s="651">
        <f t="shared" ref="E168:E216" si="9">SUMIF(D168:D183,"&gt;0")</f>
        <v>0</v>
      </c>
      <c r="F168" s="661" t="s">
        <v>157</v>
      </c>
      <c r="G168" s="664" t="s">
        <v>159</v>
      </c>
    </row>
    <row r="169" spans="1:7">
      <c r="A169" s="652"/>
      <c r="B169" s="246" t="s">
        <v>99</v>
      </c>
      <c r="C169" s="250"/>
      <c r="D169" s="55" t="e">
        <f t="shared" si="8"/>
        <v>#N/A</v>
      </c>
      <c r="E169" s="652"/>
      <c r="F169" s="662"/>
      <c r="G169" s="665"/>
    </row>
    <row r="170" spans="1:7">
      <c r="A170" s="652"/>
      <c r="B170" s="246" t="s">
        <v>99</v>
      </c>
      <c r="C170" s="250" t="s">
        <v>103</v>
      </c>
      <c r="D170" s="55" t="e">
        <f t="shared" si="8"/>
        <v>#N/A</v>
      </c>
      <c r="E170" s="652"/>
      <c r="F170" s="662"/>
      <c r="G170" s="665"/>
    </row>
    <row r="171" spans="1:7">
      <c r="A171" s="652"/>
      <c r="B171" s="246" t="s">
        <v>99</v>
      </c>
      <c r="C171" s="250" t="s">
        <v>98</v>
      </c>
      <c r="D171" s="55" t="e">
        <f t="shared" si="8"/>
        <v>#N/A</v>
      </c>
      <c r="E171" s="652"/>
      <c r="F171" s="662"/>
      <c r="G171" s="665"/>
    </row>
    <row r="172" spans="1:7">
      <c r="A172" s="652"/>
      <c r="B172" s="246" t="s">
        <v>99</v>
      </c>
      <c r="C172" s="250"/>
      <c r="D172" s="55" t="e">
        <f t="shared" si="8"/>
        <v>#N/A</v>
      </c>
      <c r="E172" s="652"/>
      <c r="F172" s="662"/>
      <c r="G172" s="665"/>
    </row>
    <row r="173" spans="1:7">
      <c r="A173" s="652"/>
      <c r="B173" s="246" t="s">
        <v>99</v>
      </c>
      <c r="C173" s="250" t="s">
        <v>95</v>
      </c>
      <c r="D173" s="55" t="e">
        <f t="shared" si="8"/>
        <v>#N/A</v>
      </c>
      <c r="E173" s="652"/>
      <c r="F173" s="662"/>
      <c r="G173" s="665"/>
    </row>
    <row r="174" spans="1:7">
      <c r="A174" s="652"/>
      <c r="B174" s="246" t="s">
        <v>99</v>
      </c>
      <c r="C174" s="250"/>
      <c r="D174" s="55" t="e">
        <f t="shared" si="8"/>
        <v>#N/A</v>
      </c>
      <c r="E174" s="652"/>
      <c r="F174" s="662"/>
      <c r="G174" s="665"/>
    </row>
    <row r="175" spans="1:7">
      <c r="A175" s="652"/>
      <c r="B175" s="246" t="s">
        <v>99</v>
      </c>
      <c r="C175" s="250" t="s">
        <v>91</v>
      </c>
      <c r="D175" s="55" t="e">
        <f t="shared" si="8"/>
        <v>#N/A</v>
      </c>
      <c r="E175" s="652"/>
      <c r="F175" s="662"/>
      <c r="G175" s="665"/>
    </row>
    <row r="176" spans="1:7">
      <c r="A176" s="652"/>
      <c r="B176" s="246" t="s">
        <v>99</v>
      </c>
      <c r="C176" s="250" t="s">
        <v>93</v>
      </c>
      <c r="D176" s="55" t="e">
        <f t="shared" si="8"/>
        <v>#N/A</v>
      </c>
      <c r="E176" s="652"/>
      <c r="F176" s="662"/>
      <c r="G176" s="665"/>
    </row>
    <row r="177" spans="1:7">
      <c r="A177" s="652"/>
      <c r="B177" s="246" t="s">
        <v>99</v>
      </c>
      <c r="C177" s="250" t="s">
        <v>102</v>
      </c>
      <c r="D177" s="55" t="e">
        <f t="shared" si="8"/>
        <v>#N/A</v>
      </c>
      <c r="E177" s="652"/>
      <c r="F177" s="662"/>
      <c r="G177" s="665"/>
    </row>
    <row r="178" spans="1:7">
      <c r="A178" s="652"/>
      <c r="B178" s="246" t="s">
        <v>99</v>
      </c>
      <c r="C178" s="250" t="s">
        <v>99</v>
      </c>
      <c r="D178" s="55" t="e">
        <f t="shared" si="8"/>
        <v>#N/A</v>
      </c>
      <c r="E178" s="652"/>
      <c r="F178" s="662"/>
      <c r="G178" s="665"/>
    </row>
    <row r="179" spans="1:7">
      <c r="A179" s="652"/>
      <c r="B179" s="246" t="s">
        <v>99</v>
      </c>
      <c r="C179" s="250" t="s">
        <v>104</v>
      </c>
      <c r="D179" s="55" t="e">
        <f t="shared" si="8"/>
        <v>#N/A</v>
      </c>
      <c r="E179" s="652"/>
      <c r="F179" s="662"/>
      <c r="G179" s="665"/>
    </row>
    <row r="180" spans="1:7">
      <c r="A180" s="652"/>
      <c r="B180" s="246" t="s">
        <v>99</v>
      </c>
      <c r="C180" s="250"/>
      <c r="D180" s="55" t="e">
        <f t="shared" si="8"/>
        <v>#N/A</v>
      </c>
      <c r="E180" s="652"/>
      <c r="F180" s="662"/>
      <c r="G180" s="665"/>
    </row>
    <row r="181" spans="1:7">
      <c r="A181" s="652"/>
      <c r="B181" s="246" t="s">
        <v>99</v>
      </c>
      <c r="C181" s="250" t="s">
        <v>90</v>
      </c>
      <c r="D181" s="55" t="e">
        <f t="shared" si="8"/>
        <v>#N/A</v>
      </c>
      <c r="E181" s="652"/>
      <c r="F181" s="662"/>
      <c r="G181" s="665"/>
    </row>
    <row r="182" spans="1:7">
      <c r="A182" s="652"/>
      <c r="B182" s="246" t="s">
        <v>99</v>
      </c>
      <c r="C182" s="250"/>
      <c r="D182" s="55" t="e">
        <f t="shared" si="8"/>
        <v>#N/A</v>
      </c>
      <c r="E182" s="652"/>
      <c r="F182" s="662"/>
      <c r="G182" s="665"/>
    </row>
    <row r="183" spans="1:7" ht="16" thickBot="1">
      <c r="A183" s="652"/>
      <c r="B183" s="271" t="s">
        <v>99</v>
      </c>
      <c r="C183" s="274" t="s">
        <v>101</v>
      </c>
      <c r="D183" s="236" t="e">
        <f t="shared" si="8"/>
        <v>#N/A</v>
      </c>
      <c r="E183" s="653"/>
      <c r="F183" s="662"/>
      <c r="G183" s="666"/>
    </row>
    <row r="184" spans="1:7">
      <c r="A184" s="652"/>
      <c r="B184" s="237" t="s">
        <v>100</v>
      </c>
      <c r="C184" s="242" t="s">
        <v>92</v>
      </c>
      <c r="D184" s="79" t="e">
        <f t="shared" si="8"/>
        <v>#N/A</v>
      </c>
      <c r="E184" s="651">
        <f t="shared" si="9"/>
        <v>0</v>
      </c>
      <c r="F184" s="662"/>
    </row>
    <row r="185" spans="1:7">
      <c r="A185" s="652"/>
      <c r="B185" s="246" t="s">
        <v>100</v>
      </c>
      <c r="C185" s="250" t="s">
        <v>94</v>
      </c>
      <c r="D185" s="55" t="e">
        <f t="shared" si="8"/>
        <v>#N/A</v>
      </c>
      <c r="E185" s="652"/>
      <c r="F185" s="662"/>
    </row>
    <row r="186" spans="1:7">
      <c r="A186" s="652"/>
      <c r="B186" s="246" t="s">
        <v>100</v>
      </c>
      <c r="C186" s="250" t="s">
        <v>103</v>
      </c>
      <c r="D186" s="55" t="e">
        <f t="shared" si="8"/>
        <v>#N/A</v>
      </c>
      <c r="E186" s="652"/>
      <c r="F186" s="662"/>
    </row>
    <row r="187" spans="1:7">
      <c r="A187" s="652"/>
      <c r="B187" s="246" t="s">
        <v>100</v>
      </c>
      <c r="C187" s="250" t="s">
        <v>98</v>
      </c>
      <c r="D187" s="55" t="e">
        <f t="shared" si="8"/>
        <v>#N/A</v>
      </c>
      <c r="E187" s="652"/>
      <c r="F187" s="662"/>
    </row>
    <row r="188" spans="1:7">
      <c r="A188" s="652"/>
      <c r="B188" s="246" t="s">
        <v>100</v>
      </c>
      <c r="C188" s="250"/>
      <c r="D188" s="55" t="e">
        <f t="shared" si="8"/>
        <v>#N/A</v>
      </c>
      <c r="E188" s="652"/>
      <c r="F188" s="662"/>
    </row>
    <row r="189" spans="1:7">
      <c r="A189" s="652"/>
      <c r="B189" s="246" t="s">
        <v>100</v>
      </c>
      <c r="C189" s="250"/>
      <c r="D189" s="55" t="e">
        <f t="shared" si="8"/>
        <v>#N/A</v>
      </c>
      <c r="E189" s="652"/>
      <c r="F189" s="662"/>
    </row>
    <row r="190" spans="1:7">
      <c r="A190" s="652"/>
      <c r="B190" s="246" t="s">
        <v>100</v>
      </c>
      <c r="C190" s="250" t="s">
        <v>105</v>
      </c>
      <c r="D190" s="55" t="e">
        <f t="shared" si="8"/>
        <v>#N/A</v>
      </c>
      <c r="E190" s="652"/>
      <c r="F190" s="662"/>
    </row>
    <row r="191" spans="1:7">
      <c r="A191" s="652"/>
      <c r="B191" s="246" t="s">
        <v>100</v>
      </c>
      <c r="C191" s="250"/>
      <c r="D191" s="55" t="e">
        <f t="shared" si="8"/>
        <v>#N/A</v>
      </c>
      <c r="E191" s="652"/>
      <c r="F191" s="662"/>
    </row>
    <row r="192" spans="1:7">
      <c r="A192" s="652"/>
      <c r="B192" s="246" t="s">
        <v>100</v>
      </c>
      <c r="C192" s="250" t="s">
        <v>93</v>
      </c>
      <c r="D192" s="55" t="e">
        <f t="shared" si="8"/>
        <v>#N/A</v>
      </c>
      <c r="E192" s="652"/>
      <c r="F192" s="662"/>
    </row>
    <row r="193" spans="1:7">
      <c r="A193" s="652"/>
      <c r="B193" s="246" t="s">
        <v>100</v>
      </c>
      <c r="C193" s="250" t="s">
        <v>102</v>
      </c>
      <c r="D193" s="55" t="e">
        <f t="shared" si="8"/>
        <v>#N/A</v>
      </c>
      <c r="E193" s="652"/>
      <c r="F193" s="662"/>
    </row>
    <row r="194" spans="1:7">
      <c r="A194" s="652"/>
      <c r="B194" s="246" t="s">
        <v>100</v>
      </c>
      <c r="C194" s="250" t="s">
        <v>99</v>
      </c>
      <c r="D194" s="55" t="e">
        <f t="shared" si="8"/>
        <v>#N/A</v>
      </c>
      <c r="E194" s="652"/>
      <c r="F194" s="662"/>
    </row>
    <row r="195" spans="1:7">
      <c r="A195" s="652"/>
      <c r="B195" s="246" t="s">
        <v>100</v>
      </c>
      <c r="C195" s="250" t="s">
        <v>104</v>
      </c>
      <c r="D195" s="55" t="e">
        <f t="shared" si="8"/>
        <v>#N/A</v>
      </c>
      <c r="E195" s="652"/>
      <c r="F195" s="662"/>
    </row>
    <row r="196" spans="1:7">
      <c r="A196" s="652"/>
      <c r="B196" s="246" t="s">
        <v>100</v>
      </c>
      <c r="C196" s="250" t="s">
        <v>100</v>
      </c>
      <c r="D196" s="55" t="e">
        <f t="shared" si="8"/>
        <v>#N/A</v>
      </c>
      <c r="E196" s="652"/>
      <c r="F196" s="662"/>
    </row>
    <row r="197" spans="1:7">
      <c r="A197" s="652"/>
      <c r="B197" s="246" t="s">
        <v>100</v>
      </c>
      <c r="C197" s="250" t="s">
        <v>90</v>
      </c>
      <c r="D197" s="55" t="e">
        <f t="shared" si="8"/>
        <v>#N/A</v>
      </c>
      <c r="E197" s="652"/>
      <c r="F197" s="662"/>
    </row>
    <row r="198" spans="1:7">
      <c r="A198" s="652"/>
      <c r="B198" s="246" t="s">
        <v>100</v>
      </c>
      <c r="C198" s="250"/>
      <c r="D198" s="55" t="e">
        <f t="shared" si="8"/>
        <v>#N/A</v>
      </c>
      <c r="E198" s="652"/>
      <c r="F198" s="662"/>
    </row>
    <row r="199" spans="1:7" ht="16" thickBot="1">
      <c r="A199" s="652"/>
      <c r="B199" s="262" t="s">
        <v>100</v>
      </c>
      <c r="C199" s="258" t="s">
        <v>101</v>
      </c>
      <c r="D199" s="158" t="e">
        <f t="shared" si="8"/>
        <v>#N/A</v>
      </c>
      <c r="E199" s="653"/>
      <c r="F199" s="662"/>
    </row>
    <row r="200" spans="1:7">
      <c r="A200" s="652"/>
      <c r="B200" s="237" t="s">
        <v>90</v>
      </c>
      <c r="C200" s="242" t="s">
        <v>92</v>
      </c>
      <c r="D200" s="79" t="e">
        <f t="shared" si="8"/>
        <v>#N/A</v>
      </c>
      <c r="E200" s="651">
        <f t="shared" si="9"/>
        <v>0</v>
      </c>
      <c r="F200" s="662"/>
      <c r="G200" s="664" t="s">
        <v>160</v>
      </c>
    </row>
    <row r="201" spans="1:7">
      <c r="A201" s="652"/>
      <c r="B201" s="246" t="s">
        <v>90</v>
      </c>
      <c r="C201" s="250"/>
      <c r="D201" s="55" t="e">
        <f t="shared" si="8"/>
        <v>#N/A</v>
      </c>
      <c r="E201" s="652"/>
      <c r="F201" s="662"/>
      <c r="G201" s="665"/>
    </row>
    <row r="202" spans="1:7">
      <c r="A202" s="652"/>
      <c r="B202" s="246" t="s">
        <v>90</v>
      </c>
      <c r="C202" s="250" t="s">
        <v>103</v>
      </c>
      <c r="D202" s="55" t="e">
        <f t="shared" si="8"/>
        <v>#N/A</v>
      </c>
      <c r="E202" s="652"/>
      <c r="F202" s="662"/>
      <c r="G202" s="665"/>
    </row>
    <row r="203" spans="1:7">
      <c r="A203" s="652"/>
      <c r="B203" s="246" t="s">
        <v>90</v>
      </c>
      <c r="C203" s="250" t="s">
        <v>98</v>
      </c>
      <c r="D203" s="55" t="e">
        <f t="shared" si="8"/>
        <v>#N/A</v>
      </c>
      <c r="E203" s="652"/>
      <c r="F203" s="662"/>
      <c r="G203" s="665"/>
    </row>
    <row r="204" spans="1:7">
      <c r="A204" s="652"/>
      <c r="B204" s="246" t="s">
        <v>90</v>
      </c>
      <c r="C204" s="250" t="s">
        <v>96</v>
      </c>
      <c r="D204" s="55" t="e">
        <f t="shared" si="8"/>
        <v>#N/A</v>
      </c>
      <c r="E204" s="652"/>
      <c r="F204" s="662"/>
      <c r="G204" s="665"/>
    </row>
    <row r="205" spans="1:7">
      <c r="A205" s="652"/>
      <c r="B205" s="246" t="s">
        <v>90</v>
      </c>
      <c r="C205" s="250"/>
      <c r="D205" s="55" t="e">
        <f t="shared" si="8"/>
        <v>#N/A</v>
      </c>
      <c r="E205" s="652"/>
      <c r="F205" s="662"/>
      <c r="G205" s="665"/>
    </row>
    <row r="206" spans="1:7">
      <c r="A206" s="652"/>
      <c r="B206" s="246" t="s">
        <v>90</v>
      </c>
      <c r="C206" s="250" t="s">
        <v>105</v>
      </c>
      <c r="D206" s="55" t="e">
        <f t="shared" si="8"/>
        <v>#N/A</v>
      </c>
      <c r="E206" s="652"/>
      <c r="F206" s="662"/>
      <c r="G206" s="665"/>
    </row>
    <row r="207" spans="1:7">
      <c r="A207" s="652"/>
      <c r="B207" s="246" t="s">
        <v>90</v>
      </c>
      <c r="C207" s="250"/>
      <c r="D207" s="55" t="e">
        <f t="shared" si="8"/>
        <v>#N/A</v>
      </c>
      <c r="E207" s="652"/>
      <c r="F207" s="662"/>
      <c r="G207" s="665"/>
    </row>
    <row r="208" spans="1:7">
      <c r="A208" s="652"/>
      <c r="B208" s="246" t="s">
        <v>90</v>
      </c>
      <c r="C208" s="250" t="s">
        <v>93</v>
      </c>
      <c r="D208" s="55" t="e">
        <f t="shared" si="8"/>
        <v>#N/A</v>
      </c>
      <c r="E208" s="652"/>
      <c r="F208" s="662"/>
      <c r="G208" s="665"/>
    </row>
    <row r="209" spans="1:7">
      <c r="A209" s="652"/>
      <c r="B209" s="246" t="s">
        <v>90</v>
      </c>
      <c r="C209" s="250" t="s">
        <v>102</v>
      </c>
      <c r="D209" s="55" t="e">
        <f t="shared" si="8"/>
        <v>#N/A</v>
      </c>
      <c r="E209" s="652"/>
      <c r="F209" s="662"/>
      <c r="G209" s="665"/>
    </row>
    <row r="210" spans="1:7">
      <c r="A210" s="652"/>
      <c r="B210" s="246" t="s">
        <v>90</v>
      </c>
      <c r="C210" s="250" t="s">
        <v>99</v>
      </c>
      <c r="D210" s="55" t="e">
        <f t="shared" si="8"/>
        <v>#N/A</v>
      </c>
      <c r="E210" s="652"/>
      <c r="F210" s="662"/>
      <c r="G210" s="665"/>
    </row>
    <row r="211" spans="1:7">
      <c r="A211" s="652"/>
      <c r="B211" s="246" t="s">
        <v>90</v>
      </c>
      <c r="C211" s="250" t="s">
        <v>104</v>
      </c>
      <c r="D211" s="55" t="e">
        <f t="shared" si="8"/>
        <v>#N/A</v>
      </c>
      <c r="E211" s="652"/>
      <c r="F211" s="662"/>
      <c r="G211" s="665"/>
    </row>
    <row r="212" spans="1:7">
      <c r="A212" s="652"/>
      <c r="B212" s="246" t="s">
        <v>90</v>
      </c>
      <c r="C212" s="250"/>
      <c r="D212" s="55" t="e">
        <f t="shared" si="8"/>
        <v>#N/A</v>
      </c>
      <c r="E212" s="652"/>
      <c r="F212" s="662"/>
      <c r="G212" s="665"/>
    </row>
    <row r="213" spans="1:7">
      <c r="A213" s="652"/>
      <c r="B213" s="246" t="s">
        <v>90</v>
      </c>
      <c r="C213" s="250" t="s">
        <v>90</v>
      </c>
      <c r="D213" s="55" t="e">
        <f t="shared" si="8"/>
        <v>#N/A</v>
      </c>
      <c r="E213" s="652"/>
      <c r="F213" s="662"/>
      <c r="G213" s="665"/>
    </row>
    <row r="214" spans="1:7">
      <c r="A214" s="652"/>
      <c r="B214" s="246" t="s">
        <v>90</v>
      </c>
      <c r="C214" s="250"/>
      <c r="D214" s="55" t="e">
        <f t="shared" si="8"/>
        <v>#N/A</v>
      </c>
      <c r="E214" s="652"/>
      <c r="F214" s="662"/>
      <c r="G214" s="665"/>
    </row>
    <row r="215" spans="1:7" ht="16" thickBot="1">
      <c r="A215" s="652"/>
      <c r="B215" s="262" t="s">
        <v>90</v>
      </c>
      <c r="C215" s="258" t="s">
        <v>101</v>
      </c>
      <c r="D215" s="158" t="e">
        <f t="shared" si="8"/>
        <v>#N/A</v>
      </c>
      <c r="E215" s="653"/>
      <c r="F215" s="662"/>
      <c r="G215" s="666"/>
    </row>
    <row r="216" spans="1:7">
      <c r="A216" s="652"/>
      <c r="B216" s="237" t="s">
        <v>94</v>
      </c>
      <c r="C216" s="242" t="s">
        <v>92</v>
      </c>
      <c r="D216" s="79" t="e">
        <f t="shared" si="8"/>
        <v>#N/A</v>
      </c>
      <c r="E216" s="651">
        <f t="shared" si="9"/>
        <v>0</v>
      </c>
      <c r="F216" s="662"/>
    </row>
    <row r="217" spans="1:7">
      <c r="A217" s="652"/>
      <c r="B217" s="246" t="s">
        <v>94</v>
      </c>
      <c r="C217" s="250" t="s">
        <v>94</v>
      </c>
      <c r="D217" s="55" t="e">
        <f t="shared" si="8"/>
        <v>#N/A</v>
      </c>
      <c r="E217" s="652"/>
      <c r="F217" s="662"/>
    </row>
    <row r="218" spans="1:7">
      <c r="A218" s="652"/>
      <c r="B218" s="246" t="s">
        <v>94</v>
      </c>
      <c r="C218" s="250" t="s">
        <v>103</v>
      </c>
      <c r="D218" s="55" t="e">
        <f t="shared" si="8"/>
        <v>#N/A</v>
      </c>
      <c r="E218" s="652"/>
      <c r="F218" s="662"/>
    </row>
    <row r="219" spans="1:7">
      <c r="A219" s="652"/>
      <c r="B219" s="246" t="s">
        <v>94</v>
      </c>
      <c r="C219" s="250" t="s">
        <v>98</v>
      </c>
      <c r="D219" s="55" t="e">
        <f t="shared" si="8"/>
        <v>#N/A</v>
      </c>
      <c r="E219" s="652"/>
      <c r="F219" s="662"/>
    </row>
    <row r="220" spans="1:7">
      <c r="A220" s="652"/>
      <c r="B220" s="246" t="s">
        <v>94</v>
      </c>
      <c r="C220" s="250"/>
      <c r="D220" s="55" t="e">
        <f t="shared" si="8"/>
        <v>#N/A</v>
      </c>
      <c r="E220" s="652"/>
      <c r="F220" s="662"/>
    </row>
    <row r="221" spans="1:7">
      <c r="A221" s="652"/>
      <c r="B221" s="246" t="s">
        <v>94</v>
      </c>
      <c r="C221" s="250"/>
      <c r="D221" s="55" t="e">
        <f t="shared" si="8"/>
        <v>#N/A</v>
      </c>
      <c r="E221" s="652"/>
      <c r="F221" s="662"/>
    </row>
    <row r="222" spans="1:7">
      <c r="A222" s="652"/>
      <c r="B222" s="246" t="s">
        <v>94</v>
      </c>
      <c r="C222" s="250"/>
      <c r="D222" s="55" t="e">
        <f t="shared" si="8"/>
        <v>#N/A</v>
      </c>
      <c r="E222" s="652"/>
      <c r="F222" s="662"/>
    </row>
    <row r="223" spans="1:7">
      <c r="A223" s="652"/>
      <c r="B223" s="246" t="s">
        <v>94</v>
      </c>
      <c r="C223" s="250"/>
      <c r="D223" s="55" t="e">
        <f t="shared" ref="D223:D286" si="10">IF(INDEX($C$3:$R$18,MATCH(B223,$B$3:$B$18,0),MATCH(C223,$C$2:$R$2,0))="","",INDEX($C$3:$R$18,MATCH(B223,$B$3:$B$18,0),MATCH(C223,$C$2:$R$2,0)))</f>
        <v>#N/A</v>
      </c>
      <c r="E223" s="652"/>
      <c r="F223" s="662"/>
    </row>
    <row r="224" spans="1:7">
      <c r="A224" s="652"/>
      <c r="B224" s="246" t="s">
        <v>94</v>
      </c>
      <c r="C224" s="250" t="s">
        <v>93</v>
      </c>
      <c r="D224" s="55" t="e">
        <f t="shared" si="10"/>
        <v>#N/A</v>
      </c>
      <c r="E224" s="652"/>
      <c r="F224" s="662"/>
    </row>
    <row r="225" spans="1:6">
      <c r="A225" s="652"/>
      <c r="B225" s="246" t="s">
        <v>94</v>
      </c>
      <c r="C225" s="250" t="s">
        <v>102</v>
      </c>
      <c r="D225" s="55" t="e">
        <f t="shared" si="10"/>
        <v>#N/A</v>
      </c>
      <c r="E225" s="652"/>
      <c r="F225" s="662"/>
    </row>
    <row r="226" spans="1:6">
      <c r="A226" s="652"/>
      <c r="B226" s="246" t="s">
        <v>94</v>
      </c>
      <c r="C226" s="250" t="s">
        <v>99</v>
      </c>
      <c r="D226" s="55" t="e">
        <f t="shared" si="10"/>
        <v>#N/A</v>
      </c>
      <c r="E226" s="652"/>
      <c r="F226" s="662"/>
    </row>
    <row r="227" spans="1:6">
      <c r="A227" s="652"/>
      <c r="B227" s="246" t="s">
        <v>94</v>
      </c>
      <c r="C227" s="250" t="s">
        <v>104</v>
      </c>
      <c r="D227" s="55" t="e">
        <f t="shared" si="10"/>
        <v>#N/A</v>
      </c>
      <c r="E227" s="652"/>
      <c r="F227" s="662"/>
    </row>
    <row r="228" spans="1:6">
      <c r="A228" s="652"/>
      <c r="B228" s="246" t="s">
        <v>94</v>
      </c>
      <c r="C228" s="250" t="s">
        <v>100</v>
      </c>
      <c r="D228" s="55" t="e">
        <f t="shared" si="10"/>
        <v>#N/A</v>
      </c>
      <c r="E228" s="652"/>
      <c r="F228" s="662"/>
    </row>
    <row r="229" spans="1:6">
      <c r="A229" s="652"/>
      <c r="B229" s="246" t="s">
        <v>94</v>
      </c>
      <c r="C229" s="250" t="s">
        <v>90</v>
      </c>
      <c r="D229" s="55" t="e">
        <f t="shared" si="10"/>
        <v>#N/A</v>
      </c>
      <c r="E229" s="652"/>
      <c r="F229" s="662"/>
    </row>
    <row r="230" spans="1:6">
      <c r="A230" s="652"/>
      <c r="B230" s="246" t="s">
        <v>94</v>
      </c>
      <c r="C230" s="250" t="s">
        <v>97</v>
      </c>
      <c r="D230" s="55" t="e">
        <f t="shared" si="10"/>
        <v>#N/A</v>
      </c>
      <c r="E230" s="652"/>
      <c r="F230" s="662"/>
    </row>
    <row r="231" spans="1:6" ht="16" thickBot="1">
      <c r="A231" s="653"/>
      <c r="B231" s="262" t="s">
        <v>94</v>
      </c>
      <c r="C231" s="258" t="s">
        <v>101</v>
      </c>
      <c r="D231" s="158" t="e">
        <f t="shared" si="10"/>
        <v>#N/A</v>
      </c>
      <c r="E231" s="653"/>
      <c r="F231" s="663"/>
    </row>
    <row r="232" spans="1:6">
      <c r="A232" s="651">
        <v>10</v>
      </c>
      <c r="B232" s="525"/>
      <c r="C232" s="526" t="s">
        <v>92</v>
      </c>
      <c r="D232" s="521" t="e">
        <f t="shared" si="10"/>
        <v>#N/A</v>
      </c>
      <c r="E232" s="651">
        <f t="shared" ref="E232:E280" si="11">SUMIF(D232:D247,"&gt;0")</f>
        <v>0</v>
      </c>
      <c r="F232" s="661" t="s">
        <v>158</v>
      </c>
    </row>
    <row r="233" spans="1:6">
      <c r="A233" s="652"/>
      <c r="B233" s="246"/>
      <c r="C233" s="250" t="s">
        <v>94</v>
      </c>
      <c r="D233" s="232" t="e">
        <f t="shared" si="10"/>
        <v>#N/A</v>
      </c>
      <c r="E233" s="652"/>
      <c r="F233" s="662"/>
    </row>
    <row r="234" spans="1:6">
      <c r="A234" s="652"/>
      <c r="B234" s="246"/>
      <c r="C234" s="250" t="s">
        <v>103</v>
      </c>
      <c r="D234" s="232" t="e">
        <f t="shared" si="10"/>
        <v>#N/A</v>
      </c>
      <c r="E234" s="652"/>
      <c r="F234" s="662"/>
    </row>
    <row r="235" spans="1:6">
      <c r="A235" s="652"/>
      <c r="B235" s="246"/>
      <c r="C235" s="250" t="s">
        <v>98</v>
      </c>
      <c r="D235" s="232" t="e">
        <f t="shared" si="10"/>
        <v>#N/A</v>
      </c>
      <c r="E235" s="652"/>
      <c r="F235" s="662"/>
    </row>
    <row r="236" spans="1:6">
      <c r="A236" s="652"/>
      <c r="B236" s="246"/>
      <c r="C236" s="250" t="s">
        <v>96</v>
      </c>
      <c r="D236" s="232" t="e">
        <f t="shared" si="10"/>
        <v>#N/A</v>
      </c>
      <c r="E236" s="652"/>
      <c r="F236" s="662"/>
    </row>
    <row r="237" spans="1:6">
      <c r="A237" s="652"/>
      <c r="B237" s="246"/>
      <c r="C237" s="250" t="s">
        <v>95</v>
      </c>
      <c r="D237" s="232" t="e">
        <f t="shared" si="10"/>
        <v>#N/A</v>
      </c>
      <c r="E237" s="652"/>
      <c r="F237" s="662"/>
    </row>
    <row r="238" spans="1:6">
      <c r="A238" s="652"/>
      <c r="B238" s="246"/>
      <c r="C238" s="250" t="s">
        <v>105</v>
      </c>
      <c r="D238" s="232" t="e">
        <f t="shared" si="10"/>
        <v>#N/A</v>
      </c>
      <c r="E238" s="652"/>
      <c r="F238" s="662"/>
    </row>
    <row r="239" spans="1:6">
      <c r="A239" s="652"/>
      <c r="B239" s="246"/>
      <c r="C239" s="250" t="s">
        <v>91</v>
      </c>
      <c r="D239" s="232" t="e">
        <f t="shared" si="10"/>
        <v>#N/A</v>
      </c>
      <c r="E239" s="652"/>
      <c r="F239" s="662"/>
    </row>
    <row r="240" spans="1:6">
      <c r="A240" s="652"/>
      <c r="B240" s="246"/>
      <c r="C240" s="250" t="s">
        <v>93</v>
      </c>
      <c r="D240" s="232" t="e">
        <f t="shared" si="10"/>
        <v>#N/A</v>
      </c>
      <c r="E240" s="652"/>
      <c r="F240" s="662"/>
    </row>
    <row r="241" spans="1:6">
      <c r="A241" s="652"/>
      <c r="B241" s="246"/>
      <c r="C241" s="250" t="s">
        <v>102</v>
      </c>
      <c r="D241" s="232" t="e">
        <f t="shared" si="10"/>
        <v>#N/A</v>
      </c>
      <c r="E241" s="652"/>
      <c r="F241" s="662"/>
    </row>
    <row r="242" spans="1:6">
      <c r="A242" s="652"/>
      <c r="B242" s="246"/>
      <c r="C242" s="250" t="s">
        <v>99</v>
      </c>
      <c r="D242" s="232" t="e">
        <f t="shared" si="10"/>
        <v>#N/A</v>
      </c>
      <c r="E242" s="652"/>
      <c r="F242" s="662"/>
    </row>
    <row r="243" spans="1:6">
      <c r="A243" s="652"/>
      <c r="B243" s="246"/>
      <c r="C243" s="250" t="s">
        <v>104</v>
      </c>
      <c r="D243" s="232" t="e">
        <f t="shared" si="10"/>
        <v>#N/A</v>
      </c>
      <c r="E243" s="652"/>
      <c r="F243" s="662"/>
    </row>
    <row r="244" spans="1:6">
      <c r="A244" s="652"/>
      <c r="B244" s="246"/>
      <c r="C244" s="250" t="s">
        <v>100</v>
      </c>
      <c r="D244" s="232" t="e">
        <f t="shared" si="10"/>
        <v>#N/A</v>
      </c>
      <c r="E244" s="652"/>
      <c r="F244" s="662"/>
    </row>
    <row r="245" spans="1:6">
      <c r="A245" s="652"/>
      <c r="B245" s="246"/>
      <c r="C245" s="250" t="s">
        <v>90</v>
      </c>
      <c r="D245" s="232" t="e">
        <f t="shared" si="10"/>
        <v>#N/A</v>
      </c>
      <c r="E245" s="652"/>
      <c r="F245" s="662"/>
    </row>
    <row r="246" spans="1:6">
      <c r="A246" s="652"/>
      <c r="B246" s="246"/>
      <c r="C246" s="250" t="s">
        <v>97</v>
      </c>
      <c r="D246" s="232" t="e">
        <f t="shared" si="10"/>
        <v>#N/A</v>
      </c>
      <c r="E246" s="652"/>
      <c r="F246" s="662"/>
    </row>
    <row r="247" spans="1:6" ht="16" thickBot="1">
      <c r="A247" s="652"/>
      <c r="B247" s="271"/>
      <c r="C247" s="274" t="s">
        <v>101</v>
      </c>
      <c r="D247" s="232" t="e">
        <f t="shared" si="10"/>
        <v>#N/A</v>
      </c>
      <c r="E247" s="653"/>
      <c r="F247" s="662"/>
    </row>
    <row r="248" spans="1:6">
      <c r="A248" s="652"/>
      <c r="B248" s="237" t="s">
        <v>100</v>
      </c>
      <c r="C248" s="242" t="s">
        <v>92</v>
      </c>
      <c r="D248" s="232" t="e">
        <f t="shared" si="10"/>
        <v>#N/A</v>
      </c>
      <c r="E248" s="651">
        <f t="shared" si="11"/>
        <v>0</v>
      </c>
      <c r="F248" s="662"/>
    </row>
    <row r="249" spans="1:6">
      <c r="A249" s="652"/>
      <c r="B249" s="246" t="s">
        <v>100</v>
      </c>
      <c r="C249" s="250" t="s">
        <v>94</v>
      </c>
      <c r="D249" s="232" t="e">
        <f t="shared" si="10"/>
        <v>#N/A</v>
      </c>
      <c r="E249" s="652"/>
      <c r="F249" s="662"/>
    </row>
    <row r="250" spans="1:6">
      <c r="A250" s="652"/>
      <c r="B250" s="246" t="s">
        <v>100</v>
      </c>
      <c r="C250" s="250" t="s">
        <v>103</v>
      </c>
      <c r="D250" s="232" t="e">
        <f t="shared" si="10"/>
        <v>#N/A</v>
      </c>
      <c r="E250" s="652"/>
      <c r="F250" s="662"/>
    </row>
    <row r="251" spans="1:6">
      <c r="A251" s="652"/>
      <c r="B251" s="246" t="s">
        <v>100</v>
      </c>
      <c r="C251" s="250" t="s">
        <v>98</v>
      </c>
      <c r="D251" s="232" t="e">
        <f t="shared" si="10"/>
        <v>#N/A</v>
      </c>
      <c r="E251" s="652"/>
      <c r="F251" s="662"/>
    </row>
    <row r="252" spans="1:6">
      <c r="A252" s="652"/>
      <c r="B252" s="246" t="s">
        <v>100</v>
      </c>
      <c r="C252" s="250"/>
      <c r="D252" s="232" t="e">
        <f t="shared" si="10"/>
        <v>#N/A</v>
      </c>
      <c r="E252" s="652"/>
      <c r="F252" s="662"/>
    </row>
    <row r="253" spans="1:6">
      <c r="A253" s="652"/>
      <c r="B253" s="246" t="s">
        <v>100</v>
      </c>
      <c r="C253" s="250" t="s">
        <v>95</v>
      </c>
      <c r="D253" s="232" t="e">
        <f t="shared" si="10"/>
        <v>#N/A</v>
      </c>
      <c r="E253" s="652"/>
      <c r="F253" s="662"/>
    </row>
    <row r="254" spans="1:6">
      <c r="A254" s="652"/>
      <c r="B254" s="246" t="s">
        <v>100</v>
      </c>
      <c r="C254" s="250" t="s">
        <v>105</v>
      </c>
      <c r="D254" s="232" t="e">
        <f t="shared" si="10"/>
        <v>#N/A</v>
      </c>
      <c r="E254" s="652"/>
      <c r="F254" s="662"/>
    </row>
    <row r="255" spans="1:6">
      <c r="A255" s="652"/>
      <c r="B255" s="246" t="s">
        <v>100</v>
      </c>
      <c r="C255" s="250" t="s">
        <v>91</v>
      </c>
      <c r="D255" s="232" t="e">
        <f t="shared" si="10"/>
        <v>#N/A</v>
      </c>
      <c r="E255" s="652"/>
      <c r="F255" s="662"/>
    </row>
    <row r="256" spans="1:6">
      <c r="A256" s="652"/>
      <c r="B256" s="246" t="s">
        <v>100</v>
      </c>
      <c r="C256" s="250" t="s">
        <v>93</v>
      </c>
      <c r="D256" s="232" t="e">
        <f t="shared" si="10"/>
        <v>#N/A</v>
      </c>
      <c r="E256" s="652"/>
      <c r="F256" s="662"/>
    </row>
    <row r="257" spans="1:6">
      <c r="A257" s="652"/>
      <c r="B257" s="246" t="s">
        <v>100</v>
      </c>
      <c r="C257" s="250" t="s">
        <v>102</v>
      </c>
      <c r="D257" s="232" t="e">
        <f t="shared" si="10"/>
        <v>#N/A</v>
      </c>
      <c r="E257" s="652"/>
      <c r="F257" s="662"/>
    </row>
    <row r="258" spans="1:6">
      <c r="A258" s="652"/>
      <c r="B258" s="246" t="s">
        <v>100</v>
      </c>
      <c r="C258" s="250" t="s">
        <v>99</v>
      </c>
      <c r="D258" s="232" t="e">
        <f t="shared" si="10"/>
        <v>#N/A</v>
      </c>
      <c r="E258" s="652"/>
      <c r="F258" s="662"/>
    </row>
    <row r="259" spans="1:6">
      <c r="A259" s="652"/>
      <c r="B259" s="246" t="s">
        <v>100</v>
      </c>
      <c r="C259" s="250" t="s">
        <v>104</v>
      </c>
      <c r="D259" s="232" t="e">
        <f t="shared" si="10"/>
        <v>#N/A</v>
      </c>
      <c r="E259" s="652"/>
      <c r="F259" s="662"/>
    </row>
    <row r="260" spans="1:6">
      <c r="A260" s="652"/>
      <c r="B260" s="246" t="s">
        <v>100</v>
      </c>
      <c r="C260" s="250" t="s">
        <v>100</v>
      </c>
      <c r="D260" s="232" t="e">
        <f t="shared" si="10"/>
        <v>#N/A</v>
      </c>
      <c r="E260" s="652"/>
      <c r="F260" s="662"/>
    </row>
    <row r="261" spans="1:6">
      <c r="A261" s="652"/>
      <c r="B261" s="246" t="s">
        <v>100</v>
      </c>
      <c r="C261" s="250" t="s">
        <v>90</v>
      </c>
      <c r="D261" s="232" t="e">
        <f t="shared" si="10"/>
        <v>#N/A</v>
      </c>
      <c r="E261" s="652"/>
      <c r="F261" s="662"/>
    </row>
    <row r="262" spans="1:6">
      <c r="A262" s="652"/>
      <c r="B262" s="246" t="s">
        <v>100</v>
      </c>
      <c r="C262" s="250"/>
      <c r="D262" s="232" t="e">
        <f t="shared" si="10"/>
        <v>#N/A</v>
      </c>
      <c r="E262" s="652"/>
      <c r="F262" s="662"/>
    </row>
    <row r="263" spans="1:6" ht="16" thickBot="1">
      <c r="A263" s="652"/>
      <c r="B263" s="262" t="s">
        <v>100</v>
      </c>
      <c r="C263" s="258" t="s">
        <v>101</v>
      </c>
      <c r="D263" s="232" t="e">
        <f t="shared" si="10"/>
        <v>#N/A</v>
      </c>
      <c r="E263" s="653"/>
      <c r="F263" s="662"/>
    </row>
    <row r="264" spans="1:6">
      <c r="A264" s="652"/>
      <c r="B264" s="237" t="s">
        <v>90</v>
      </c>
      <c r="C264" s="242" t="s">
        <v>92</v>
      </c>
      <c r="D264" s="232" t="e">
        <f t="shared" si="10"/>
        <v>#N/A</v>
      </c>
      <c r="E264" s="651">
        <f t="shared" si="11"/>
        <v>0</v>
      </c>
      <c r="F264" s="662"/>
    </row>
    <row r="265" spans="1:6">
      <c r="A265" s="652"/>
      <c r="B265" s="246" t="s">
        <v>90</v>
      </c>
      <c r="C265" s="250"/>
      <c r="D265" s="232" t="e">
        <f t="shared" si="10"/>
        <v>#N/A</v>
      </c>
      <c r="E265" s="652"/>
      <c r="F265" s="662"/>
    </row>
    <row r="266" spans="1:6">
      <c r="A266" s="652"/>
      <c r="B266" s="246" t="s">
        <v>90</v>
      </c>
      <c r="C266" s="250" t="s">
        <v>103</v>
      </c>
      <c r="D266" s="232" t="e">
        <f t="shared" si="10"/>
        <v>#N/A</v>
      </c>
      <c r="E266" s="652"/>
      <c r="F266" s="662"/>
    </row>
    <row r="267" spans="1:6">
      <c r="A267" s="652"/>
      <c r="B267" s="246" t="s">
        <v>90</v>
      </c>
      <c r="C267" s="250" t="s">
        <v>98</v>
      </c>
      <c r="D267" s="232" t="e">
        <f t="shared" si="10"/>
        <v>#N/A</v>
      </c>
      <c r="E267" s="652"/>
      <c r="F267" s="662"/>
    </row>
    <row r="268" spans="1:6">
      <c r="A268" s="652"/>
      <c r="B268" s="246" t="s">
        <v>90</v>
      </c>
      <c r="C268" s="250" t="s">
        <v>96</v>
      </c>
      <c r="D268" s="232" t="e">
        <f t="shared" si="10"/>
        <v>#N/A</v>
      </c>
      <c r="E268" s="652"/>
      <c r="F268" s="662"/>
    </row>
    <row r="269" spans="1:6">
      <c r="A269" s="652"/>
      <c r="B269" s="246" t="s">
        <v>90</v>
      </c>
      <c r="C269" s="250" t="s">
        <v>95</v>
      </c>
      <c r="D269" s="232" t="e">
        <f t="shared" si="10"/>
        <v>#N/A</v>
      </c>
      <c r="E269" s="652"/>
      <c r="F269" s="662"/>
    </row>
    <row r="270" spans="1:6">
      <c r="A270" s="652"/>
      <c r="B270" s="246" t="s">
        <v>90</v>
      </c>
      <c r="C270" s="250" t="s">
        <v>105</v>
      </c>
      <c r="D270" s="232" t="e">
        <f t="shared" si="10"/>
        <v>#N/A</v>
      </c>
      <c r="E270" s="652"/>
      <c r="F270" s="662"/>
    </row>
    <row r="271" spans="1:6">
      <c r="A271" s="652"/>
      <c r="B271" s="246" t="s">
        <v>90</v>
      </c>
      <c r="C271" s="250" t="s">
        <v>91</v>
      </c>
      <c r="D271" s="232" t="e">
        <f t="shared" si="10"/>
        <v>#N/A</v>
      </c>
      <c r="E271" s="652"/>
      <c r="F271" s="662"/>
    </row>
    <row r="272" spans="1:6">
      <c r="A272" s="652"/>
      <c r="B272" s="246" t="s">
        <v>90</v>
      </c>
      <c r="C272" s="250" t="s">
        <v>93</v>
      </c>
      <c r="D272" s="232" t="e">
        <f t="shared" si="10"/>
        <v>#N/A</v>
      </c>
      <c r="E272" s="652"/>
      <c r="F272" s="662"/>
    </row>
    <row r="273" spans="1:6">
      <c r="A273" s="652"/>
      <c r="B273" s="246" t="s">
        <v>90</v>
      </c>
      <c r="C273" s="250" t="s">
        <v>102</v>
      </c>
      <c r="D273" s="232" t="e">
        <f t="shared" si="10"/>
        <v>#N/A</v>
      </c>
      <c r="E273" s="652"/>
      <c r="F273" s="662"/>
    </row>
    <row r="274" spans="1:6">
      <c r="A274" s="652"/>
      <c r="B274" s="246" t="s">
        <v>90</v>
      </c>
      <c r="C274" s="250" t="s">
        <v>99</v>
      </c>
      <c r="D274" s="232" t="e">
        <f t="shared" si="10"/>
        <v>#N/A</v>
      </c>
      <c r="E274" s="652"/>
      <c r="F274" s="662"/>
    </row>
    <row r="275" spans="1:6">
      <c r="A275" s="652"/>
      <c r="B275" s="246" t="s">
        <v>90</v>
      </c>
      <c r="C275" s="250" t="s">
        <v>104</v>
      </c>
      <c r="D275" s="232" t="e">
        <f t="shared" si="10"/>
        <v>#N/A</v>
      </c>
      <c r="E275" s="652"/>
      <c r="F275" s="662"/>
    </row>
    <row r="276" spans="1:6">
      <c r="A276" s="652"/>
      <c r="B276" s="246" t="s">
        <v>90</v>
      </c>
      <c r="C276" s="250" t="s">
        <v>100</v>
      </c>
      <c r="D276" s="232" t="e">
        <f t="shared" si="10"/>
        <v>#N/A</v>
      </c>
      <c r="E276" s="652"/>
      <c r="F276" s="662"/>
    </row>
    <row r="277" spans="1:6">
      <c r="A277" s="652"/>
      <c r="B277" s="246" t="s">
        <v>90</v>
      </c>
      <c r="C277" s="250" t="s">
        <v>90</v>
      </c>
      <c r="D277" s="232" t="e">
        <f t="shared" si="10"/>
        <v>#N/A</v>
      </c>
      <c r="E277" s="652"/>
      <c r="F277" s="662"/>
    </row>
    <row r="278" spans="1:6">
      <c r="A278" s="652"/>
      <c r="B278" s="246" t="s">
        <v>90</v>
      </c>
      <c r="C278" s="250"/>
      <c r="D278" s="232" t="e">
        <f t="shared" si="10"/>
        <v>#N/A</v>
      </c>
      <c r="E278" s="652"/>
      <c r="F278" s="662"/>
    </row>
    <row r="279" spans="1:6" ht="16" thickBot="1">
      <c r="A279" s="652"/>
      <c r="B279" s="262" t="s">
        <v>90</v>
      </c>
      <c r="C279" s="258" t="s">
        <v>101</v>
      </c>
      <c r="D279" s="232" t="e">
        <f t="shared" si="10"/>
        <v>#N/A</v>
      </c>
      <c r="E279" s="653"/>
      <c r="F279" s="662"/>
    </row>
    <row r="280" spans="1:6">
      <c r="A280" s="652"/>
      <c r="B280" s="237" t="s">
        <v>94</v>
      </c>
      <c r="C280" s="242" t="s">
        <v>92</v>
      </c>
      <c r="D280" s="232" t="e">
        <f t="shared" si="10"/>
        <v>#N/A</v>
      </c>
      <c r="E280" s="651">
        <f t="shared" si="11"/>
        <v>0</v>
      </c>
      <c r="F280" s="662"/>
    </row>
    <row r="281" spans="1:6">
      <c r="A281" s="652"/>
      <c r="B281" s="246" t="s">
        <v>94</v>
      </c>
      <c r="C281" s="250" t="s">
        <v>94</v>
      </c>
      <c r="D281" s="232" t="e">
        <f t="shared" si="10"/>
        <v>#N/A</v>
      </c>
      <c r="E281" s="652"/>
      <c r="F281" s="662"/>
    </row>
    <row r="282" spans="1:6">
      <c r="A282" s="652"/>
      <c r="B282" s="246" t="s">
        <v>94</v>
      </c>
      <c r="C282" s="250" t="s">
        <v>103</v>
      </c>
      <c r="D282" s="232" t="e">
        <f t="shared" si="10"/>
        <v>#N/A</v>
      </c>
      <c r="E282" s="652"/>
      <c r="F282" s="662"/>
    </row>
    <row r="283" spans="1:6">
      <c r="A283" s="652"/>
      <c r="B283" s="246" t="s">
        <v>94</v>
      </c>
      <c r="C283" s="250" t="s">
        <v>98</v>
      </c>
      <c r="D283" s="232" t="e">
        <f t="shared" si="10"/>
        <v>#N/A</v>
      </c>
      <c r="E283" s="652"/>
      <c r="F283" s="662"/>
    </row>
    <row r="284" spans="1:6">
      <c r="A284" s="652"/>
      <c r="B284" s="246" t="s">
        <v>94</v>
      </c>
      <c r="C284" s="250"/>
      <c r="D284" s="232" t="e">
        <f t="shared" si="10"/>
        <v>#N/A</v>
      </c>
      <c r="E284" s="652"/>
      <c r="F284" s="662"/>
    </row>
    <row r="285" spans="1:6">
      <c r="A285" s="652"/>
      <c r="B285" s="246" t="s">
        <v>94</v>
      </c>
      <c r="C285" s="250" t="s">
        <v>95</v>
      </c>
      <c r="D285" s="232" t="e">
        <f t="shared" si="10"/>
        <v>#N/A</v>
      </c>
      <c r="E285" s="652"/>
      <c r="F285" s="662"/>
    </row>
    <row r="286" spans="1:6">
      <c r="A286" s="652"/>
      <c r="B286" s="246" t="s">
        <v>94</v>
      </c>
      <c r="C286" s="250"/>
      <c r="D286" s="232" t="e">
        <f t="shared" si="10"/>
        <v>#N/A</v>
      </c>
      <c r="E286" s="652"/>
      <c r="F286" s="662"/>
    </row>
    <row r="287" spans="1:6">
      <c r="A287" s="652"/>
      <c r="B287" s="246" t="s">
        <v>94</v>
      </c>
      <c r="C287" s="250" t="s">
        <v>91</v>
      </c>
      <c r="D287" s="232" t="e">
        <f t="shared" ref="D287:D334" si="12">IF(INDEX($C$3:$R$18,MATCH(B287,$B$3:$B$18,0),MATCH(C287,$C$2:$R$2,0))="","",INDEX($C$3:$R$18,MATCH(B287,$B$3:$B$18,0),MATCH(C287,$C$2:$R$2,0)))</f>
        <v>#N/A</v>
      </c>
      <c r="E287" s="652"/>
      <c r="F287" s="662"/>
    </row>
    <row r="288" spans="1:6">
      <c r="A288" s="652"/>
      <c r="B288" s="246" t="s">
        <v>94</v>
      </c>
      <c r="C288" s="250" t="s">
        <v>93</v>
      </c>
      <c r="D288" s="232" t="e">
        <f t="shared" si="12"/>
        <v>#N/A</v>
      </c>
      <c r="E288" s="652"/>
      <c r="F288" s="662"/>
    </row>
    <row r="289" spans="1:6">
      <c r="A289" s="652"/>
      <c r="B289" s="246" t="s">
        <v>94</v>
      </c>
      <c r="C289" s="250" t="s">
        <v>102</v>
      </c>
      <c r="D289" s="232" t="e">
        <f t="shared" si="12"/>
        <v>#N/A</v>
      </c>
      <c r="E289" s="652"/>
      <c r="F289" s="662"/>
    </row>
    <row r="290" spans="1:6">
      <c r="A290" s="652"/>
      <c r="B290" s="246" t="s">
        <v>94</v>
      </c>
      <c r="C290" s="250" t="s">
        <v>99</v>
      </c>
      <c r="D290" s="232" t="e">
        <f t="shared" si="12"/>
        <v>#N/A</v>
      </c>
      <c r="E290" s="652"/>
      <c r="F290" s="662"/>
    </row>
    <row r="291" spans="1:6">
      <c r="A291" s="652"/>
      <c r="B291" s="246" t="s">
        <v>94</v>
      </c>
      <c r="C291" s="250" t="s">
        <v>104</v>
      </c>
      <c r="D291" s="232" t="e">
        <f t="shared" si="12"/>
        <v>#N/A</v>
      </c>
      <c r="E291" s="652"/>
      <c r="F291" s="662"/>
    </row>
    <row r="292" spans="1:6">
      <c r="A292" s="652"/>
      <c r="B292" s="246" t="s">
        <v>94</v>
      </c>
      <c r="C292" s="250" t="s">
        <v>100</v>
      </c>
      <c r="D292" s="232" t="e">
        <f t="shared" si="12"/>
        <v>#N/A</v>
      </c>
      <c r="E292" s="652"/>
      <c r="F292" s="662"/>
    </row>
    <row r="293" spans="1:6">
      <c r="A293" s="652"/>
      <c r="B293" s="246" t="s">
        <v>94</v>
      </c>
      <c r="C293" s="250" t="s">
        <v>90</v>
      </c>
      <c r="D293" s="232" t="e">
        <f t="shared" si="12"/>
        <v>#N/A</v>
      </c>
      <c r="E293" s="652"/>
      <c r="F293" s="662"/>
    </row>
    <row r="294" spans="1:6">
      <c r="A294" s="652"/>
      <c r="B294" s="246" t="s">
        <v>94</v>
      </c>
      <c r="C294" s="250" t="s">
        <v>97</v>
      </c>
      <c r="D294" s="232" t="e">
        <f t="shared" si="12"/>
        <v>#N/A</v>
      </c>
      <c r="E294" s="652"/>
      <c r="F294" s="662"/>
    </row>
    <row r="295" spans="1:6" ht="16" thickBot="1">
      <c r="A295" s="653"/>
      <c r="B295" s="262" t="s">
        <v>94</v>
      </c>
      <c r="C295" s="258" t="s">
        <v>101</v>
      </c>
      <c r="D295" s="232" t="e">
        <f t="shared" si="12"/>
        <v>#N/A</v>
      </c>
      <c r="E295" s="653"/>
      <c r="F295" s="663"/>
    </row>
    <row r="296" spans="1:6">
      <c r="A296" s="651">
        <v>13</v>
      </c>
      <c r="B296" s="237" t="s">
        <v>100</v>
      </c>
      <c r="C296" s="242" t="s">
        <v>92</v>
      </c>
      <c r="D296" s="232" t="e">
        <f t="shared" si="12"/>
        <v>#N/A</v>
      </c>
      <c r="E296" s="651">
        <f t="shared" ref="E296:E312" si="13">SUMIF(D296:D311,"&gt;0")</f>
        <v>0</v>
      </c>
      <c r="F296" s="675"/>
    </row>
    <row r="297" spans="1:6">
      <c r="A297" s="652"/>
      <c r="B297" s="246" t="s">
        <v>100</v>
      </c>
      <c r="C297" s="250" t="s">
        <v>94</v>
      </c>
      <c r="D297" s="232" t="e">
        <f t="shared" si="12"/>
        <v>#N/A</v>
      </c>
      <c r="E297" s="652"/>
      <c r="F297" s="676"/>
    </row>
    <row r="298" spans="1:6">
      <c r="A298" s="652"/>
      <c r="B298" s="246" t="s">
        <v>100</v>
      </c>
      <c r="C298" s="250" t="s">
        <v>103</v>
      </c>
      <c r="D298" s="232" t="e">
        <f t="shared" si="12"/>
        <v>#N/A</v>
      </c>
      <c r="E298" s="652"/>
      <c r="F298" s="676"/>
    </row>
    <row r="299" spans="1:6">
      <c r="A299" s="652"/>
      <c r="B299" s="246" t="s">
        <v>100</v>
      </c>
      <c r="C299" s="250" t="s">
        <v>98</v>
      </c>
      <c r="D299" s="232" t="e">
        <f t="shared" si="12"/>
        <v>#N/A</v>
      </c>
      <c r="E299" s="652"/>
      <c r="F299" s="676"/>
    </row>
    <row r="300" spans="1:6">
      <c r="A300" s="652"/>
      <c r="B300" s="246" t="s">
        <v>100</v>
      </c>
      <c r="C300" s="250" t="s">
        <v>96</v>
      </c>
      <c r="D300" s="232" t="e">
        <f t="shared" si="12"/>
        <v>#N/A</v>
      </c>
      <c r="E300" s="652"/>
      <c r="F300" s="676"/>
    </row>
    <row r="301" spans="1:6">
      <c r="A301" s="652"/>
      <c r="B301" s="246" t="s">
        <v>100</v>
      </c>
      <c r="C301" s="250" t="s">
        <v>95</v>
      </c>
      <c r="D301" s="232" t="e">
        <f t="shared" si="12"/>
        <v>#N/A</v>
      </c>
      <c r="E301" s="652"/>
      <c r="F301" s="676"/>
    </row>
    <row r="302" spans="1:6">
      <c r="A302" s="652"/>
      <c r="B302" s="246" t="s">
        <v>100</v>
      </c>
      <c r="C302" s="250" t="s">
        <v>105</v>
      </c>
      <c r="D302" s="232" t="e">
        <f t="shared" si="12"/>
        <v>#N/A</v>
      </c>
      <c r="E302" s="652"/>
      <c r="F302" s="676"/>
    </row>
    <row r="303" spans="1:6">
      <c r="A303" s="652"/>
      <c r="B303" s="246" t="s">
        <v>100</v>
      </c>
      <c r="C303" s="250" t="s">
        <v>91</v>
      </c>
      <c r="D303" s="232" t="e">
        <f t="shared" si="12"/>
        <v>#N/A</v>
      </c>
      <c r="E303" s="652"/>
      <c r="F303" s="676"/>
    </row>
    <row r="304" spans="1:6">
      <c r="A304" s="652"/>
      <c r="B304" s="246" t="s">
        <v>100</v>
      </c>
      <c r="C304" s="250" t="s">
        <v>93</v>
      </c>
      <c r="D304" s="232" t="e">
        <f t="shared" si="12"/>
        <v>#N/A</v>
      </c>
      <c r="E304" s="652"/>
      <c r="F304" s="676"/>
    </row>
    <row r="305" spans="1:6">
      <c r="A305" s="652"/>
      <c r="B305" s="246" t="s">
        <v>100</v>
      </c>
      <c r="C305" s="250" t="s">
        <v>102</v>
      </c>
      <c r="D305" s="232" t="e">
        <f t="shared" si="12"/>
        <v>#N/A</v>
      </c>
      <c r="E305" s="652"/>
      <c r="F305" s="676"/>
    </row>
    <row r="306" spans="1:6">
      <c r="A306" s="652"/>
      <c r="B306" s="246" t="s">
        <v>100</v>
      </c>
      <c r="C306" s="250" t="s">
        <v>99</v>
      </c>
      <c r="D306" s="232" t="e">
        <f t="shared" si="12"/>
        <v>#N/A</v>
      </c>
      <c r="E306" s="652"/>
      <c r="F306" s="676"/>
    </row>
    <row r="307" spans="1:6">
      <c r="A307" s="652"/>
      <c r="B307" s="246" t="s">
        <v>100</v>
      </c>
      <c r="C307" s="250" t="s">
        <v>104</v>
      </c>
      <c r="D307" s="232" t="e">
        <f t="shared" si="12"/>
        <v>#N/A</v>
      </c>
      <c r="E307" s="652"/>
      <c r="F307" s="676"/>
    </row>
    <row r="308" spans="1:6">
      <c r="A308" s="652"/>
      <c r="B308" s="246" t="s">
        <v>100</v>
      </c>
      <c r="C308" s="250" t="s">
        <v>100</v>
      </c>
      <c r="D308" s="232" t="e">
        <f t="shared" si="12"/>
        <v>#N/A</v>
      </c>
      <c r="E308" s="652"/>
      <c r="F308" s="676"/>
    </row>
    <row r="309" spans="1:6">
      <c r="A309" s="652"/>
      <c r="B309" s="246" t="s">
        <v>100</v>
      </c>
      <c r="C309" s="250" t="s">
        <v>90</v>
      </c>
      <c r="D309" s="232" t="e">
        <f t="shared" si="12"/>
        <v>#N/A</v>
      </c>
      <c r="E309" s="652"/>
      <c r="F309" s="676"/>
    </row>
    <row r="310" spans="1:6">
      <c r="A310" s="652"/>
      <c r="B310" s="246" t="s">
        <v>100</v>
      </c>
      <c r="C310" s="250"/>
      <c r="D310" s="232" t="e">
        <f t="shared" si="12"/>
        <v>#N/A</v>
      </c>
      <c r="E310" s="652"/>
      <c r="F310" s="676"/>
    </row>
    <row r="311" spans="1:6" ht="16" thickBot="1">
      <c r="A311" s="652"/>
      <c r="B311" s="262" t="s">
        <v>100</v>
      </c>
      <c r="C311" s="258" t="s">
        <v>101</v>
      </c>
      <c r="D311" s="232" t="e">
        <f t="shared" si="12"/>
        <v>#N/A</v>
      </c>
      <c r="E311" s="653"/>
      <c r="F311" s="676"/>
    </row>
    <row r="312" spans="1:6">
      <c r="A312" s="652"/>
      <c r="B312" s="237" t="s">
        <v>94</v>
      </c>
      <c r="C312" s="242" t="s">
        <v>92</v>
      </c>
      <c r="D312" s="232" t="e">
        <f t="shared" si="12"/>
        <v>#N/A</v>
      </c>
      <c r="E312" s="651">
        <f t="shared" si="13"/>
        <v>0</v>
      </c>
      <c r="F312" s="676"/>
    </row>
    <row r="313" spans="1:6">
      <c r="A313" s="652"/>
      <c r="B313" s="246" t="s">
        <v>94</v>
      </c>
      <c r="C313" s="250" t="s">
        <v>94</v>
      </c>
      <c r="D313" s="232" t="e">
        <f t="shared" si="12"/>
        <v>#N/A</v>
      </c>
      <c r="E313" s="652"/>
      <c r="F313" s="676"/>
    </row>
    <row r="314" spans="1:6">
      <c r="A314" s="652"/>
      <c r="B314" s="246" t="s">
        <v>94</v>
      </c>
      <c r="C314" s="250" t="s">
        <v>103</v>
      </c>
      <c r="D314" s="232" t="e">
        <f t="shared" si="12"/>
        <v>#N/A</v>
      </c>
      <c r="E314" s="652"/>
      <c r="F314" s="676"/>
    </row>
    <row r="315" spans="1:6">
      <c r="A315" s="652"/>
      <c r="B315" s="246" t="s">
        <v>94</v>
      </c>
      <c r="C315" s="250" t="s">
        <v>98</v>
      </c>
      <c r="D315" s="232" t="e">
        <f t="shared" si="12"/>
        <v>#N/A</v>
      </c>
      <c r="E315" s="652"/>
      <c r="F315" s="676"/>
    </row>
    <row r="316" spans="1:6">
      <c r="A316" s="652"/>
      <c r="B316" s="246" t="s">
        <v>94</v>
      </c>
      <c r="C316" s="250" t="s">
        <v>96</v>
      </c>
      <c r="D316" s="232" t="e">
        <f t="shared" si="12"/>
        <v>#N/A</v>
      </c>
      <c r="E316" s="652"/>
      <c r="F316" s="676"/>
    </row>
    <row r="317" spans="1:6">
      <c r="A317" s="652"/>
      <c r="B317" s="246" t="s">
        <v>94</v>
      </c>
      <c r="C317" s="250" t="s">
        <v>95</v>
      </c>
      <c r="D317" s="232" t="e">
        <f t="shared" si="12"/>
        <v>#N/A</v>
      </c>
      <c r="E317" s="652"/>
      <c r="F317" s="676"/>
    </row>
    <row r="318" spans="1:6">
      <c r="A318" s="652"/>
      <c r="B318" s="246" t="s">
        <v>94</v>
      </c>
      <c r="C318" s="250"/>
      <c r="D318" s="232" t="e">
        <f t="shared" si="12"/>
        <v>#N/A</v>
      </c>
      <c r="E318" s="652"/>
      <c r="F318" s="676"/>
    </row>
    <row r="319" spans="1:6">
      <c r="A319" s="652"/>
      <c r="B319" s="246" t="s">
        <v>94</v>
      </c>
      <c r="C319" s="250" t="s">
        <v>91</v>
      </c>
      <c r="D319" s="232" t="e">
        <f t="shared" si="12"/>
        <v>#N/A</v>
      </c>
      <c r="E319" s="652"/>
      <c r="F319" s="676"/>
    </row>
    <row r="320" spans="1:6">
      <c r="A320" s="652"/>
      <c r="B320" s="246" t="s">
        <v>94</v>
      </c>
      <c r="C320" s="250" t="s">
        <v>93</v>
      </c>
      <c r="D320" s="232" t="e">
        <f t="shared" si="12"/>
        <v>#N/A</v>
      </c>
      <c r="E320" s="652"/>
      <c r="F320" s="676"/>
    </row>
    <row r="321" spans="1:8">
      <c r="A321" s="652"/>
      <c r="B321" s="246" t="s">
        <v>94</v>
      </c>
      <c r="C321" s="250" t="s">
        <v>102</v>
      </c>
      <c r="D321" s="232" t="e">
        <f t="shared" si="12"/>
        <v>#N/A</v>
      </c>
      <c r="E321" s="652"/>
      <c r="F321" s="676"/>
    </row>
    <row r="322" spans="1:8">
      <c r="A322" s="652"/>
      <c r="B322" s="246" t="s">
        <v>94</v>
      </c>
      <c r="C322" s="250" t="s">
        <v>99</v>
      </c>
      <c r="D322" s="232" t="e">
        <f t="shared" si="12"/>
        <v>#N/A</v>
      </c>
      <c r="E322" s="652"/>
      <c r="F322" s="676"/>
    </row>
    <row r="323" spans="1:8">
      <c r="A323" s="652"/>
      <c r="B323" s="246" t="s">
        <v>94</v>
      </c>
      <c r="C323" s="250" t="s">
        <v>104</v>
      </c>
      <c r="D323" s="232" t="e">
        <f t="shared" si="12"/>
        <v>#N/A</v>
      </c>
      <c r="E323" s="652"/>
      <c r="F323" s="676"/>
    </row>
    <row r="324" spans="1:8">
      <c r="A324" s="652"/>
      <c r="B324" s="246" t="s">
        <v>94</v>
      </c>
      <c r="C324" s="250" t="s">
        <v>100</v>
      </c>
      <c r="D324" s="232" t="e">
        <f t="shared" si="12"/>
        <v>#N/A</v>
      </c>
      <c r="E324" s="652"/>
      <c r="F324" s="676"/>
    </row>
    <row r="325" spans="1:8">
      <c r="A325" s="652"/>
      <c r="B325" s="246" t="s">
        <v>94</v>
      </c>
      <c r="C325" s="250" t="s">
        <v>90</v>
      </c>
      <c r="D325" s="232" t="e">
        <f t="shared" si="12"/>
        <v>#N/A</v>
      </c>
      <c r="E325" s="652"/>
      <c r="F325" s="676"/>
    </row>
    <row r="326" spans="1:8">
      <c r="A326" s="652"/>
      <c r="B326" s="246" t="s">
        <v>94</v>
      </c>
      <c r="C326" s="250" t="s">
        <v>97</v>
      </c>
      <c r="D326" s="232" t="e">
        <f t="shared" si="12"/>
        <v>#N/A</v>
      </c>
      <c r="E326" s="652"/>
      <c r="F326" s="676"/>
    </row>
    <row r="327" spans="1:8" ht="16" thickBot="1">
      <c r="A327" s="653"/>
      <c r="B327" s="262" t="s">
        <v>94</v>
      </c>
      <c r="C327" s="258" t="s">
        <v>101</v>
      </c>
      <c r="D327" s="232" t="e">
        <f t="shared" si="12"/>
        <v>#N/A</v>
      </c>
      <c r="E327" s="653"/>
      <c r="F327" s="676"/>
    </row>
    <row r="328" spans="1:8">
      <c r="A328" s="651">
        <v>15</v>
      </c>
      <c r="B328" s="237" t="s">
        <v>97</v>
      </c>
      <c r="C328" s="242" t="s">
        <v>92</v>
      </c>
      <c r="D328" s="232" t="e">
        <f t="shared" si="12"/>
        <v>#N/A</v>
      </c>
      <c r="E328" s="651">
        <f t="shared" ref="E328:E360" si="14">SUMIF(D328:D343,"&gt;0")</f>
        <v>0</v>
      </c>
      <c r="F328" s="664" t="s">
        <v>162</v>
      </c>
    </row>
    <row r="329" spans="1:8">
      <c r="A329" s="652"/>
      <c r="B329" s="246" t="s">
        <v>97</v>
      </c>
      <c r="C329" s="250" t="s">
        <v>94</v>
      </c>
      <c r="D329" s="232" t="e">
        <f t="shared" si="12"/>
        <v>#N/A</v>
      </c>
      <c r="E329" s="652"/>
      <c r="F329" s="665"/>
    </row>
    <row r="330" spans="1:8">
      <c r="A330" s="652"/>
      <c r="B330" s="246" t="s">
        <v>97</v>
      </c>
      <c r="C330" s="250"/>
      <c r="D330" s="232" t="e">
        <f t="shared" si="12"/>
        <v>#N/A</v>
      </c>
      <c r="E330" s="652"/>
      <c r="F330" s="665"/>
    </row>
    <row r="331" spans="1:8">
      <c r="A331" s="652"/>
      <c r="B331" s="246" t="s">
        <v>97</v>
      </c>
      <c r="C331" s="250" t="s">
        <v>98</v>
      </c>
      <c r="D331" s="232" t="e">
        <f t="shared" si="12"/>
        <v>#N/A</v>
      </c>
      <c r="E331" s="652"/>
      <c r="F331" s="665"/>
    </row>
    <row r="332" spans="1:8">
      <c r="A332" s="652"/>
      <c r="B332" s="246" t="s">
        <v>97</v>
      </c>
      <c r="C332" s="250" t="s">
        <v>96</v>
      </c>
      <c r="D332" s="232" t="e">
        <f t="shared" si="12"/>
        <v>#N/A</v>
      </c>
      <c r="E332" s="652"/>
      <c r="F332" s="665"/>
    </row>
    <row r="333" spans="1:8">
      <c r="A333" s="652"/>
      <c r="B333" s="246" t="s">
        <v>97</v>
      </c>
      <c r="C333" s="250" t="s">
        <v>95</v>
      </c>
      <c r="D333" s="232" t="e">
        <f t="shared" si="12"/>
        <v>#N/A</v>
      </c>
      <c r="E333" s="652"/>
      <c r="F333" s="665"/>
    </row>
    <row r="334" spans="1:8">
      <c r="A334" s="652"/>
      <c r="B334" s="246" t="s">
        <v>97</v>
      </c>
      <c r="C334" s="250" t="s">
        <v>105</v>
      </c>
      <c r="D334" s="232" t="e">
        <f t="shared" si="12"/>
        <v>#N/A</v>
      </c>
      <c r="E334" s="652"/>
      <c r="F334" s="665"/>
    </row>
    <row r="335" spans="1:8">
      <c r="A335" s="652"/>
      <c r="B335" s="246" t="s">
        <v>97</v>
      </c>
      <c r="C335" s="250"/>
      <c r="D335" s="232" t="e">
        <f t="shared" ref="D335:D398" si="15">IF(INDEX($C$3:$R$18,MATCH(B335,$B$3:$B$18,0),MATCH(C335,$C$2:$R$2,0))="","",INDEX($C$3:$R$18,MATCH(B335,$B$3:$B$18,0),MATCH(C335,$C$2:$R$2,0)))</f>
        <v>#N/A</v>
      </c>
      <c r="E335" s="652"/>
      <c r="F335" s="665"/>
      <c r="H335" s="528"/>
    </row>
    <row r="336" spans="1:8">
      <c r="A336" s="652"/>
      <c r="B336" s="246" t="s">
        <v>97</v>
      </c>
      <c r="C336" s="250" t="s">
        <v>93</v>
      </c>
      <c r="D336" s="232" t="e">
        <f t="shared" si="15"/>
        <v>#N/A</v>
      </c>
      <c r="E336" s="652"/>
      <c r="F336" s="665"/>
      <c r="H336" s="529"/>
    </row>
    <row r="337" spans="1:6">
      <c r="A337" s="652"/>
      <c r="B337" s="246" t="s">
        <v>97</v>
      </c>
      <c r="C337" s="250" t="s">
        <v>102</v>
      </c>
      <c r="D337" s="232" t="e">
        <f t="shared" si="15"/>
        <v>#N/A</v>
      </c>
      <c r="E337" s="652"/>
      <c r="F337" s="665"/>
    </row>
    <row r="338" spans="1:6">
      <c r="A338" s="652"/>
      <c r="B338" s="246" t="s">
        <v>97</v>
      </c>
      <c r="C338" s="250" t="s">
        <v>99</v>
      </c>
      <c r="D338" s="232" t="e">
        <f t="shared" si="15"/>
        <v>#N/A</v>
      </c>
      <c r="E338" s="652"/>
      <c r="F338" s="665"/>
    </row>
    <row r="339" spans="1:6">
      <c r="A339" s="652"/>
      <c r="B339" s="246" t="s">
        <v>97</v>
      </c>
      <c r="C339" s="250" t="s">
        <v>104</v>
      </c>
      <c r="D339" s="232" t="e">
        <f t="shared" si="15"/>
        <v>#N/A</v>
      </c>
      <c r="E339" s="652"/>
      <c r="F339" s="665"/>
    </row>
    <row r="340" spans="1:6">
      <c r="A340" s="652"/>
      <c r="B340" s="246" t="s">
        <v>97</v>
      </c>
      <c r="C340" s="250"/>
      <c r="D340" s="232" t="e">
        <f t="shared" si="15"/>
        <v>#N/A</v>
      </c>
      <c r="E340" s="652"/>
      <c r="F340" s="665"/>
    </row>
    <row r="341" spans="1:6">
      <c r="A341" s="652"/>
      <c r="B341" s="246" t="s">
        <v>97</v>
      </c>
      <c r="C341" s="250" t="s">
        <v>90</v>
      </c>
      <c r="D341" s="232" t="e">
        <f t="shared" si="15"/>
        <v>#N/A</v>
      </c>
      <c r="E341" s="652"/>
      <c r="F341" s="665"/>
    </row>
    <row r="342" spans="1:6">
      <c r="A342" s="652"/>
      <c r="B342" s="246" t="s">
        <v>97</v>
      </c>
      <c r="C342" s="250" t="s">
        <v>97</v>
      </c>
      <c r="D342" s="232" t="e">
        <f t="shared" si="15"/>
        <v>#N/A</v>
      </c>
      <c r="E342" s="652"/>
      <c r="F342" s="665"/>
    </row>
    <row r="343" spans="1:6" ht="16" thickBot="1">
      <c r="A343" s="652"/>
      <c r="B343" s="262" t="s">
        <v>97</v>
      </c>
      <c r="C343" s="258" t="s">
        <v>101</v>
      </c>
      <c r="D343" s="232" t="e">
        <f t="shared" si="15"/>
        <v>#N/A</v>
      </c>
      <c r="E343" s="653"/>
      <c r="F343" s="665"/>
    </row>
    <row r="344" spans="1:6">
      <c r="A344" s="652"/>
      <c r="B344" s="237" t="s">
        <v>94</v>
      </c>
      <c r="C344" s="242"/>
      <c r="D344" s="232" t="e">
        <f t="shared" si="15"/>
        <v>#N/A</v>
      </c>
      <c r="E344" s="651">
        <f t="shared" si="14"/>
        <v>0</v>
      </c>
      <c r="F344" s="665"/>
    </row>
    <row r="345" spans="1:6">
      <c r="A345" s="652"/>
      <c r="B345" s="246" t="s">
        <v>94</v>
      </c>
      <c r="C345" s="250" t="s">
        <v>94</v>
      </c>
      <c r="D345" s="232" t="e">
        <f t="shared" si="15"/>
        <v>#N/A</v>
      </c>
      <c r="E345" s="652"/>
      <c r="F345" s="665"/>
    </row>
    <row r="346" spans="1:6">
      <c r="A346" s="652"/>
      <c r="B346" s="246" t="s">
        <v>94</v>
      </c>
      <c r="C346" s="250"/>
      <c r="D346" s="232" t="e">
        <f t="shared" si="15"/>
        <v>#N/A</v>
      </c>
      <c r="E346" s="652"/>
      <c r="F346" s="665"/>
    </row>
    <row r="347" spans="1:6">
      <c r="A347" s="652"/>
      <c r="B347" s="246" t="s">
        <v>94</v>
      </c>
      <c r="C347" s="250" t="s">
        <v>98</v>
      </c>
      <c r="D347" s="232" t="e">
        <f t="shared" si="15"/>
        <v>#N/A</v>
      </c>
      <c r="E347" s="652"/>
      <c r="F347" s="665"/>
    </row>
    <row r="348" spans="1:6">
      <c r="A348" s="652"/>
      <c r="B348" s="246" t="s">
        <v>94</v>
      </c>
      <c r="C348" s="250" t="s">
        <v>96</v>
      </c>
      <c r="D348" s="232" t="e">
        <f t="shared" si="15"/>
        <v>#N/A</v>
      </c>
      <c r="E348" s="652"/>
      <c r="F348" s="665"/>
    </row>
    <row r="349" spans="1:6">
      <c r="A349" s="652"/>
      <c r="B349" s="246" t="s">
        <v>94</v>
      </c>
      <c r="C349" s="250" t="s">
        <v>95</v>
      </c>
      <c r="D349" s="232" t="e">
        <f t="shared" si="15"/>
        <v>#N/A</v>
      </c>
      <c r="E349" s="652"/>
      <c r="F349" s="665"/>
    </row>
    <row r="350" spans="1:6">
      <c r="A350" s="652"/>
      <c r="B350" s="246" t="s">
        <v>94</v>
      </c>
      <c r="C350" s="250" t="s">
        <v>105</v>
      </c>
      <c r="D350" s="232" t="e">
        <f t="shared" si="15"/>
        <v>#N/A</v>
      </c>
      <c r="E350" s="652"/>
      <c r="F350" s="665"/>
    </row>
    <row r="351" spans="1:6">
      <c r="A351" s="652"/>
      <c r="B351" s="246" t="s">
        <v>94</v>
      </c>
      <c r="C351" s="250"/>
      <c r="D351" s="232" t="e">
        <f t="shared" si="15"/>
        <v>#N/A</v>
      </c>
      <c r="E351" s="652"/>
      <c r="F351" s="665"/>
    </row>
    <row r="352" spans="1:6">
      <c r="A352" s="652"/>
      <c r="B352" s="246" t="s">
        <v>94</v>
      </c>
      <c r="C352" s="250" t="s">
        <v>93</v>
      </c>
      <c r="D352" s="232" t="e">
        <f t="shared" si="15"/>
        <v>#N/A</v>
      </c>
      <c r="E352" s="652"/>
      <c r="F352" s="665"/>
    </row>
    <row r="353" spans="1:6">
      <c r="A353" s="652"/>
      <c r="B353" s="246" t="s">
        <v>94</v>
      </c>
      <c r="C353" s="250" t="s">
        <v>102</v>
      </c>
      <c r="D353" s="232" t="e">
        <f t="shared" si="15"/>
        <v>#N/A</v>
      </c>
      <c r="E353" s="652"/>
      <c r="F353" s="665"/>
    </row>
    <row r="354" spans="1:6">
      <c r="A354" s="652"/>
      <c r="B354" s="246" t="s">
        <v>94</v>
      </c>
      <c r="C354" s="250" t="s">
        <v>99</v>
      </c>
      <c r="D354" s="232" t="e">
        <f t="shared" si="15"/>
        <v>#N/A</v>
      </c>
      <c r="E354" s="652"/>
      <c r="F354" s="665"/>
    </row>
    <row r="355" spans="1:6">
      <c r="A355" s="652"/>
      <c r="B355" s="246" t="s">
        <v>94</v>
      </c>
      <c r="C355" s="250" t="s">
        <v>104</v>
      </c>
      <c r="D355" s="232" t="e">
        <f t="shared" si="15"/>
        <v>#N/A</v>
      </c>
      <c r="E355" s="652"/>
      <c r="F355" s="665"/>
    </row>
    <row r="356" spans="1:6">
      <c r="A356" s="652"/>
      <c r="B356" s="246" t="s">
        <v>94</v>
      </c>
      <c r="C356" s="250" t="s">
        <v>100</v>
      </c>
      <c r="D356" s="232" t="e">
        <f t="shared" si="15"/>
        <v>#N/A</v>
      </c>
      <c r="E356" s="652"/>
      <c r="F356" s="665"/>
    </row>
    <row r="357" spans="1:6">
      <c r="A357" s="652"/>
      <c r="B357" s="246" t="s">
        <v>94</v>
      </c>
      <c r="C357" s="250" t="s">
        <v>90</v>
      </c>
      <c r="D357" s="232" t="e">
        <f t="shared" si="15"/>
        <v>#N/A</v>
      </c>
      <c r="E357" s="652"/>
      <c r="F357" s="665"/>
    </row>
    <row r="358" spans="1:6">
      <c r="A358" s="652"/>
      <c r="B358" s="246" t="s">
        <v>94</v>
      </c>
      <c r="C358" s="250" t="s">
        <v>97</v>
      </c>
      <c r="D358" s="232" t="e">
        <f t="shared" si="15"/>
        <v>#N/A</v>
      </c>
      <c r="E358" s="652"/>
      <c r="F358" s="665"/>
    </row>
    <row r="359" spans="1:6" ht="16" thickBot="1">
      <c r="A359" s="652"/>
      <c r="B359" s="262" t="s">
        <v>94</v>
      </c>
      <c r="C359" s="258" t="s">
        <v>101</v>
      </c>
      <c r="D359" s="232" t="e">
        <f t="shared" si="15"/>
        <v>#N/A</v>
      </c>
      <c r="E359" s="653"/>
      <c r="F359" s="665"/>
    </row>
    <row r="360" spans="1:6">
      <c r="A360" s="652"/>
      <c r="B360" s="237" t="s">
        <v>102</v>
      </c>
      <c r="C360" s="242"/>
      <c r="D360" s="232" t="e">
        <f t="shared" si="15"/>
        <v>#N/A</v>
      </c>
      <c r="E360" s="651">
        <f t="shared" si="14"/>
        <v>0</v>
      </c>
      <c r="F360" s="665"/>
    </row>
    <row r="361" spans="1:6">
      <c r="A361" s="652"/>
      <c r="B361" s="246" t="s">
        <v>102</v>
      </c>
      <c r="C361" s="250"/>
      <c r="D361" s="232" t="e">
        <f t="shared" si="15"/>
        <v>#N/A</v>
      </c>
      <c r="E361" s="652"/>
      <c r="F361" s="665"/>
    </row>
    <row r="362" spans="1:6">
      <c r="A362" s="652"/>
      <c r="B362" s="246" t="s">
        <v>102</v>
      </c>
      <c r="C362" s="250" t="s">
        <v>103</v>
      </c>
      <c r="D362" s="232" t="e">
        <f t="shared" si="15"/>
        <v>#N/A</v>
      </c>
      <c r="E362" s="652"/>
      <c r="F362" s="665"/>
    </row>
    <row r="363" spans="1:6">
      <c r="A363" s="652"/>
      <c r="B363" s="246" t="s">
        <v>102</v>
      </c>
      <c r="C363" s="250" t="s">
        <v>98</v>
      </c>
      <c r="D363" s="232" t="e">
        <f t="shared" si="15"/>
        <v>#N/A</v>
      </c>
      <c r="E363" s="652"/>
      <c r="F363" s="665"/>
    </row>
    <row r="364" spans="1:6">
      <c r="A364" s="652"/>
      <c r="B364" s="246" t="s">
        <v>102</v>
      </c>
      <c r="C364" s="250" t="s">
        <v>96</v>
      </c>
      <c r="D364" s="232" t="e">
        <f t="shared" si="15"/>
        <v>#N/A</v>
      </c>
      <c r="E364" s="652"/>
      <c r="F364" s="665"/>
    </row>
    <row r="365" spans="1:6">
      <c r="A365" s="652"/>
      <c r="B365" s="246" t="s">
        <v>102</v>
      </c>
      <c r="C365" s="250" t="s">
        <v>95</v>
      </c>
      <c r="D365" s="232" t="e">
        <f t="shared" si="15"/>
        <v>#N/A</v>
      </c>
      <c r="E365" s="652"/>
      <c r="F365" s="665"/>
    </row>
    <row r="366" spans="1:6">
      <c r="A366" s="652"/>
      <c r="B366" s="246" t="s">
        <v>102</v>
      </c>
      <c r="C366" s="250" t="s">
        <v>105</v>
      </c>
      <c r="D366" s="232" t="e">
        <f t="shared" si="15"/>
        <v>#N/A</v>
      </c>
      <c r="E366" s="652"/>
      <c r="F366" s="665"/>
    </row>
    <row r="367" spans="1:6">
      <c r="A367" s="652"/>
      <c r="B367" s="246" t="s">
        <v>102</v>
      </c>
      <c r="C367" s="250" t="s">
        <v>91</v>
      </c>
      <c r="D367" s="232" t="e">
        <f t="shared" si="15"/>
        <v>#N/A</v>
      </c>
      <c r="E367" s="652"/>
      <c r="F367" s="665"/>
    </row>
    <row r="368" spans="1:6">
      <c r="A368" s="652"/>
      <c r="B368" s="246" t="s">
        <v>102</v>
      </c>
      <c r="C368" s="250" t="s">
        <v>93</v>
      </c>
      <c r="D368" s="232" t="e">
        <f t="shared" si="15"/>
        <v>#N/A</v>
      </c>
      <c r="E368" s="652"/>
      <c r="F368" s="665"/>
    </row>
    <row r="369" spans="1:6">
      <c r="A369" s="652"/>
      <c r="B369" s="246" t="s">
        <v>102</v>
      </c>
      <c r="C369" s="250" t="s">
        <v>102</v>
      </c>
      <c r="D369" s="232" t="e">
        <f t="shared" si="15"/>
        <v>#N/A</v>
      </c>
      <c r="E369" s="652"/>
      <c r="F369" s="665"/>
    </row>
    <row r="370" spans="1:6">
      <c r="A370" s="652"/>
      <c r="B370" s="246" t="s">
        <v>102</v>
      </c>
      <c r="C370" s="250" t="s">
        <v>99</v>
      </c>
      <c r="D370" s="232" t="e">
        <f t="shared" si="15"/>
        <v>#N/A</v>
      </c>
      <c r="E370" s="652"/>
      <c r="F370" s="665"/>
    </row>
    <row r="371" spans="1:6">
      <c r="A371" s="652"/>
      <c r="B371" s="246" t="s">
        <v>102</v>
      </c>
      <c r="C371" s="250" t="s">
        <v>104</v>
      </c>
      <c r="D371" s="232" t="e">
        <f t="shared" si="15"/>
        <v>#N/A</v>
      </c>
      <c r="E371" s="652"/>
      <c r="F371" s="665"/>
    </row>
    <row r="372" spans="1:6">
      <c r="A372" s="652"/>
      <c r="B372" s="246" t="s">
        <v>102</v>
      </c>
      <c r="C372" s="250"/>
      <c r="D372" s="232" t="e">
        <f t="shared" si="15"/>
        <v>#N/A</v>
      </c>
      <c r="E372" s="652"/>
      <c r="F372" s="665"/>
    </row>
    <row r="373" spans="1:6">
      <c r="A373" s="652"/>
      <c r="B373" s="246" t="s">
        <v>102</v>
      </c>
      <c r="C373" s="250" t="s">
        <v>90</v>
      </c>
      <c r="D373" s="232" t="e">
        <f t="shared" si="15"/>
        <v>#N/A</v>
      </c>
      <c r="E373" s="652"/>
      <c r="F373" s="665"/>
    </row>
    <row r="374" spans="1:6">
      <c r="A374" s="652"/>
      <c r="B374" s="246" t="s">
        <v>102</v>
      </c>
      <c r="C374" s="250"/>
      <c r="D374" s="232" t="e">
        <f t="shared" si="15"/>
        <v>#N/A</v>
      </c>
      <c r="E374" s="652"/>
      <c r="F374" s="665"/>
    </row>
    <row r="375" spans="1:6" ht="16" thickBot="1">
      <c r="A375" s="653"/>
      <c r="B375" s="262" t="s">
        <v>102</v>
      </c>
      <c r="C375" s="258" t="s">
        <v>101</v>
      </c>
      <c r="D375" s="232" t="e">
        <f t="shared" si="15"/>
        <v>#N/A</v>
      </c>
      <c r="E375" s="653"/>
      <c r="F375" s="666"/>
    </row>
    <row r="376" spans="1:6" ht="15" customHeight="1">
      <c r="A376" s="651">
        <v>16</v>
      </c>
      <c r="B376" s="237" t="s">
        <v>97</v>
      </c>
      <c r="C376" s="242" t="s">
        <v>92</v>
      </c>
      <c r="D376" s="232" t="e">
        <f t="shared" si="15"/>
        <v>#N/A</v>
      </c>
      <c r="E376" s="651">
        <f t="shared" ref="E376:E408" si="16">SUMIF(D376:D391,"&gt;0")</f>
        <v>0</v>
      </c>
      <c r="F376" s="664" t="s">
        <v>161</v>
      </c>
    </row>
    <row r="377" spans="1:6">
      <c r="A377" s="652"/>
      <c r="B377" s="246" t="s">
        <v>97</v>
      </c>
      <c r="C377" s="250" t="s">
        <v>94</v>
      </c>
      <c r="D377" s="232" t="e">
        <f t="shared" si="15"/>
        <v>#N/A</v>
      </c>
      <c r="E377" s="652"/>
      <c r="F377" s="665"/>
    </row>
    <row r="378" spans="1:6">
      <c r="A378" s="652"/>
      <c r="B378" s="246" t="s">
        <v>97</v>
      </c>
      <c r="C378" s="250" t="s">
        <v>103</v>
      </c>
      <c r="D378" s="232" t="e">
        <f t="shared" si="15"/>
        <v>#N/A</v>
      </c>
      <c r="E378" s="652"/>
      <c r="F378" s="665"/>
    </row>
    <row r="379" spans="1:6">
      <c r="A379" s="652"/>
      <c r="B379" s="246" t="s">
        <v>97</v>
      </c>
      <c r="C379" s="250" t="s">
        <v>98</v>
      </c>
      <c r="D379" s="232" t="e">
        <f t="shared" si="15"/>
        <v>#N/A</v>
      </c>
      <c r="E379" s="652"/>
      <c r="F379" s="665"/>
    </row>
    <row r="380" spans="1:6">
      <c r="A380" s="652"/>
      <c r="B380" s="246" t="s">
        <v>97</v>
      </c>
      <c r="C380" s="250" t="s">
        <v>96</v>
      </c>
      <c r="D380" s="232" t="e">
        <f t="shared" si="15"/>
        <v>#N/A</v>
      </c>
      <c r="E380" s="652"/>
      <c r="F380" s="665"/>
    </row>
    <row r="381" spans="1:6">
      <c r="A381" s="652"/>
      <c r="B381" s="246" t="s">
        <v>97</v>
      </c>
      <c r="C381" s="250"/>
      <c r="D381" s="232" t="e">
        <f t="shared" si="15"/>
        <v>#N/A</v>
      </c>
      <c r="E381" s="652"/>
      <c r="F381" s="665"/>
    </row>
    <row r="382" spans="1:6">
      <c r="A382" s="652"/>
      <c r="B382" s="246" t="s">
        <v>97</v>
      </c>
      <c r="C382" s="250" t="s">
        <v>105</v>
      </c>
      <c r="D382" s="232" t="e">
        <f t="shared" si="15"/>
        <v>#N/A</v>
      </c>
      <c r="E382" s="652"/>
      <c r="F382" s="665"/>
    </row>
    <row r="383" spans="1:6">
      <c r="A383" s="652"/>
      <c r="B383" s="246" t="s">
        <v>97</v>
      </c>
      <c r="C383" s="250"/>
      <c r="D383" s="232" t="e">
        <f t="shared" si="15"/>
        <v>#N/A</v>
      </c>
      <c r="E383" s="652"/>
      <c r="F383" s="665"/>
    </row>
    <row r="384" spans="1:6">
      <c r="A384" s="652"/>
      <c r="B384" s="246" t="s">
        <v>97</v>
      </c>
      <c r="C384" s="250" t="s">
        <v>93</v>
      </c>
      <c r="D384" s="232" t="e">
        <f t="shared" si="15"/>
        <v>#N/A</v>
      </c>
      <c r="E384" s="652"/>
      <c r="F384" s="665"/>
    </row>
    <row r="385" spans="1:6">
      <c r="A385" s="652"/>
      <c r="B385" s="246" t="s">
        <v>97</v>
      </c>
      <c r="C385" s="250" t="s">
        <v>102</v>
      </c>
      <c r="D385" s="232" t="e">
        <f t="shared" si="15"/>
        <v>#N/A</v>
      </c>
      <c r="E385" s="652"/>
      <c r="F385" s="665"/>
    </row>
    <row r="386" spans="1:6">
      <c r="A386" s="652"/>
      <c r="B386" s="246" t="s">
        <v>97</v>
      </c>
      <c r="C386" s="250" t="s">
        <v>99</v>
      </c>
      <c r="D386" s="232" t="e">
        <f t="shared" si="15"/>
        <v>#N/A</v>
      </c>
      <c r="E386" s="652"/>
      <c r="F386" s="665"/>
    </row>
    <row r="387" spans="1:6">
      <c r="A387" s="652"/>
      <c r="B387" s="246" t="s">
        <v>97</v>
      </c>
      <c r="C387" s="250" t="s">
        <v>104</v>
      </c>
      <c r="D387" s="232" t="e">
        <f t="shared" si="15"/>
        <v>#N/A</v>
      </c>
      <c r="E387" s="652"/>
      <c r="F387" s="665"/>
    </row>
    <row r="388" spans="1:6">
      <c r="A388" s="652"/>
      <c r="B388" s="246" t="s">
        <v>97</v>
      </c>
      <c r="C388" s="250"/>
      <c r="D388" s="232" t="e">
        <f t="shared" si="15"/>
        <v>#N/A</v>
      </c>
      <c r="E388" s="652"/>
      <c r="F388" s="665"/>
    </row>
    <row r="389" spans="1:6">
      <c r="A389" s="652"/>
      <c r="B389" s="246" t="s">
        <v>97</v>
      </c>
      <c r="C389" s="250" t="s">
        <v>90</v>
      </c>
      <c r="D389" s="232" t="e">
        <f t="shared" si="15"/>
        <v>#N/A</v>
      </c>
      <c r="E389" s="652"/>
      <c r="F389" s="665"/>
    </row>
    <row r="390" spans="1:6">
      <c r="A390" s="652"/>
      <c r="B390" s="246" t="s">
        <v>97</v>
      </c>
      <c r="C390" s="250" t="s">
        <v>97</v>
      </c>
      <c r="D390" s="232" t="e">
        <f t="shared" si="15"/>
        <v>#N/A</v>
      </c>
      <c r="E390" s="652"/>
      <c r="F390" s="665"/>
    </row>
    <row r="391" spans="1:6" ht="16" thickBot="1">
      <c r="A391" s="652"/>
      <c r="B391" s="262" t="s">
        <v>97</v>
      </c>
      <c r="C391" s="258" t="s">
        <v>101</v>
      </c>
      <c r="D391" s="232" t="e">
        <f t="shared" si="15"/>
        <v>#N/A</v>
      </c>
      <c r="E391" s="653"/>
      <c r="F391" s="665"/>
    </row>
    <row r="392" spans="1:6">
      <c r="A392" s="652"/>
      <c r="B392" s="237" t="s">
        <v>94</v>
      </c>
      <c r="C392" s="242"/>
      <c r="D392" s="232" t="e">
        <f t="shared" si="15"/>
        <v>#N/A</v>
      </c>
      <c r="E392" s="651">
        <f t="shared" si="16"/>
        <v>0</v>
      </c>
      <c r="F392" s="665"/>
    </row>
    <row r="393" spans="1:6">
      <c r="A393" s="652"/>
      <c r="B393" s="246" t="s">
        <v>94</v>
      </c>
      <c r="C393" s="250" t="s">
        <v>94</v>
      </c>
      <c r="D393" s="232" t="e">
        <f t="shared" si="15"/>
        <v>#N/A</v>
      </c>
      <c r="E393" s="652"/>
      <c r="F393" s="665"/>
    </row>
    <row r="394" spans="1:6">
      <c r="A394" s="652"/>
      <c r="B394" s="246" t="s">
        <v>94</v>
      </c>
      <c r="C394" s="250" t="s">
        <v>103</v>
      </c>
      <c r="D394" s="232" t="e">
        <f t="shared" si="15"/>
        <v>#N/A</v>
      </c>
      <c r="E394" s="652"/>
      <c r="F394" s="665"/>
    </row>
    <row r="395" spans="1:6">
      <c r="A395" s="652"/>
      <c r="B395" s="246" t="s">
        <v>94</v>
      </c>
      <c r="C395" s="250" t="s">
        <v>98</v>
      </c>
      <c r="D395" s="232" t="e">
        <f t="shared" si="15"/>
        <v>#N/A</v>
      </c>
      <c r="E395" s="652"/>
      <c r="F395" s="665"/>
    </row>
    <row r="396" spans="1:6">
      <c r="A396" s="652"/>
      <c r="B396" s="246" t="s">
        <v>94</v>
      </c>
      <c r="C396" s="250" t="s">
        <v>96</v>
      </c>
      <c r="D396" s="232" t="e">
        <f t="shared" si="15"/>
        <v>#N/A</v>
      </c>
      <c r="E396" s="652"/>
      <c r="F396" s="665"/>
    </row>
    <row r="397" spans="1:6">
      <c r="A397" s="652"/>
      <c r="B397" s="246" t="s">
        <v>94</v>
      </c>
      <c r="C397" s="250"/>
      <c r="D397" s="232" t="e">
        <f t="shared" si="15"/>
        <v>#N/A</v>
      </c>
      <c r="E397" s="652"/>
      <c r="F397" s="665"/>
    </row>
    <row r="398" spans="1:6">
      <c r="A398" s="652"/>
      <c r="B398" s="246" t="s">
        <v>94</v>
      </c>
      <c r="C398" s="250" t="s">
        <v>105</v>
      </c>
      <c r="D398" s="232" t="e">
        <f t="shared" si="15"/>
        <v>#N/A</v>
      </c>
      <c r="E398" s="652"/>
      <c r="F398" s="665"/>
    </row>
    <row r="399" spans="1:6">
      <c r="A399" s="652"/>
      <c r="B399" s="246" t="s">
        <v>94</v>
      </c>
      <c r="C399" s="250"/>
      <c r="D399" s="232" t="e">
        <f t="shared" ref="D399:D438" si="17">IF(INDEX($C$3:$R$18,MATCH(B399,$B$3:$B$18,0),MATCH(C399,$C$2:$R$2,0))="","",INDEX($C$3:$R$18,MATCH(B399,$B$3:$B$18,0),MATCH(C399,$C$2:$R$2,0)))</f>
        <v>#N/A</v>
      </c>
      <c r="E399" s="652"/>
      <c r="F399" s="665"/>
    </row>
    <row r="400" spans="1:6">
      <c r="A400" s="652"/>
      <c r="B400" s="246" t="s">
        <v>94</v>
      </c>
      <c r="C400" s="250" t="s">
        <v>93</v>
      </c>
      <c r="D400" s="232" t="e">
        <f t="shared" si="17"/>
        <v>#N/A</v>
      </c>
      <c r="E400" s="652"/>
      <c r="F400" s="665"/>
    </row>
    <row r="401" spans="1:6">
      <c r="A401" s="652"/>
      <c r="B401" s="246" t="s">
        <v>94</v>
      </c>
      <c r="C401" s="250" t="s">
        <v>102</v>
      </c>
      <c r="D401" s="232" t="e">
        <f t="shared" si="17"/>
        <v>#N/A</v>
      </c>
      <c r="E401" s="652"/>
      <c r="F401" s="665"/>
    </row>
    <row r="402" spans="1:6">
      <c r="A402" s="652"/>
      <c r="B402" s="246" t="s">
        <v>94</v>
      </c>
      <c r="C402" s="250" t="s">
        <v>99</v>
      </c>
      <c r="D402" s="232" t="e">
        <f t="shared" si="17"/>
        <v>#N/A</v>
      </c>
      <c r="E402" s="652"/>
      <c r="F402" s="665"/>
    </row>
    <row r="403" spans="1:6">
      <c r="A403" s="652"/>
      <c r="B403" s="246" t="s">
        <v>94</v>
      </c>
      <c r="C403" s="250" t="s">
        <v>104</v>
      </c>
      <c r="D403" s="232" t="e">
        <f t="shared" si="17"/>
        <v>#N/A</v>
      </c>
      <c r="E403" s="652"/>
      <c r="F403" s="665"/>
    </row>
    <row r="404" spans="1:6">
      <c r="A404" s="652"/>
      <c r="B404" s="246" t="s">
        <v>94</v>
      </c>
      <c r="C404" s="250" t="s">
        <v>100</v>
      </c>
      <c r="D404" s="232" t="e">
        <f t="shared" si="17"/>
        <v>#N/A</v>
      </c>
      <c r="E404" s="652"/>
      <c r="F404" s="665"/>
    </row>
    <row r="405" spans="1:6">
      <c r="A405" s="652"/>
      <c r="B405" s="246" t="s">
        <v>94</v>
      </c>
      <c r="C405" s="250" t="s">
        <v>90</v>
      </c>
      <c r="D405" s="232" t="e">
        <f t="shared" si="17"/>
        <v>#N/A</v>
      </c>
      <c r="E405" s="652"/>
      <c r="F405" s="665"/>
    </row>
    <row r="406" spans="1:6">
      <c r="A406" s="652"/>
      <c r="B406" s="246" t="s">
        <v>94</v>
      </c>
      <c r="C406" s="250" t="s">
        <v>97</v>
      </c>
      <c r="D406" s="232" t="e">
        <f t="shared" si="17"/>
        <v>#N/A</v>
      </c>
      <c r="E406" s="652"/>
      <c r="F406" s="665"/>
    </row>
    <row r="407" spans="1:6" ht="16" thickBot="1">
      <c r="A407" s="652"/>
      <c r="B407" s="262" t="s">
        <v>94</v>
      </c>
      <c r="C407" s="258" t="s">
        <v>101</v>
      </c>
      <c r="D407" s="232" t="e">
        <f t="shared" si="17"/>
        <v>#N/A</v>
      </c>
      <c r="E407" s="653"/>
      <c r="F407" s="665"/>
    </row>
    <row r="408" spans="1:6">
      <c r="A408" s="652"/>
      <c r="B408" s="237" t="s">
        <v>99</v>
      </c>
      <c r="C408" s="242"/>
      <c r="D408" s="232" t="e">
        <f t="shared" si="17"/>
        <v>#N/A</v>
      </c>
      <c r="E408" s="651">
        <f t="shared" si="16"/>
        <v>0</v>
      </c>
      <c r="F408" s="665"/>
    </row>
    <row r="409" spans="1:6">
      <c r="A409" s="652"/>
      <c r="B409" s="246" t="s">
        <v>99</v>
      </c>
      <c r="C409" s="250"/>
      <c r="D409" s="232" t="e">
        <f t="shared" si="17"/>
        <v>#N/A</v>
      </c>
      <c r="E409" s="652"/>
      <c r="F409" s="665"/>
    </row>
    <row r="410" spans="1:6">
      <c r="A410" s="652"/>
      <c r="B410" s="246" t="s">
        <v>99</v>
      </c>
      <c r="C410" s="250" t="s">
        <v>103</v>
      </c>
      <c r="D410" s="232" t="e">
        <f t="shared" si="17"/>
        <v>#N/A</v>
      </c>
      <c r="E410" s="652"/>
      <c r="F410" s="665"/>
    </row>
    <row r="411" spans="1:6">
      <c r="A411" s="652"/>
      <c r="B411" s="246" t="s">
        <v>99</v>
      </c>
      <c r="C411" s="250" t="s">
        <v>98</v>
      </c>
      <c r="D411" s="232" t="e">
        <f t="shared" si="17"/>
        <v>#N/A</v>
      </c>
      <c r="E411" s="652"/>
      <c r="F411" s="665"/>
    </row>
    <row r="412" spans="1:6">
      <c r="A412" s="652"/>
      <c r="B412" s="246" t="s">
        <v>99</v>
      </c>
      <c r="C412" s="250" t="s">
        <v>96</v>
      </c>
      <c r="D412" s="232" t="e">
        <f t="shared" si="17"/>
        <v>#N/A</v>
      </c>
      <c r="E412" s="652"/>
      <c r="F412" s="665"/>
    </row>
    <row r="413" spans="1:6">
      <c r="A413" s="652"/>
      <c r="B413" s="246" t="s">
        <v>99</v>
      </c>
      <c r="C413" s="250" t="s">
        <v>95</v>
      </c>
      <c r="D413" s="232" t="e">
        <f t="shared" si="17"/>
        <v>#N/A</v>
      </c>
      <c r="E413" s="652"/>
      <c r="F413" s="665"/>
    </row>
    <row r="414" spans="1:6">
      <c r="A414" s="652"/>
      <c r="B414" s="246" t="s">
        <v>99</v>
      </c>
      <c r="C414" s="250" t="s">
        <v>105</v>
      </c>
      <c r="D414" s="232" t="e">
        <f t="shared" si="17"/>
        <v>#N/A</v>
      </c>
      <c r="E414" s="652"/>
      <c r="F414" s="665"/>
    </row>
    <row r="415" spans="1:6">
      <c r="A415" s="652"/>
      <c r="B415" s="246" t="s">
        <v>99</v>
      </c>
      <c r="C415" s="250" t="s">
        <v>91</v>
      </c>
      <c r="D415" s="232" t="e">
        <f t="shared" si="17"/>
        <v>#N/A</v>
      </c>
      <c r="E415" s="652"/>
      <c r="F415" s="665"/>
    </row>
    <row r="416" spans="1:6">
      <c r="A416" s="652"/>
      <c r="B416" s="246" t="s">
        <v>99</v>
      </c>
      <c r="C416" s="250" t="s">
        <v>93</v>
      </c>
      <c r="D416" s="232" t="e">
        <f t="shared" si="17"/>
        <v>#N/A</v>
      </c>
      <c r="E416" s="652"/>
      <c r="F416" s="665"/>
    </row>
    <row r="417" spans="1:6">
      <c r="A417" s="652"/>
      <c r="B417" s="246" t="s">
        <v>99</v>
      </c>
      <c r="C417" s="250" t="s">
        <v>102</v>
      </c>
      <c r="D417" s="232" t="e">
        <f t="shared" si="17"/>
        <v>#N/A</v>
      </c>
      <c r="E417" s="652"/>
      <c r="F417" s="665"/>
    </row>
    <row r="418" spans="1:6">
      <c r="A418" s="652"/>
      <c r="B418" s="246" t="s">
        <v>99</v>
      </c>
      <c r="C418" s="250" t="s">
        <v>99</v>
      </c>
      <c r="D418" s="232" t="e">
        <f t="shared" si="17"/>
        <v>#N/A</v>
      </c>
      <c r="E418" s="652"/>
      <c r="F418" s="665"/>
    </row>
    <row r="419" spans="1:6">
      <c r="A419" s="652"/>
      <c r="B419" s="246" t="s">
        <v>99</v>
      </c>
      <c r="C419" s="250" t="s">
        <v>104</v>
      </c>
      <c r="D419" s="232" t="e">
        <f t="shared" si="17"/>
        <v>#N/A</v>
      </c>
      <c r="E419" s="652"/>
      <c r="F419" s="665"/>
    </row>
    <row r="420" spans="1:6">
      <c r="A420" s="652"/>
      <c r="B420" s="246" t="s">
        <v>99</v>
      </c>
      <c r="C420" s="250"/>
      <c r="D420" s="232" t="e">
        <f t="shared" si="17"/>
        <v>#N/A</v>
      </c>
      <c r="E420" s="652"/>
      <c r="F420" s="665"/>
    </row>
    <row r="421" spans="1:6">
      <c r="A421" s="652"/>
      <c r="B421" s="246" t="s">
        <v>99</v>
      </c>
      <c r="C421" s="250" t="s">
        <v>90</v>
      </c>
      <c r="D421" s="232" t="e">
        <f t="shared" si="17"/>
        <v>#N/A</v>
      </c>
      <c r="E421" s="652"/>
      <c r="F421" s="665"/>
    </row>
    <row r="422" spans="1:6">
      <c r="A422" s="652"/>
      <c r="B422" s="246" t="s">
        <v>99</v>
      </c>
      <c r="C422" s="250"/>
      <c r="D422" s="232" t="e">
        <f t="shared" si="17"/>
        <v>#N/A</v>
      </c>
      <c r="E422" s="652"/>
      <c r="F422" s="665"/>
    </row>
    <row r="423" spans="1:6" ht="16" thickBot="1">
      <c r="A423" s="653"/>
      <c r="B423" s="262" t="s">
        <v>99</v>
      </c>
      <c r="C423" s="258" t="s">
        <v>101</v>
      </c>
      <c r="D423" s="232" t="e">
        <f t="shared" si="17"/>
        <v>#N/A</v>
      </c>
      <c r="E423" s="653"/>
      <c r="F423" s="666"/>
    </row>
    <row r="424" spans="1:6">
      <c r="D424" s="232" t="e">
        <f t="shared" si="17"/>
        <v>#N/A</v>
      </c>
    </row>
    <row r="425" spans="1:6">
      <c r="D425" s="232" t="e">
        <f t="shared" si="17"/>
        <v>#N/A</v>
      </c>
    </row>
    <row r="426" spans="1:6">
      <c r="D426" s="232" t="e">
        <f t="shared" si="17"/>
        <v>#N/A</v>
      </c>
    </row>
    <row r="427" spans="1:6">
      <c r="D427" s="232" t="e">
        <f t="shared" si="17"/>
        <v>#N/A</v>
      </c>
    </row>
    <row r="428" spans="1:6">
      <c r="D428" s="232" t="e">
        <f t="shared" si="17"/>
        <v>#N/A</v>
      </c>
    </row>
    <row r="429" spans="1:6">
      <c r="D429" s="232" t="e">
        <f t="shared" si="17"/>
        <v>#N/A</v>
      </c>
    </row>
    <row r="430" spans="1:6">
      <c r="D430" s="232" t="e">
        <f t="shared" si="17"/>
        <v>#N/A</v>
      </c>
    </row>
    <row r="431" spans="1:6">
      <c r="D431" s="232" t="e">
        <f t="shared" si="17"/>
        <v>#N/A</v>
      </c>
    </row>
    <row r="432" spans="1:6">
      <c r="D432" s="232" t="e">
        <f t="shared" si="17"/>
        <v>#N/A</v>
      </c>
    </row>
    <row r="433" spans="4:4">
      <c r="D433" s="232" t="e">
        <f t="shared" si="17"/>
        <v>#N/A</v>
      </c>
    </row>
    <row r="434" spans="4:4">
      <c r="D434" s="232" t="e">
        <f t="shared" si="17"/>
        <v>#N/A</v>
      </c>
    </row>
    <row r="435" spans="4:4">
      <c r="D435" s="232" t="e">
        <f t="shared" si="17"/>
        <v>#N/A</v>
      </c>
    </row>
    <row r="436" spans="4:4">
      <c r="D436" s="232" t="e">
        <f t="shared" si="17"/>
        <v>#N/A</v>
      </c>
    </row>
    <row r="437" spans="4:4">
      <c r="D437" s="232" t="e">
        <f t="shared" si="17"/>
        <v>#N/A</v>
      </c>
    </row>
    <row r="438" spans="4:4">
      <c r="D438" s="232" t="e">
        <f t="shared" si="17"/>
        <v>#N/A</v>
      </c>
    </row>
  </sheetData>
  <mergeCells count="46">
    <mergeCell ref="A376:A423"/>
    <mergeCell ref="E376:E391"/>
    <mergeCell ref="E392:E407"/>
    <mergeCell ref="E408:E423"/>
    <mergeCell ref="F376:F423"/>
    <mergeCell ref="A296:A327"/>
    <mergeCell ref="E296:E311"/>
    <mergeCell ref="E312:E327"/>
    <mergeCell ref="F296:F327"/>
    <mergeCell ref="A328:A375"/>
    <mergeCell ref="E328:E343"/>
    <mergeCell ref="E344:E359"/>
    <mergeCell ref="E360:E375"/>
    <mergeCell ref="F328:F375"/>
    <mergeCell ref="A21:A26"/>
    <mergeCell ref="A27:A30"/>
    <mergeCell ref="E40:E55"/>
    <mergeCell ref="E56:E71"/>
    <mergeCell ref="F21:G21"/>
    <mergeCell ref="E72:E87"/>
    <mergeCell ref="F40:F55"/>
    <mergeCell ref="F72:F87"/>
    <mergeCell ref="A31:A87"/>
    <mergeCell ref="E88:E103"/>
    <mergeCell ref="E104:E119"/>
    <mergeCell ref="A88:A119"/>
    <mergeCell ref="F88:F119"/>
    <mergeCell ref="A120:A167"/>
    <mergeCell ref="E120:E135"/>
    <mergeCell ref="E136:E151"/>
    <mergeCell ref="E152:E167"/>
    <mergeCell ref="F120:F167"/>
    <mergeCell ref="F168:F231"/>
    <mergeCell ref="G168:G183"/>
    <mergeCell ref="G200:G215"/>
    <mergeCell ref="A232:A295"/>
    <mergeCell ref="E232:E247"/>
    <mergeCell ref="E248:E263"/>
    <mergeCell ref="E264:E279"/>
    <mergeCell ref="E280:E295"/>
    <mergeCell ref="F232:F295"/>
    <mergeCell ref="A168:A231"/>
    <mergeCell ref="E168:E183"/>
    <mergeCell ref="E184:E199"/>
    <mergeCell ref="E200:E215"/>
    <mergeCell ref="E216:E231"/>
  </mergeCells>
  <conditionalFormatting sqref="C3:R18 D232:D438">
    <cfRule type="containsText" dxfId="770" priority="597" operator="containsText" text="DNP">
      <formula>NOT(ISERROR(SEARCH("DNP",C3)))</formula>
    </cfRule>
  </conditionalFormatting>
  <conditionalFormatting sqref="B21">
    <cfRule type="containsText" dxfId="769" priority="581" operator="containsText" text="Gronks Retiremnt Party">
      <formula>NOT(ISERROR(SEARCH("Gronks Retiremnt Party",B21)))</formula>
    </cfRule>
    <cfRule type="containsText" dxfId="768" priority="582" operator="containsText" text="PK's Wet Dream Fantasy">
      <formula>NOT(ISERROR(SEARCH("PK's Wet Dream Fantasy",B21)))</formula>
    </cfRule>
    <cfRule type="containsText" dxfId="767" priority="583" operator="containsText" text="Goulden Johnson Morning Woods">
      <formula>NOT(ISERROR(SEARCH("Goulden Johnson Morning Woods",B21)))</formula>
    </cfRule>
    <cfRule type="containsText" dxfId="766" priority="584" operator="containsText" text="Da Adams Family">
      <formula>NOT(ISERROR(SEARCH("Da Adams Family",B21)))</formula>
    </cfRule>
    <cfRule type="containsText" dxfId="765" priority="585" operator="containsText" text="Benny’s Baby Back Bitches">
      <formula>NOT(ISERROR(SEARCH("Benny’s Baby Back Bitches",B21)))</formula>
    </cfRule>
    <cfRule type="containsText" dxfId="764" priority="586" operator="containsText" text="DJ Chark Doo Doo Doo Doo">
      <formula>NOT(ISERROR(SEARCH("DJ Chark Doo Doo Doo Doo",B21)))</formula>
    </cfRule>
    <cfRule type="containsText" dxfId="763" priority="587" operator="containsText" text="Pansexual Dead Bird Dildo">
      <formula>NOT(ISERROR(SEARCH("Pansexual Dead Bird Dildo",B21)))</formula>
    </cfRule>
    <cfRule type="containsText" dxfId="762" priority="588" operator="containsText" text="Lick My Lutz N’ Jack Me Goff">
      <formula>NOT(ISERROR(SEARCH("Lick My Lutz N’ Jack Me Goff",B21)))</formula>
    </cfRule>
    <cfRule type="containsText" dxfId="761" priority="589" operator="containsText" text="Canary In A Coleman">
      <formula>NOT(ISERROR(SEARCH("Canary In A Coleman",B21)))</formula>
    </cfRule>
    <cfRule type="containsText" dxfId="760" priority="590" operator="containsText" text="No Good Car Ideas">
      <formula>NOT(ISERROR(SEARCH("No Good Car Ideas",B21)))</formula>
    </cfRule>
    <cfRule type="containsText" dxfId="759" priority="591" operator="containsText" text="Quadsratic Formula">
      <formula>NOT(ISERROR(SEARCH("Quadsratic Formula",B21)))</formula>
    </cfRule>
    <cfRule type="containsText" dxfId="758" priority="592" operator="containsText" text="Carolina Colitis">
      <formula>NOT(ISERROR(SEARCH("Carolina Colitis",B21)))</formula>
    </cfRule>
    <cfRule type="containsText" dxfId="757" priority="593" operator="containsText" text="Lil MissyElliot Big Paycheck">
      <formula>NOT(ISERROR(SEARCH("Lil MissyElliot Big Paycheck",B21)))</formula>
    </cfRule>
    <cfRule type="containsText" dxfId="756" priority="594" operator="containsText" text="Victory Shawarma">
      <formula>NOT(ISERROR(SEARCH("Victory Shawarma",B21)))</formula>
    </cfRule>
    <cfRule type="containsText" dxfId="755" priority="595" operator="containsText" text="US Skol Command">
      <formula>NOT(ISERROR(SEARCH("US Skol Command",B21)))</formula>
    </cfRule>
    <cfRule type="containsText" dxfId="754" priority="596" operator="containsText" text="THE SUBMISSIVE SUBMARINE  ">
      <formula>NOT(ISERROR(SEARCH("THE SUBMISSIVE SUBMARINE  ",B21)))</formula>
    </cfRule>
  </conditionalFormatting>
  <conditionalFormatting sqref="C37:C41 C45:C55">
    <cfRule type="containsText" dxfId="753" priority="549" operator="containsText" text="Gronks Retiremnt Party">
      <formula>NOT(ISERROR(SEARCH("Gronks Retiremnt Party",C37)))</formula>
    </cfRule>
    <cfRule type="containsText" dxfId="752" priority="550" operator="containsText" text="PK's Wet Dream Fantasy">
      <formula>NOT(ISERROR(SEARCH("PK's Wet Dream Fantasy",C37)))</formula>
    </cfRule>
    <cfRule type="containsText" dxfId="751" priority="551" operator="containsText" text="Goulden Johnson Morning Woods">
      <formula>NOT(ISERROR(SEARCH("Goulden Johnson Morning Woods",C37)))</formula>
    </cfRule>
    <cfRule type="containsText" dxfId="750" priority="552" operator="containsText" text="Da Adams Family">
      <formula>NOT(ISERROR(SEARCH("Da Adams Family",C37)))</formula>
    </cfRule>
    <cfRule type="containsText" dxfId="749" priority="553" operator="containsText" text="Benny’s Baby Back Bitches">
      <formula>NOT(ISERROR(SEARCH("Benny’s Baby Back Bitches",C37)))</formula>
    </cfRule>
    <cfRule type="containsText" dxfId="748" priority="554" operator="containsText" text="DJ Chark Doo Doo Doo Doo">
      <formula>NOT(ISERROR(SEARCH("DJ Chark Doo Doo Doo Doo",C37)))</formula>
    </cfRule>
    <cfRule type="containsText" dxfId="747" priority="555" operator="containsText" text="Pansexual Dead Bird Dildo">
      <formula>NOT(ISERROR(SEARCH("Pansexual Dead Bird Dildo",C37)))</formula>
    </cfRule>
    <cfRule type="containsText" dxfId="746" priority="556" operator="containsText" text="Lick My Lutz N’ Jack Me Goff">
      <formula>NOT(ISERROR(SEARCH("Lick My Lutz N’ Jack Me Goff",C37)))</formula>
    </cfRule>
    <cfRule type="containsText" dxfId="745" priority="557" operator="containsText" text="Canary In A Coleman">
      <formula>NOT(ISERROR(SEARCH("Canary In A Coleman",C37)))</formula>
    </cfRule>
    <cfRule type="containsText" dxfId="744" priority="558" operator="containsText" text="No Good Car Ideas">
      <formula>NOT(ISERROR(SEARCH("No Good Car Ideas",C37)))</formula>
    </cfRule>
    <cfRule type="containsText" dxfId="743" priority="559" operator="containsText" text="Quadsratic Formula">
      <formula>NOT(ISERROR(SEARCH("Quadsratic Formula",C37)))</formula>
    </cfRule>
    <cfRule type="containsText" dxfId="742" priority="560" operator="containsText" text="Carolina Colitis">
      <formula>NOT(ISERROR(SEARCH("Carolina Colitis",C37)))</formula>
    </cfRule>
    <cfRule type="containsText" dxfId="741" priority="561" operator="containsText" text="Lil MissyElliot Big Paycheck">
      <formula>NOT(ISERROR(SEARCH("Lil MissyElliot Big Paycheck",C37)))</formula>
    </cfRule>
    <cfRule type="containsText" dxfId="740" priority="562" operator="containsText" text="Victory Shawarma">
      <formula>NOT(ISERROR(SEARCH("Victory Shawarma",C37)))</formula>
    </cfRule>
    <cfRule type="containsText" dxfId="739" priority="563" operator="containsText" text="US Skol Command">
      <formula>NOT(ISERROR(SEARCH("US Skol Command",C37)))</formula>
    </cfRule>
    <cfRule type="containsText" dxfId="738" priority="564" operator="containsText" text="THE SUBMISSIVE SUBMARINE  ">
      <formula>NOT(ISERROR(SEARCH("THE SUBMISSIVE SUBMARINE  ",C37)))</formula>
    </cfRule>
  </conditionalFormatting>
  <conditionalFormatting sqref="B23">
    <cfRule type="containsText" dxfId="737" priority="517" operator="containsText" text="Gronks Retiremnt Party">
      <formula>NOT(ISERROR(SEARCH("Gronks Retiremnt Party",B23)))</formula>
    </cfRule>
    <cfRule type="containsText" dxfId="736" priority="518" operator="containsText" text="PK's Wet Dream Fantasy">
      <formula>NOT(ISERROR(SEARCH("PK's Wet Dream Fantasy",B23)))</formula>
    </cfRule>
    <cfRule type="containsText" dxfId="735" priority="519" operator="containsText" text="Goulden Johnson Morning Woods">
      <formula>NOT(ISERROR(SEARCH("Goulden Johnson Morning Woods",B23)))</formula>
    </cfRule>
    <cfRule type="containsText" dxfId="734" priority="520" operator="containsText" text="Da Adams Family">
      <formula>NOT(ISERROR(SEARCH("Da Adams Family",B23)))</formula>
    </cfRule>
    <cfRule type="containsText" dxfId="733" priority="521" operator="containsText" text="Benny’s Baby Back Bitches">
      <formula>NOT(ISERROR(SEARCH("Benny’s Baby Back Bitches",B23)))</formula>
    </cfRule>
    <cfRule type="containsText" dxfId="732" priority="522" operator="containsText" text="DJ Chark Doo Doo Doo Doo">
      <formula>NOT(ISERROR(SEARCH("DJ Chark Doo Doo Doo Doo",B23)))</formula>
    </cfRule>
    <cfRule type="containsText" dxfId="731" priority="523" operator="containsText" text="Pansexual Dead Bird Dildo">
      <formula>NOT(ISERROR(SEARCH("Pansexual Dead Bird Dildo",B23)))</formula>
    </cfRule>
    <cfRule type="containsText" dxfId="730" priority="524" operator="containsText" text="Lick My Lutz N’ Jack Me Goff">
      <formula>NOT(ISERROR(SEARCH("Lick My Lutz N’ Jack Me Goff",B23)))</formula>
    </cfRule>
    <cfRule type="containsText" dxfId="729" priority="525" operator="containsText" text="Canary In A Coleman">
      <formula>NOT(ISERROR(SEARCH("Canary In A Coleman",B23)))</formula>
    </cfRule>
    <cfRule type="containsText" dxfId="728" priority="526" operator="containsText" text="No Good Car Ideas">
      <formula>NOT(ISERROR(SEARCH("No Good Car Ideas",B23)))</formula>
    </cfRule>
    <cfRule type="containsText" dxfId="727" priority="527" operator="containsText" text="Quadsratic Formula">
      <formula>NOT(ISERROR(SEARCH("Quadsratic Formula",B23)))</formula>
    </cfRule>
    <cfRule type="containsText" dxfId="726" priority="528" operator="containsText" text="Carolina Colitis">
      <formula>NOT(ISERROR(SEARCH("Carolina Colitis",B23)))</formula>
    </cfRule>
    <cfRule type="containsText" dxfId="725" priority="529" operator="containsText" text="Lil MissyElliot Big Paycheck">
      <formula>NOT(ISERROR(SEARCH("Lil MissyElliot Big Paycheck",B23)))</formula>
    </cfRule>
    <cfRule type="containsText" dxfId="724" priority="530" operator="containsText" text="Victory Shawarma">
      <formula>NOT(ISERROR(SEARCH("Victory Shawarma",B23)))</formula>
    </cfRule>
    <cfRule type="containsText" dxfId="723" priority="531" operator="containsText" text="US Skol Command">
      <formula>NOT(ISERROR(SEARCH("US Skol Command",B23)))</formula>
    </cfRule>
    <cfRule type="containsText" dxfId="722" priority="532" operator="containsText" text="THE SUBMISSIVE SUBMARINE  ">
      <formula>NOT(ISERROR(SEARCH("THE SUBMISSIVE SUBMARINE  ",B23)))</formula>
    </cfRule>
  </conditionalFormatting>
  <conditionalFormatting sqref="C24">
    <cfRule type="containsText" dxfId="721" priority="501" operator="containsText" text="Gronks Retiremnt Party">
      <formula>NOT(ISERROR(SEARCH("Gronks Retiremnt Party",C24)))</formula>
    </cfRule>
    <cfRule type="containsText" dxfId="720" priority="502" operator="containsText" text="PK's Wet Dream Fantasy">
      <formula>NOT(ISERROR(SEARCH("PK's Wet Dream Fantasy",C24)))</formula>
    </cfRule>
    <cfRule type="containsText" dxfId="719" priority="503" operator="containsText" text="Goulden Johnson Morning Woods">
      <formula>NOT(ISERROR(SEARCH("Goulden Johnson Morning Woods",C24)))</formula>
    </cfRule>
    <cfRule type="containsText" dxfId="718" priority="504" operator="containsText" text="Da Adams Family">
      <formula>NOT(ISERROR(SEARCH("Da Adams Family",C24)))</formula>
    </cfRule>
    <cfRule type="containsText" dxfId="717" priority="505" operator="containsText" text="Benny’s Baby Back Bitches">
      <formula>NOT(ISERROR(SEARCH("Benny’s Baby Back Bitches",C24)))</formula>
    </cfRule>
    <cfRule type="containsText" dxfId="716" priority="506" operator="containsText" text="DJ Chark Doo Doo Doo Doo">
      <formula>NOT(ISERROR(SEARCH("DJ Chark Doo Doo Doo Doo",C24)))</formula>
    </cfRule>
    <cfRule type="containsText" dxfId="715" priority="507" operator="containsText" text="Pansexual Dead Bird Dildo">
      <formula>NOT(ISERROR(SEARCH("Pansexual Dead Bird Dildo",C24)))</formula>
    </cfRule>
    <cfRule type="containsText" dxfId="714" priority="508" operator="containsText" text="Lick My Lutz N’ Jack Me Goff">
      <formula>NOT(ISERROR(SEARCH("Lick My Lutz N’ Jack Me Goff",C24)))</formula>
    </cfRule>
    <cfRule type="containsText" dxfId="713" priority="509" operator="containsText" text="Canary In A Coleman">
      <formula>NOT(ISERROR(SEARCH("Canary In A Coleman",C24)))</formula>
    </cfRule>
    <cfRule type="containsText" dxfId="712" priority="510" operator="containsText" text="No Good Car Ideas">
      <formula>NOT(ISERROR(SEARCH("No Good Car Ideas",C24)))</formula>
    </cfRule>
    <cfRule type="containsText" dxfId="711" priority="511" operator="containsText" text="Quadsratic Formula">
      <formula>NOT(ISERROR(SEARCH("Quadsratic Formula",C24)))</formula>
    </cfRule>
    <cfRule type="containsText" dxfId="710" priority="512" operator="containsText" text="Carolina Colitis">
      <formula>NOT(ISERROR(SEARCH("Carolina Colitis",C24)))</formula>
    </cfRule>
    <cfRule type="containsText" dxfId="709" priority="513" operator="containsText" text="Lil MissyElliot Big Paycheck">
      <formula>NOT(ISERROR(SEARCH("Lil MissyElliot Big Paycheck",C24)))</formula>
    </cfRule>
    <cfRule type="containsText" dxfId="708" priority="514" operator="containsText" text="Victory Shawarma">
      <formula>NOT(ISERROR(SEARCH("Victory Shawarma",C24)))</formula>
    </cfRule>
    <cfRule type="containsText" dxfId="707" priority="515" operator="containsText" text="US Skol Command">
      <formula>NOT(ISERROR(SEARCH("US Skol Command",C24)))</formula>
    </cfRule>
    <cfRule type="containsText" dxfId="706" priority="516" operator="containsText" text="THE SUBMISSIVE SUBMARINE  ">
      <formula>NOT(ISERROR(SEARCH("THE SUBMISSIVE SUBMARINE  ",C24)))</formula>
    </cfRule>
  </conditionalFormatting>
  <conditionalFormatting sqref="D21:D55">
    <cfRule type="containsText" dxfId="705" priority="468" operator="containsText" text="DNP">
      <formula>NOT(ISERROR(SEARCH("DNP",D21)))</formula>
    </cfRule>
  </conditionalFormatting>
  <conditionalFormatting sqref="B22">
    <cfRule type="containsText" dxfId="704" priority="452" operator="containsText" text="Gronks Retiremnt Party">
      <formula>NOT(ISERROR(SEARCH("Gronks Retiremnt Party",B22)))</formula>
    </cfRule>
    <cfRule type="containsText" dxfId="703" priority="453" operator="containsText" text="PK's Wet Dream Fantasy">
      <formula>NOT(ISERROR(SEARCH("PK's Wet Dream Fantasy",B22)))</formula>
    </cfRule>
    <cfRule type="containsText" dxfId="702" priority="454" operator="containsText" text="Goulden Johnson Morning Woods">
      <formula>NOT(ISERROR(SEARCH("Goulden Johnson Morning Woods",B22)))</formula>
    </cfRule>
    <cfRule type="containsText" dxfId="701" priority="455" operator="containsText" text="Da Adams Family">
      <formula>NOT(ISERROR(SEARCH("Da Adams Family",B22)))</formula>
    </cfRule>
    <cfRule type="containsText" dxfId="700" priority="456" operator="containsText" text="Benny’s Baby Back Bitches">
      <formula>NOT(ISERROR(SEARCH("Benny’s Baby Back Bitches",B22)))</formula>
    </cfRule>
    <cfRule type="containsText" dxfId="699" priority="457" operator="containsText" text="DJ Chark Doo Doo Doo Doo">
      <formula>NOT(ISERROR(SEARCH("DJ Chark Doo Doo Doo Doo",B22)))</formula>
    </cfRule>
    <cfRule type="containsText" dxfId="698" priority="458" operator="containsText" text="Pansexual Dead Bird Dildo">
      <formula>NOT(ISERROR(SEARCH("Pansexual Dead Bird Dildo",B22)))</formula>
    </cfRule>
    <cfRule type="containsText" dxfId="697" priority="459" operator="containsText" text="Lick My Lutz N’ Jack Me Goff">
      <formula>NOT(ISERROR(SEARCH("Lick My Lutz N’ Jack Me Goff",B22)))</formula>
    </cfRule>
    <cfRule type="containsText" dxfId="696" priority="460" operator="containsText" text="Canary In A Coleman">
      <formula>NOT(ISERROR(SEARCH("Canary In A Coleman",B22)))</formula>
    </cfRule>
    <cfRule type="containsText" dxfId="695" priority="461" operator="containsText" text="No Good Car Ideas">
      <formula>NOT(ISERROR(SEARCH("No Good Car Ideas",B22)))</formula>
    </cfRule>
    <cfRule type="containsText" dxfId="694" priority="462" operator="containsText" text="Quadsratic Formula">
      <formula>NOT(ISERROR(SEARCH("Quadsratic Formula",B22)))</formula>
    </cfRule>
    <cfRule type="containsText" dxfId="693" priority="463" operator="containsText" text="Carolina Colitis">
      <formula>NOT(ISERROR(SEARCH("Carolina Colitis",B22)))</formula>
    </cfRule>
    <cfRule type="containsText" dxfId="692" priority="464" operator="containsText" text="Lil MissyElliot Big Paycheck">
      <formula>NOT(ISERROR(SEARCH("Lil MissyElliot Big Paycheck",B22)))</formula>
    </cfRule>
    <cfRule type="containsText" dxfId="691" priority="465" operator="containsText" text="Victory Shawarma">
      <formula>NOT(ISERROR(SEARCH("Victory Shawarma",B22)))</formula>
    </cfRule>
    <cfRule type="containsText" dxfId="690" priority="466" operator="containsText" text="US Skol Command">
      <formula>NOT(ISERROR(SEARCH("US Skol Command",B22)))</formula>
    </cfRule>
    <cfRule type="containsText" dxfId="689" priority="467" operator="containsText" text="THE SUBMISSIVE SUBMARINE  ">
      <formula>NOT(ISERROR(SEARCH("THE SUBMISSIVE SUBMARINE  ",B22)))</formula>
    </cfRule>
  </conditionalFormatting>
  <conditionalFormatting sqref="B27">
    <cfRule type="containsText" dxfId="688" priority="436" operator="containsText" text="Gronks Retiremnt Party">
      <formula>NOT(ISERROR(SEARCH("Gronks Retiremnt Party",B27)))</formula>
    </cfRule>
    <cfRule type="containsText" dxfId="687" priority="437" operator="containsText" text="PK's Wet Dream Fantasy">
      <formula>NOT(ISERROR(SEARCH("PK's Wet Dream Fantasy",B27)))</formula>
    </cfRule>
    <cfRule type="containsText" dxfId="686" priority="438" operator="containsText" text="Goulden Johnson Morning Woods">
      <formula>NOT(ISERROR(SEARCH("Goulden Johnson Morning Woods",B27)))</formula>
    </cfRule>
    <cfRule type="containsText" dxfId="685" priority="439" operator="containsText" text="Da Adams Family">
      <formula>NOT(ISERROR(SEARCH("Da Adams Family",B27)))</formula>
    </cfRule>
    <cfRule type="containsText" dxfId="684" priority="440" operator="containsText" text="Benny’s Baby Back Bitches">
      <formula>NOT(ISERROR(SEARCH("Benny’s Baby Back Bitches",B27)))</formula>
    </cfRule>
    <cfRule type="containsText" dxfId="683" priority="441" operator="containsText" text="DJ Chark Doo Doo Doo Doo">
      <formula>NOT(ISERROR(SEARCH("DJ Chark Doo Doo Doo Doo",B27)))</formula>
    </cfRule>
    <cfRule type="containsText" dxfId="682" priority="442" operator="containsText" text="Pansexual Dead Bird Dildo">
      <formula>NOT(ISERROR(SEARCH("Pansexual Dead Bird Dildo",B27)))</formula>
    </cfRule>
    <cfRule type="containsText" dxfId="681" priority="443" operator="containsText" text="Lick My Lutz N’ Jack Me Goff">
      <formula>NOT(ISERROR(SEARCH("Lick My Lutz N’ Jack Me Goff",B27)))</formula>
    </cfRule>
    <cfRule type="containsText" dxfId="680" priority="444" operator="containsText" text="Canary In A Coleman">
      <formula>NOT(ISERROR(SEARCH("Canary In A Coleman",B27)))</formula>
    </cfRule>
    <cfRule type="containsText" dxfId="679" priority="445" operator="containsText" text="No Good Car Ideas">
      <formula>NOT(ISERROR(SEARCH("No Good Car Ideas",B27)))</formula>
    </cfRule>
    <cfRule type="containsText" dxfId="678" priority="446" operator="containsText" text="Quadsratic Formula">
      <formula>NOT(ISERROR(SEARCH("Quadsratic Formula",B27)))</formula>
    </cfRule>
    <cfRule type="containsText" dxfId="677" priority="447" operator="containsText" text="Carolina Colitis">
      <formula>NOT(ISERROR(SEARCH("Carolina Colitis",B27)))</formula>
    </cfRule>
    <cfRule type="containsText" dxfId="676" priority="448" operator="containsText" text="Lil MissyElliot Big Paycheck">
      <formula>NOT(ISERROR(SEARCH("Lil MissyElliot Big Paycheck",B27)))</formula>
    </cfRule>
    <cfRule type="containsText" dxfId="675" priority="449" operator="containsText" text="Victory Shawarma">
      <formula>NOT(ISERROR(SEARCH("Victory Shawarma",B27)))</formula>
    </cfRule>
    <cfRule type="containsText" dxfId="674" priority="450" operator="containsText" text="US Skol Command">
      <formula>NOT(ISERROR(SEARCH("US Skol Command",B27)))</formula>
    </cfRule>
    <cfRule type="containsText" dxfId="673" priority="451" operator="containsText" text="THE SUBMISSIVE SUBMARINE  ">
      <formula>NOT(ISERROR(SEARCH("THE SUBMISSIVE SUBMARINE  ",B27)))</formula>
    </cfRule>
  </conditionalFormatting>
  <conditionalFormatting sqref="C28">
    <cfRule type="containsText" dxfId="672" priority="420" operator="containsText" text="Gronks Retiremnt Party">
      <formula>NOT(ISERROR(SEARCH("Gronks Retiremnt Party",C28)))</formula>
    </cfRule>
    <cfRule type="containsText" dxfId="671" priority="421" operator="containsText" text="PK's Wet Dream Fantasy">
      <formula>NOT(ISERROR(SEARCH("PK's Wet Dream Fantasy",C28)))</formula>
    </cfRule>
    <cfRule type="containsText" dxfId="670" priority="422" operator="containsText" text="Goulden Johnson Morning Woods">
      <formula>NOT(ISERROR(SEARCH("Goulden Johnson Morning Woods",C28)))</formula>
    </cfRule>
    <cfRule type="containsText" dxfId="669" priority="423" operator="containsText" text="Da Adams Family">
      <formula>NOT(ISERROR(SEARCH("Da Adams Family",C28)))</formula>
    </cfRule>
    <cfRule type="containsText" dxfId="668" priority="424" operator="containsText" text="Benny’s Baby Back Bitches">
      <formula>NOT(ISERROR(SEARCH("Benny’s Baby Back Bitches",C28)))</formula>
    </cfRule>
    <cfRule type="containsText" dxfId="667" priority="425" operator="containsText" text="DJ Chark Doo Doo Doo Doo">
      <formula>NOT(ISERROR(SEARCH("DJ Chark Doo Doo Doo Doo",C28)))</formula>
    </cfRule>
    <cfRule type="containsText" dxfId="666" priority="426" operator="containsText" text="Pansexual Dead Bird Dildo">
      <formula>NOT(ISERROR(SEARCH("Pansexual Dead Bird Dildo",C28)))</formula>
    </cfRule>
    <cfRule type="containsText" dxfId="665" priority="427" operator="containsText" text="Lick My Lutz N’ Jack Me Goff">
      <formula>NOT(ISERROR(SEARCH("Lick My Lutz N’ Jack Me Goff",C28)))</formula>
    </cfRule>
    <cfRule type="containsText" dxfId="664" priority="428" operator="containsText" text="Canary In A Coleman">
      <formula>NOT(ISERROR(SEARCH("Canary In A Coleman",C28)))</formula>
    </cfRule>
    <cfRule type="containsText" dxfId="663" priority="429" operator="containsText" text="No Good Car Ideas">
      <formula>NOT(ISERROR(SEARCH("No Good Car Ideas",C28)))</formula>
    </cfRule>
    <cfRule type="containsText" dxfId="662" priority="430" operator="containsText" text="Quadsratic Formula">
      <formula>NOT(ISERROR(SEARCH("Quadsratic Formula",C28)))</formula>
    </cfRule>
    <cfRule type="containsText" dxfId="661" priority="431" operator="containsText" text="Carolina Colitis">
      <formula>NOT(ISERROR(SEARCH("Carolina Colitis",C28)))</formula>
    </cfRule>
    <cfRule type="containsText" dxfId="660" priority="432" operator="containsText" text="Lil MissyElliot Big Paycheck">
      <formula>NOT(ISERROR(SEARCH("Lil MissyElliot Big Paycheck",C28)))</formula>
    </cfRule>
    <cfRule type="containsText" dxfId="659" priority="433" operator="containsText" text="Victory Shawarma">
      <formula>NOT(ISERROR(SEARCH("Victory Shawarma",C28)))</formula>
    </cfRule>
    <cfRule type="containsText" dxfId="658" priority="434" operator="containsText" text="US Skol Command">
      <formula>NOT(ISERROR(SEARCH("US Skol Command",C28)))</formula>
    </cfRule>
    <cfRule type="containsText" dxfId="657" priority="435" operator="containsText" text="THE SUBMISSIVE SUBMARINE  ">
      <formula>NOT(ISERROR(SEARCH("THE SUBMISSIVE SUBMARINE  ",C28)))</formula>
    </cfRule>
  </conditionalFormatting>
  <conditionalFormatting sqref="B31">
    <cfRule type="containsText" dxfId="656" priority="404" operator="containsText" text="Gronks Retiremnt Party">
      <formula>NOT(ISERROR(SEARCH("Gronks Retiremnt Party",B31)))</formula>
    </cfRule>
    <cfRule type="containsText" dxfId="655" priority="405" operator="containsText" text="PK's Wet Dream Fantasy">
      <formula>NOT(ISERROR(SEARCH("PK's Wet Dream Fantasy",B31)))</formula>
    </cfRule>
    <cfRule type="containsText" dxfId="654" priority="406" operator="containsText" text="Goulden Johnson Morning Woods">
      <formula>NOT(ISERROR(SEARCH("Goulden Johnson Morning Woods",B31)))</formula>
    </cfRule>
    <cfRule type="containsText" dxfId="653" priority="407" operator="containsText" text="Da Adams Family">
      <formula>NOT(ISERROR(SEARCH("Da Adams Family",B31)))</formula>
    </cfRule>
    <cfRule type="containsText" dxfId="652" priority="408" operator="containsText" text="Benny’s Baby Back Bitches">
      <formula>NOT(ISERROR(SEARCH("Benny’s Baby Back Bitches",B31)))</formula>
    </cfRule>
    <cfRule type="containsText" dxfId="651" priority="409" operator="containsText" text="DJ Chark Doo Doo Doo Doo">
      <formula>NOT(ISERROR(SEARCH("DJ Chark Doo Doo Doo Doo",B31)))</formula>
    </cfRule>
    <cfRule type="containsText" dxfId="650" priority="410" operator="containsText" text="Pansexual Dead Bird Dildo">
      <formula>NOT(ISERROR(SEARCH("Pansexual Dead Bird Dildo",B31)))</formula>
    </cfRule>
    <cfRule type="containsText" dxfId="649" priority="411" operator="containsText" text="Lick My Lutz N’ Jack Me Goff">
      <formula>NOT(ISERROR(SEARCH("Lick My Lutz N’ Jack Me Goff",B31)))</formula>
    </cfRule>
    <cfRule type="containsText" dxfId="648" priority="412" operator="containsText" text="Canary In A Coleman">
      <formula>NOT(ISERROR(SEARCH("Canary In A Coleman",B31)))</formula>
    </cfRule>
    <cfRule type="containsText" dxfId="647" priority="413" operator="containsText" text="No Good Car Ideas">
      <formula>NOT(ISERROR(SEARCH("No Good Car Ideas",B31)))</formula>
    </cfRule>
    <cfRule type="containsText" dxfId="646" priority="414" operator="containsText" text="Quadsratic Formula">
      <formula>NOT(ISERROR(SEARCH("Quadsratic Formula",B31)))</formula>
    </cfRule>
    <cfRule type="containsText" dxfId="645" priority="415" operator="containsText" text="Carolina Colitis">
      <formula>NOT(ISERROR(SEARCH("Carolina Colitis",B31)))</formula>
    </cfRule>
    <cfRule type="containsText" dxfId="644" priority="416" operator="containsText" text="Lil MissyElliot Big Paycheck">
      <formula>NOT(ISERROR(SEARCH("Lil MissyElliot Big Paycheck",B31)))</formula>
    </cfRule>
    <cfRule type="containsText" dxfId="643" priority="417" operator="containsText" text="Victory Shawarma">
      <formula>NOT(ISERROR(SEARCH("Victory Shawarma",B31)))</formula>
    </cfRule>
    <cfRule type="containsText" dxfId="642" priority="418" operator="containsText" text="US Skol Command">
      <formula>NOT(ISERROR(SEARCH("US Skol Command",B31)))</formula>
    </cfRule>
    <cfRule type="containsText" dxfId="641" priority="419" operator="containsText" text="THE SUBMISSIVE SUBMARINE  ">
      <formula>NOT(ISERROR(SEARCH("THE SUBMISSIVE SUBMARINE  ",B31)))</formula>
    </cfRule>
  </conditionalFormatting>
  <conditionalFormatting sqref="B33">
    <cfRule type="containsText" dxfId="640" priority="388" operator="containsText" text="Gronks Retiremnt Party">
      <formula>NOT(ISERROR(SEARCH("Gronks Retiremnt Party",B33)))</formula>
    </cfRule>
    <cfRule type="containsText" dxfId="639" priority="389" operator="containsText" text="PK's Wet Dream Fantasy">
      <formula>NOT(ISERROR(SEARCH("PK's Wet Dream Fantasy",B33)))</formula>
    </cfRule>
    <cfRule type="containsText" dxfId="638" priority="390" operator="containsText" text="Goulden Johnson Morning Woods">
      <formula>NOT(ISERROR(SEARCH("Goulden Johnson Morning Woods",B33)))</formula>
    </cfRule>
    <cfRule type="containsText" dxfId="637" priority="391" operator="containsText" text="Da Adams Family">
      <formula>NOT(ISERROR(SEARCH("Da Adams Family",B33)))</formula>
    </cfRule>
    <cfRule type="containsText" dxfId="636" priority="392" operator="containsText" text="Benny’s Baby Back Bitches">
      <formula>NOT(ISERROR(SEARCH("Benny’s Baby Back Bitches",B33)))</formula>
    </cfRule>
    <cfRule type="containsText" dxfId="635" priority="393" operator="containsText" text="DJ Chark Doo Doo Doo Doo">
      <formula>NOT(ISERROR(SEARCH("DJ Chark Doo Doo Doo Doo",B33)))</formula>
    </cfRule>
    <cfRule type="containsText" dxfId="634" priority="394" operator="containsText" text="Pansexual Dead Bird Dildo">
      <formula>NOT(ISERROR(SEARCH("Pansexual Dead Bird Dildo",B33)))</formula>
    </cfRule>
    <cfRule type="containsText" dxfId="633" priority="395" operator="containsText" text="Lick My Lutz N’ Jack Me Goff">
      <formula>NOT(ISERROR(SEARCH("Lick My Lutz N’ Jack Me Goff",B33)))</formula>
    </cfRule>
    <cfRule type="containsText" dxfId="632" priority="396" operator="containsText" text="Canary In A Coleman">
      <formula>NOT(ISERROR(SEARCH("Canary In A Coleman",B33)))</formula>
    </cfRule>
    <cfRule type="containsText" dxfId="631" priority="397" operator="containsText" text="No Good Car Ideas">
      <formula>NOT(ISERROR(SEARCH("No Good Car Ideas",B33)))</formula>
    </cfRule>
    <cfRule type="containsText" dxfId="630" priority="398" operator="containsText" text="Quadsratic Formula">
      <formula>NOT(ISERROR(SEARCH("Quadsratic Formula",B33)))</formula>
    </cfRule>
    <cfRule type="containsText" dxfId="629" priority="399" operator="containsText" text="Carolina Colitis">
      <formula>NOT(ISERROR(SEARCH("Carolina Colitis",B33)))</formula>
    </cfRule>
    <cfRule type="containsText" dxfId="628" priority="400" operator="containsText" text="Lil MissyElliot Big Paycheck">
      <formula>NOT(ISERROR(SEARCH("Lil MissyElliot Big Paycheck",B33)))</formula>
    </cfRule>
    <cfRule type="containsText" dxfId="627" priority="401" operator="containsText" text="Victory Shawarma">
      <formula>NOT(ISERROR(SEARCH("Victory Shawarma",B33)))</formula>
    </cfRule>
    <cfRule type="containsText" dxfId="626" priority="402" operator="containsText" text="US Skol Command">
      <formula>NOT(ISERROR(SEARCH("US Skol Command",B33)))</formula>
    </cfRule>
    <cfRule type="containsText" dxfId="625" priority="403" operator="containsText" text="THE SUBMISSIVE SUBMARINE  ">
      <formula>NOT(ISERROR(SEARCH("THE SUBMISSIVE SUBMARINE  ",B33)))</formula>
    </cfRule>
  </conditionalFormatting>
  <conditionalFormatting sqref="B32">
    <cfRule type="containsText" dxfId="624" priority="372" operator="containsText" text="Gronks Retiremnt Party">
      <formula>NOT(ISERROR(SEARCH("Gronks Retiremnt Party",B32)))</formula>
    </cfRule>
    <cfRule type="containsText" dxfId="623" priority="373" operator="containsText" text="PK's Wet Dream Fantasy">
      <formula>NOT(ISERROR(SEARCH("PK's Wet Dream Fantasy",B32)))</formula>
    </cfRule>
    <cfRule type="containsText" dxfId="622" priority="374" operator="containsText" text="Goulden Johnson Morning Woods">
      <formula>NOT(ISERROR(SEARCH("Goulden Johnson Morning Woods",B32)))</formula>
    </cfRule>
    <cfRule type="containsText" dxfId="621" priority="375" operator="containsText" text="Da Adams Family">
      <formula>NOT(ISERROR(SEARCH("Da Adams Family",B32)))</formula>
    </cfRule>
    <cfRule type="containsText" dxfId="620" priority="376" operator="containsText" text="Benny’s Baby Back Bitches">
      <formula>NOT(ISERROR(SEARCH("Benny’s Baby Back Bitches",B32)))</formula>
    </cfRule>
    <cfRule type="containsText" dxfId="619" priority="377" operator="containsText" text="DJ Chark Doo Doo Doo Doo">
      <formula>NOT(ISERROR(SEARCH("DJ Chark Doo Doo Doo Doo",B32)))</formula>
    </cfRule>
    <cfRule type="containsText" dxfId="618" priority="378" operator="containsText" text="Pansexual Dead Bird Dildo">
      <formula>NOT(ISERROR(SEARCH("Pansexual Dead Bird Dildo",B32)))</formula>
    </cfRule>
    <cfRule type="containsText" dxfId="617" priority="379" operator="containsText" text="Lick My Lutz N’ Jack Me Goff">
      <formula>NOT(ISERROR(SEARCH("Lick My Lutz N’ Jack Me Goff",B32)))</formula>
    </cfRule>
    <cfRule type="containsText" dxfId="616" priority="380" operator="containsText" text="Canary In A Coleman">
      <formula>NOT(ISERROR(SEARCH("Canary In A Coleman",B32)))</formula>
    </cfRule>
    <cfRule type="containsText" dxfId="615" priority="381" operator="containsText" text="No Good Car Ideas">
      <formula>NOT(ISERROR(SEARCH("No Good Car Ideas",B32)))</formula>
    </cfRule>
    <cfRule type="containsText" dxfId="614" priority="382" operator="containsText" text="Quadsratic Formula">
      <formula>NOT(ISERROR(SEARCH("Quadsratic Formula",B32)))</formula>
    </cfRule>
    <cfRule type="containsText" dxfId="613" priority="383" operator="containsText" text="Carolina Colitis">
      <formula>NOT(ISERROR(SEARCH("Carolina Colitis",B32)))</formula>
    </cfRule>
    <cfRule type="containsText" dxfId="612" priority="384" operator="containsText" text="Lil MissyElliot Big Paycheck">
      <formula>NOT(ISERROR(SEARCH("Lil MissyElliot Big Paycheck",B32)))</formula>
    </cfRule>
    <cfRule type="containsText" dxfId="611" priority="385" operator="containsText" text="Victory Shawarma">
      <formula>NOT(ISERROR(SEARCH("Victory Shawarma",B32)))</formula>
    </cfRule>
    <cfRule type="containsText" dxfId="610" priority="386" operator="containsText" text="US Skol Command">
      <formula>NOT(ISERROR(SEARCH("US Skol Command",B32)))</formula>
    </cfRule>
    <cfRule type="containsText" dxfId="609" priority="387" operator="containsText" text="THE SUBMISSIVE SUBMARINE  ">
      <formula>NOT(ISERROR(SEARCH("THE SUBMISSIVE SUBMARINE  ",B32)))</formula>
    </cfRule>
  </conditionalFormatting>
  <conditionalFormatting sqref="C56:C57 C61:C71 C93:C103 C152:C153 C157:C167">
    <cfRule type="containsText" dxfId="608" priority="356" operator="containsText" text="Gronks Retiremnt Party">
      <formula>NOT(ISERROR(SEARCH("Gronks Retiremnt Party",C56)))</formula>
    </cfRule>
    <cfRule type="containsText" dxfId="607" priority="357" operator="containsText" text="PK's Wet Dream Fantasy">
      <formula>NOT(ISERROR(SEARCH("PK's Wet Dream Fantasy",C56)))</formula>
    </cfRule>
    <cfRule type="containsText" dxfId="606" priority="358" operator="containsText" text="Goulden Johnson Morning Woods">
      <formula>NOT(ISERROR(SEARCH("Goulden Johnson Morning Woods",C56)))</formula>
    </cfRule>
    <cfRule type="containsText" dxfId="605" priority="359" operator="containsText" text="Da Adams Family">
      <formula>NOT(ISERROR(SEARCH("Da Adams Family",C56)))</formula>
    </cfRule>
    <cfRule type="containsText" dxfId="604" priority="360" operator="containsText" text="Benny’s Baby Back Bitches">
      <formula>NOT(ISERROR(SEARCH("Benny’s Baby Back Bitches",C56)))</formula>
    </cfRule>
    <cfRule type="containsText" dxfId="603" priority="361" operator="containsText" text="DJ Chark Doo Doo Doo Doo">
      <formula>NOT(ISERROR(SEARCH("DJ Chark Doo Doo Doo Doo",C56)))</formula>
    </cfRule>
    <cfRule type="containsText" dxfId="602" priority="362" operator="containsText" text="Pansexual Dead Bird Dildo">
      <formula>NOT(ISERROR(SEARCH("Pansexual Dead Bird Dildo",C56)))</formula>
    </cfRule>
    <cfRule type="containsText" dxfId="601" priority="363" operator="containsText" text="Lick My Lutz N’ Jack Me Goff">
      <formula>NOT(ISERROR(SEARCH("Lick My Lutz N’ Jack Me Goff",C56)))</formula>
    </cfRule>
    <cfRule type="containsText" dxfId="600" priority="364" operator="containsText" text="Canary In A Coleman">
      <formula>NOT(ISERROR(SEARCH("Canary In A Coleman",C56)))</formula>
    </cfRule>
    <cfRule type="containsText" dxfId="599" priority="365" operator="containsText" text="No Good Car Ideas">
      <formula>NOT(ISERROR(SEARCH("No Good Car Ideas",C56)))</formula>
    </cfRule>
    <cfRule type="containsText" dxfId="598" priority="366" operator="containsText" text="Quadsratic Formula">
      <formula>NOT(ISERROR(SEARCH("Quadsratic Formula",C56)))</formula>
    </cfRule>
    <cfRule type="containsText" dxfId="597" priority="367" operator="containsText" text="Carolina Colitis">
      <formula>NOT(ISERROR(SEARCH("Carolina Colitis",C56)))</formula>
    </cfRule>
    <cfRule type="containsText" dxfId="596" priority="368" operator="containsText" text="Lil MissyElliot Big Paycheck">
      <formula>NOT(ISERROR(SEARCH("Lil MissyElliot Big Paycheck",C56)))</formula>
    </cfRule>
    <cfRule type="containsText" dxfId="595" priority="369" operator="containsText" text="Victory Shawarma">
      <formula>NOT(ISERROR(SEARCH("Victory Shawarma",C56)))</formula>
    </cfRule>
    <cfRule type="containsText" dxfId="594" priority="370" operator="containsText" text="US Skol Command">
      <formula>NOT(ISERROR(SEARCH("US Skol Command",C56)))</formula>
    </cfRule>
    <cfRule type="containsText" dxfId="593" priority="371" operator="containsText" text="THE SUBMISSIVE SUBMARINE  ">
      <formula>NOT(ISERROR(SEARCH("THE SUBMISSIVE SUBMARINE  ",C56)))</formula>
    </cfRule>
  </conditionalFormatting>
  <conditionalFormatting sqref="D56:D167">
    <cfRule type="containsText" dxfId="592" priority="355" operator="containsText" text="DNP">
      <formula>NOT(ISERROR(SEARCH("DNP",D56)))</formula>
    </cfRule>
  </conditionalFormatting>
  <conditionalFormatting sqref="C72:C73 C77:C87">
    <cfRule type="containsText" dxfId="591" priority="339" operator="containsText" text="Gronks Retiremnt Party">
      <formula>NOT(ISERROR(SEARCH("Gronks Retiremnt Party",C72)))</formula>
    </cfRule>
    <cfRule type="containsText" dxfId="590" priority="340" operator="containsText" text="PK's Wet Dream Fantasy">
      <formula>NOT(ISERROR(SEARCH("PK's Wet Dream Fantasy",C72)))</formula>
    </cfRule>
    <cfRule type="containsText" dxfId="589" priority="341" operator="containsText" text="Goulden Johnson Morning Woods">
      <formula>NOT(ISERROR(SEARCH("Goulden Johnson Morning Woods",C72)))</formula>
    </cfRule>
    <cfRule type="containsText" dxfId="588" priority="342" operator="containsText" text="Da Adams Family">
      <formula>NOT(ISERROR(SEARCH("Da Adams Family",C72)))</formula>
    </cfRule>
    <cfRule type="containsText" dxfId="587" priority="343" operator="containsText" text="Benny’s Baby Back Bitches">
      <formula>NOT(ISERROR(SEARCH("Benny’s Baby Back Bitches",C72)))</formula>
    </cfRule>
    <cfRule type="containsText" dxfId="586" priority="344" operator="containsText" text="DJ Chark Doo Doo Doo Doo">
      <formula>NOT(ISERROR(SEARCH("DJ Chark Doo Doo Doo Doo",C72)))</formula>
    </cfRule>
    <cfRule type="containsText" dxfId="585" priority="345" operator="containsText" text="Pansexual Dead Bird Dildo">
      <formula>NOT(ISERROR(SEARCH("Pansexual Dead Bird Dildo",C72)))</formula>
    </cfRule>
    <cfRule type="containsText" dxfId="584" priority="346" operator="containsText" text="Lick My Lutz N’ Jack Me Goff">
      <formula>NOT(ISERROR(SEARCH("Lick My Lutz N’ Jack Me Goff",C72)))</formula>
    </cfRule>
    <cfRule type="containsText" dxfId="583" priority="347" operator="containsText" text="Canary In A Coleman">
      <formula>NOT(ISERROR(SEARCH("Canary In A Coleman",C72)))</formula>
    </cfRule>
    <cfRule type="containsText" dxfId="582" priority="348" operator="containsText" text="No Good Car Ideas">
      <formula>NOT(ISERROR(SEARCH("No Good Car Ideas",C72)))</formula>
    </cfRule>
    <cfRule type="containsText" dxfId="581" priority="349" operator="containsText" text="Quadsratic Formula">
      <formula>NOT(ISERROR(SEARCH("Quadsratic Formula",C72)))</formula>
    </cfRule>
    <cfRule type="containsText" dxfId="580" priority="350" operator="containsText" text="Carolina Colitis">
      <formula>NOT(ISERROR(SEARCH("Carolina Colitis",C72)))</formula>
    </cfRule>
    <cfRule type="containsText" dxfId="579" priority="351" operator="containsText" text="Lil MissyElliot Big Paycheck">
      <formula>NOT(ISERROR(SEARCH("Lil MissyElliot Big Paycheck",C72)))</formula>
    </cfRule>
    <cfRule type="containsText" dxfId="578" priority="352" operator="containsText" text="Victory Shawarma">
      <formula>NOT(ISERROR(SEARCH("Victory Shawarma",C72)))</formula>
    </cfRule>
    <cfRule type="containsText" dxfId="577" priority="353" operator="containsText" text="US Skol Command">
      <formula>NOT(ISERROR(SEARCH("US Skol Command",C72)))</formula>
    </cfRule>
    <cfRule type="containsText" dxfId="576" priority="354" operator="containsText" text="THE SUBMISSIVE SUBMARINE  ">
      <formula>NOT(ISERROR(SEARCH("THE SUBMISSIVE SUBMARINE  ",C72)))</formula>
    </cfRule>
  </conditionalFormatting>
  <conditionalFormatting sqref="B88">
    <cfRule type="containsText" dxfId="575" priority="323" operator="containsText" text="Gronks Retiremnt Party">
      <formula>NOT(ISERROR(SEARCH("Gronks Retiremnt Party",B88)))</formula>
    </cfRule>
    <cfRule type="containsText" dxfId="574" priority="324" operator="containsText" text="PK's Wet Dream Fantasy">
      <formula>NOT(ISERROR(SEARCH("PK's Wet Dream Fantasy",B88)))</formula>
    </cfRule>
    <cfRule type="containsText" dxfId="573" priority="325" operator="containsText" text="Goulden Johnson Morning Woods">
      <formula>NOT(ISERROR(SEARCH("Goulden Johnson Morning Woods",B88)))</formula>
    </cfRule>
    <cfRule type="containsText" dxfId="572" priority="326" operator="containsText" text="Da Adams Family">
      <formula>NOT(ISERROR(SEARCH("Da Adams Family",B88)))</formula>
    </cfRule>
    <cfRule type="containsText" dxfId="571" priority="327" operator="containsText" text="Benny’s Baby Back Bitches">
      <formula>NOT(ISERROR(SEARCH("Benny’s Baby Back Bitches",B88)))</formula>
    </cfRule>
    <cfRule type="containsText" dxfId="570" priority="328" operator="containsText" text="DJ Chark Doo Doo Doo Doo">
      <formula>NOT(ISERROR(SEARCH("DJ Chark Doo Doo Doo Doo",B88)))</formula>
    </cfRule>
    <cfRule type="containsText" dxfId="569" priority="329" operator="containsText" text="Pansexual Dead Bird Dildo">
      <formula>NOT(ISERROR(SEARCH("Pansexual Dead Bird Dildo",B88)))</formula>
    </cfRule>
    <cfRule type="containsText" dxfId="568" priority="330" operator="containsText" text="Lick My Lutz N’ Jack Me Goff">
      <formula>NOT(ISERROR(SEARCH("Lick My Lutz N’ Jack Me Goff",B88)))</formula>
    </cfRule>
    <cfRule type="containsText" dxfId="567" priority="331" operator="containsText" text="Canary In A Coleman">
      <formula>NOT(ISERROR(SEARCH("Canary In A Coleman",B88)))</formula>
    </cfRule>
    <cfRule type="containsText" dxfId="566" priority="332" operator="containsText" text="No Good Car Ideas">
      <formula>NOT(ISERROR(SEARCH("No Good Car Ideas",B88)))</formula>
    </cfRule>
    <cfRule type="containsText" dxfId="565" priority="333" operator="containsText" text="Quadsratic Formula">
      <formula>NOT(ISERROR(SEARCH("Quadsratic Formula",B88)))</formula>
    </cfRule>
    <cfRule type="containsText" dxfId="564" priority="334" operator="containsText" text="Carolina Colitis">
      <formula>NOT(ISERROR(SEARCH("Carolina Colitis",B88)))</formula>
    </cfRule>
    <cfRule type="containsText" dxfId="563" priority="335" operator="containsText" text="Lil MissyElliot Big Paycheck">
      <formula>NOT(ISERROR(SEARCH("Lil MissyElliot Big Paycheck",B88)))</formula>
    </cfRule>
    <cfRule type="containsText" dxfId="562" priority="336" operator="containsText" text="Victory Shawarma">
      <formula>NOT(ISERROR(SEARCH("Victory Shawarma",B88)))</formula>
    </cfRule>
    <cfRule type="containsText" dxfId="561" priority="337" operator="containsText" text="US Skol Command">
      <formula>NOT(ISERROR(SEARCH("US Skol Command",B88)))</formula>
    </cfRule>
    <cfRule type="containsText" dxfId="560" priority="338" operator="containsText" text="THE SUBMISSIVE SUBMARINE  ">
      <formula>NOT(ISERROR(SEARCH("THE SUBMISSIVE SUBMARINE  ",B88)))</formula>
    </cfRule>
  </conditionalFormatting>
  <conditionalFormatting sqref="B90">
    <cfRule type="containsText" dxfId="559" priority="307" operator="containsText" text="Gronks Retiremnt Party">
      <formula>NOT(ISERROR(SEARCH("Gronks Retiremnt Party",B90)))</formula>
    </cfRule>
    <cfRule type="containsText" dxfId="558" priority="308" operator="containsText" text="PK's Wet Dream Fantasy">
      <formula>NOT(ISERROR(SEARCH("PK's Wet Dream Fantasy",B90)))</formula>
    </cfRule>
    <cfRule type="containsText" dxfId="557" priority="309" operator="containsText" text="Goulden Johnson Morning Woods">
      <formula>NOT(ISERROR(SEARCH("Goulden Johnson Morning Woods",B90)))</formula>
    </cfRule>
    <cfRule type="containsText" dxfId="556" priority="310" operator="containsText" text="Da Adams Family">
      <formula>NOT(ISERROR(SEARCH("Da Adams Family",B90)))</formula>
    </cfRule>
    <cfRule type="containsText" dxfId="555" priority="311" operator="containsText" text="Benny’s Baby Back Bitches">
      <formula>NOT(ISERROR(SEARCH("Benny’s Baby Back Bitches",B90)))</formula>
    </cfRule>
    <cfRule type="containsText" dxfId="554" priority="312" operator="containsText" text="DJ Chark Doo Doo Doo Doo">
      <formula>NOT(ISERROR(SEARCH("DJ Chark Doo Doo Doo Doo",B90)))</formula>
    </cfRule>
    <cfRule type="containsText" dxfId="553" priority="313" operator="containsText" text="Pansexual Dead Bird Dildo">
      <formula>NOT(ISERROR(SEARCH("Pansexual Dead Bird Dildo",B90)))</formula>
    </cfRule>
    <cfRule type="containsText" dxfId="552" priority="314" operator="containsText" text="Lick My Lutz N’ Jack Me Goff">
      <formula>NOT(ISERROR(SEARCH("Lick My Lutz N’ Jack Me Goff",B90)))</formula>
    </cfRule>
    <cfRule type="containsText" dxfId="551" priority="315" operator="containsText" text="Canary In A Coleman">
      <formula>NOT(ISERROR(SEARCH("Canary In A Coleman",B90)))</formula>
    </cfRule>
    <cfRule type="containsText" dxfId="550" priority="316" operator="containsText" text="No Good Car Ideas">
      <formula>NOT(ISERROR(SEARCH("No Good Car Ideas",B90)))</formula>
    </cfRule>
    <cfRule type="containsText" dxfId="549" priority="317" operator="containsText" text="Quadsratic Formula">
      <formula>NOT(ISERROR(SEARCH("Quadsratic Formula",B90)))</formula>
    </cfRule>
    <cfRule type="containsText" dxfId="548" priority="318" operator="containsText" text="Carolina Colitis">
      <formula>NOT(ISERROR(SEARCH("Carolina Colitis",B90)))</formula>
    </cfRule>
    <cfRule type="containsText" dxfId="547" priority="319" operator="containsText" text="Lil MissyElliot Big Paycheck">
      <formula>NOT(ISERROR(SEARCH("Lil MissyElliot Big Paycheck",B90)))</formula>
    </cfRule>
    <cfRule type="containsText" dxfId="546" priority="320" operator="containsText" text="Victory Shawarma">
      <formula>NOT(ISERROR(SEARCH("Victory Shawarma",B90)))</formula>
    </cfRule>
    <cfRule type="containsText" dxfId="545" priority="321" operator="containsText" text="US Skol Command">
      <formula>NOT(ISERROR(SEARCH("US Skol Command",B90)))</formula>
    </cfRule>
    <cfRule type="containsText" dxfId="544" priority="322" operator="containsText" text="THE SUBMISSIVE SUBMARINE  ">
      <formula>NOT(ISERROR(SEARCH("THE SUBMISSIVE SUBMARINE  ",B90)))</formula>
    </cfRule>
  </conditionalFormatting>
  <conditionalFormatting sqref="B89">
    <cfRule type="containsText" dxfId="543" priority="291" operator="containsText" text="Gronks Retiremnt Party">
      <formula>NOT(ISERROR(SEARCH("Gronks Retiremnt Party",B89)))</formula>
    </cfRule>
    <cfRule type="containsText" dxfId="542" priority="292" operator="containsText" text="PK's Wet Dream Fantasy">
      <formula>NOT(ISERROR(SEARCH("PK's Wet Dream Fantasy",B89)))</formula>
    </cfRule>
    <cfRule type="containsText" dxfId="541" priority="293" operator="containsText" text="Goulden Johnson Morning Woods">
      <formula>NOT(ISERROR(SEARCH("Goulden Johnson Morning Woods",B89)))</formula>
    </cfRule>
    <cfRule type="containsText" dxfId="540" priority="294" operator="containsText" text="Da Adams Family">
      <formula>NOT(ISERROR(SEARCH("Da Adams Family",B89)))</formula>
    </cfRule>
    <cfRule type="containsText" dxfId="539" priority="295" operator="containsText" text="Benny’s Baby Back Bitches">
      <formula>NOT(ISERROR(SEARCH("Benny’s Baby Back Bitches",B89)))</formula>
    </cfRule>
    <cfRule type="containsText" dxfId="538" priority="296" operator="containsText" text="DJ Chark Doo Doo Doo Doo">
      <formula>NOT(ISERROR(SEARCH("DJ Chark Doo Doo Doo Doo",B89)))</formula>
    </cfRule>
    <cfRule type="containsText" dxfId="537" priority="297" operator="containsText" text="Pansexual Dead Bird Dildo">
      <formula>NOT(ISERROR(SEARCH("Pansexual Dead Bird Dildo",B89)))</formula>
    </cfRule>
    <cfRule type="containsText" dxfId="536" priority="298" operator="containsText" text="Lick My Lutz N’ Jack Me Goff">
      <formula>NOT(ISERROR(SEARCH("Lick My Lutz N’ Jack Me Goff",B89)))</formula>
    </cfRule>
    <cfRule type="containsText" dxfId="535" priority="299" operator="containsText" text="Canary In A Coleman">
      <formula>NOT(ISERROR(SEARCH("Canary In A Coleman",B89)))</formula>
    </cfRule>
    <cfRule type="containsText" dxfId="534" priority="300" operator="containsText" text="No Good Car Ideas">
      <formula>NOT(ISERROR(SEARCH("No Good Car Ideas",B89)))</formula>
    </cfRule>
    <cfRule type="containsText" dxfId="533" priority="301" operator="containsText" text="Quadsratic Formula">
      <formula>NOT(ISERROR(SEARCH("Quadsratic Formula",B89)))</formula>
    </cfRule>
    <cfRule type="containsText" dxfId="532" priority="302" operator="containsText" text="Carolina Colitis">
      <formula>NOT(ISERROR(SEARCH("Carolina Colitis",B89)))</formula>
    </cfRule>
    <cfRule type="containsText" dxfId="531" priority="303" operator="containsText" text="Lil MissyElliot Big Paycheck">
      <formula>NOT(ISERROR(SEARCH("Lil MissyElliot Big Paycheck",B89)))</formula>
    </cfRule>
    <cfRule type="containsText" dxfId="530" priority="304" operator="containsText" text="Victory Shawarma">
      <formula>NOT(ISERROR(SEARCH("Victory Shawarma",B89)))</formula>
    </cfRule>
    <cfRule type="containsText" dxfId="529" priority="305" operator="containsText" text="US Skol Command">
      <formula>NOT(ISERROR(SEARCH("US Skol Command",B89)))</formula>
    </cfRule>
    <cfRule type="containsText" dxfId="528" priority="306" operator="containsText" text="THE SUBMISSIVE SUBMARINE  ">
      <formula>NOT(ISERROR(SEARCH("THE SUBMISSIVE SUBMARINE  ",B89)))</formula>
    </cfRule>
  </conditionalFormatting>
  <conditionalFormatting sqref="C109:C119">
    <cfRule type="containsText" dxfId="527" priority="275" operator="containsText" text="Gronks Retiremnt Party">
      <formula>NOT(ISERROR(SEARCH("Gronks Retiremnt Party",C109)))</formula>
    </cfRule>
    <cfRule type="containsText" dxfId="526" priority="276" operator="containsText" text="PK's Wet Dream Fantasy">
      <formula>NOT(ISERROR(SEARCH("PK's Wet Dream Fantasy",C109)))</formula>
    </cfRule>
    <cfRule type="containsText" dxfId="525" priority="277" operator="containsText" text="Goulden Johnson Morning Woods">
      <formula>NOT(ISERROR(SEARCH("Goulden Johnson Morning Woods",C109)))</formula>
    </cfRule>
    <cfRule type="containsText" dxfId="524" priority="278" operator="containsText" text="Da Adams Family">
      <formula>NOT(ISERROR(SEARCH("Da Adams Family",C109)))</formula>
    </cfRule>
    <cfRule type="containsText" dxfId="523" priority="279" operator="containsText" text="Benny’s Baby Back Bitches">
      <formula>NOT(ISERROR(SEARCH("Benny’s Baby Back Bitches",C109)))</formula>
    </cfRule>
    <cfRule type="containsText" dxfId="522" priority="280" operator="containsText" text="DJ Chark Doo Doo Doo Doo">
      <formula>NOT(ISERROR(SEARCH("DJ Chark Doo Doo Doo Doo",C109)))</formula>
    </cfRule>
    <cfRule type="containsText" dxfId="521" priority="281" operator="containsText" text="Pansexual Dead Bird Dildo">
      <formula>NOT(ISERROR(SEARCH("Pansexual Dead Bird Dildo",C109)))</formula>
    </cfRule>
    <cfRule type="containsText" dxfId="520" priority="282" operator="containsText" text="Lick My Lutz N’ Jack Me Goff">
      <formula>NOT(ISERROR(SEARCH("Lick My Lutz N’ Jack Me Goff",C109)))</formula>
    </cfRule>
    <cfRule type="containsText" dxfId="519" priority="283" operator="containsText" text="Canary In A Coleman">
      <formula>NOT(ISERROR(SEARCH("Canary In A Coleman",C109)))</formula>
    </cfRule>
    <cfRule type="containsText" dxfId="518" priority="284" operator="containsText" text="No Good Car Ideas">
      <formula>NOT(ISERROR(SEARCH("No Good Car Ideas",C109)))</formula>
    </cfRule>
    <cfRule type="containsText" dxfId="517" priority="285" operator="containsText" text="Quadsratic Formula">
      <formula>NOT(ISERROR(SEARCH("Quadsratic Formula",C109)))</formula>
    </cfRule>
    <cfRule type="containsText" dxfId="516" priority="286" operator="containsText" text="Carolina Colitis">
      <formula>NOT(ISERROR(SEARCH("Carolina Colitis",C109)))</formula>
    </cfRule>
    <cfRule type="containsText" dxfId="515" priority="287" operator="containsText" text="Lil MissyElliot Big Paycheck">
      <formula>NOT(ISERROR(SEARCH("Lil MissyElliot Big Paycheck",C109)))</formula>
    </cfRule>
    <cfRule type="containsText" dxfId="514" priority="288" operator="containsText" text="Victory Shawarma">
      <formula>NOT(ISERROR(SEARCH("Victory Shawarma",C109)))</formula>
    </cfRule>
    <cfRule type="containsText" dxfId="513" priority="289" operator="containsText" text="US Skol Command">
      <formula>NOT(ISERROR(SEARCH("US Skol Command",C109)))</formula>
    </cfRule>
    <cfRule type="containsText" dxfId="512" priority="290" operator="containsText" text="THE SUBMISSIVE SUBMARINE  ">
      <formula>NOT(ISERROR(SEARCH("THE SUBMISSIVE SUBMARINE  ",C109)))</formula>
    </cfRule>
  </conditionalFormatting>
  <conditionalFormatting sqref="C125:C135">
    <cfRule type="containsText" dxfId="511" priority="259" operator="containsText" text="Gronks Retiremnt Party">
      <formula>NOT(ISERROR(SEARCH("Gronks Retiremnt Party",C125)))</formula>
    </cfRule>
    <cfRule type="containsText" dxfId="510" priority="260" operator="containsText" text="PK's Wet Dream Fantasy">
      <formula>NOT(ISERROR(SEARCH("PK's Wet Dream Fantasy",C125)))</formula>
    </cfRule>
    <cfRule type="containsText" dxfId="509" priority="261" operator="containsText" text="Goulden Johnson Morning Woods">
      <formula>NOT(ISERROR(SEARCH("Goulden Johnson Morning Woods",C125)))</formula>
    </cfRule>
    <cfRule type="containsText" dxfId="508" priority="262" operator="containsText" text="Da Adams Family">
      <formula>NOT(ISERROR(SEARCH("Da Adams Family",C125)))</formula>
    </cfRule>
    <cfRule type="containsText" dxfId="507" priority="263" operator="containsText" text="Benny’s Baby Back Bitches">
      <formula>NOT(ISERROR(SEARCH("Benny’s Baby Back Bitches",C125)))</formula>
    </cfRule>
    <cfRule type="containsText" dxfId="506" priority="264" operator="containsText" text="DJ Chark Doo Doo Doo Doo">
      <formula>NOT(ISERROR(SEARCH("DJ Chark Doo Doo Doo Doo",C125)))</formula>
    </cfRule>
    <cfRule type="containsText" dxfId="505" priority="265" operator="containsText" text="Pansexual Dead Bird Dildo">
      <formula>NOT(ISERROR(SEARCH("Pansexual Dead Bird Dildo",C125)))</formula>
    </cfRule>
    <cfRule type="containsText" dxfId="504" priority="266" operator="containsText" text="Lick My Lutz N’ Jack Me Goff">
      <formula>NOT(ISERROR(SEARCH("Lick My Lutz N’ Jack Me Goff",C125)))</formula>
    </cfRule>
    <cfRule type="containsText" dxfId="503" priority="267" operator="containsText" text="Canary In A Coleman">
      <formula>NOT(ISERROR(SEARCH("Canary In A Coleman",C125)))</formula>
    </cfRule>
    <cfRule type="containsText" dxfId="502" priority="268" operator="containsText" text="No Good Car Ideas">
      <formula>NOT(ISERROR(SEARCH("No Good Car Ideas",C125)))</formula>
    </cfRule>
    <cfRule type="containsText" dxfId="501" priority="269" operator="containsText" text="Quadsratic Formula">
      <formula>NOT(ISERROR(SEARCH("Quadsratic Formula",C125)))</formula>
    </cfRule>
    <cfRule type="containsText" dxfId="500" priority="270" operator="containsText" text="Carolina Colitis">
      <formula>NOT(ISERROR(SEARCH("Carolina Colitis",C125)))</formula>
    </cfRule>
    <cfRule type="containsText" dxfId="499" priority="271" operator="containsText" text="Lil MissyElliot Big Paycheck">
      <formula>NOT(ISERROR(SEARCH("Lil MissyElliot Big Paycheck",C125)))</formula>
    </cfRule>
    <cfRule type="containsText" dxfId="498" priority="272" operator="containsText" text="Victory Shawarma">
      <formula>NOT(ISERROR(SEARCH("Victory Shawarma",C125)))</formula>
    </cfRule>
    <cfRule type="containsText" dxfId="497" priority="273" operator="containsText" text="US Skol Command">
      <formula>NOT(ISERROR(SEARCH("US Skol Command",C125)))</formula>
    </cfRule>
    <cfRule type="containsText" dxfId="496" priority="274" operator="containsText" text="THE SUBMISSIVE SUBMARINE  ">
      <formula>NOT(ISERROR(SEARCH("THE SUBMISSIVE SUBMARINE  ",C125)))</formula>
    </cfRule>
  </conditionalFormatting>
  <conditionalFormatting sqref="B120">
    <cfRule type="containsText" dxfId="495" priority="243" operator="containsText" text="Gronks Retiremnt Party">
      <formula>NOT(ISERROR(SEARCH("Gronks Retiremnt Party",B120)))</formula>
    </cfRule>
    <cfRule type="containsText" dxfId="494" priority="244" operator="containsText" text="PK's Wet Dream Fantasy">
      <formula>NOT(ISERROR(SEARCH("PK's Wet Dream Fantasy",B120)))</formula>
    </cfRule>
    <cfRule type="containsText" dxfId="493" priority="245" operator="containsText" text="Goulden Johnson Morning Woods">
      <formula>NOT(ISERROR(SEARCH("Goulden Johnson Morning Woods",B120)))</formula>
    </cfRule>
    <cfRule type="containsText" dxfId="492" priority="246" operator="containsText" text="Da Adams Family">
      <formula>NOT(ISERROR(SEARCH("Da Adams Family",B120)))</formula>
    </cfRule>
    <cfRule type="containsText" dxfId="491" priority="247" operator="containsText" text="Benny’s Baby Back Bitches">
      <formula>NOT(ISERROR(SEARCH("Benny’s Baby Back Bitches",B120)))</formula>
    </cfRule>
    <cfRule type="containsText" dxfId="490" priority="248" operator="containsText" text="DJ Chark Doo Doo Doo Doo">
      <formula>NOT(ISERROR(SEARCH("DJ Chark Doo Doo Doo Doo",B120)))</formula>
    </cfRule>
    <cfRule type="containsText" dxfId="489" priority="249" operator="containsText" text="Pansexual Dead Bird Dildo">
      <formula>NOT(ISERROR(SEARCH("Pansexual Dead Bird Dildo",B120)))</formula>
    </cfRule>
    <cfRule type="containsText" dxfId="488" priority="250" operator="containsText" text="Lick My Lutz N’ Jack Me Goff">
      <formula>NOT(ISERROR(SEARCH("Lick My Lutz N’ Jack Me Goff",B120)))</formula>
    </cfRule>
    <cfRule type="containsText" dxfId="487" priority="251" operator="containsText" text="Canary In A Coleman">
      <formula>NOT(ISERROR(SEARCH("Canary In A Coleman",B120)))</formula>
    </cfRule>
    <cfRule type="containsText" dxfId="486" priority="252" operator="containsText" text="No Good Car Ideas">
      <formula>NOT(ISERROR(SEARCH("No Good Car Ideas",B120)))</formula>
    </cfRule>
    <cfRule type="containsText" dxfId="485" priority="253" operator="containsText" text="Quadsratic Formula">
      <formula>NOT(ISERROR(SEARCH("Quadsratic Formula",B120)))</formula>
    </cfRule>
    <cfRule type="containsText" dxfId="484" priority="254" operator="containsText" text="Carolina Colitis">
      <formula>NOT(ISERROR(SEARCH("Carolina Colitis",B120)))</formula>
    </cfRule>
    <cfRule type="containsText" dxfId="483" priority="255" operator="containsText" text="Lil MissyElliot Big Paycheck">
      <formula>NOT(ISERROR(SEARCH("Lil MissyElliot Big Paycheck",B120)))</formula>
    </cfRule>
    <cfRule type="containsText" dxfId="482" priority="256" operator="containsText" text="Victory Shawarma">
      <formula>NOT(ISERROR(SEARCH("Victory Shawarma",B120)))</formula>
    </cfRule>
    <cfRule type="containsText" dxfId="481" priority="257" operator="containsText" text="US Skol Command">
      <formula>NOT(ISERROR(SEARCH("US Skol Command",B120)))</formula>
    </cfRule>
    <cfRule type="containsText" dxfId="480" priority="258" operator="containsText" text="THE SUBMISSIVE SUBMARINE  ">
      <formula>NOT(ISERROR(SEARCH("THE SUBMISSIVE SUBMARINE  ",B120)))</formula>
    </cfRule>
  </conditionalFormatting>
  <conditionalFormatting sqref="B122">
    <cfRule type="containsText" dxfId="479" priority="227" operator="containsText" text="Gronks Retiremnt Party">
      <formula>NOT(ISERROR(SEARCH("Gronks Retiremnt Party",B122)))</formula>
    </cfRule>
    <cfRule type="containsText" dxfId="478" priority="228" operator="containsText" text="PK's Wet Dream Fantasy">
      <formula>NOT(ISERROR(SEARCH("PK's Wet Dream Fantasy",B122)))</formula>
    </cfRule>
    <cfRule type="containsText" dxfId="477" priority="229" operator="containsText" text="Goulden Johnson Morning Woods">
      <formula>NOT(ISERROR(SEARCH("Goulden Johnson Morning Woods",B122)))</formula>
    </cfRule>
    <cfRule type="containsText" dxfId="476" priority="230" operator="containsText" text="Da Adams Family">
      <formula>NOT(ISERROR(SEARCH("Da Adams Family",B122)))</formula>
    </cfRule>
    <cfRule type="containsText" dxfId="475" priority="231" operator="containsText" text="Benny’s Baby Back Bitches">
      <formula>NOT(ISERROR(SEARCH("Benny’s Baby Back Bitches",B122)))</formula>
    </cfRule>
    <cfRule type="containsText" dxfId="474" priority="232" operator="containsText" text="DJ Chark Doo Doo Doo Doo">
      <formula>NOT(ISERROR(SEARCH("DJ Chark Doo Doo Doo Doo",B122)))</formula>
    </cfRule>
    <cfRule type="containsText" dxfId="473" priority="233" operator="containsText" text="Pansexual Dead Bird Dildo">
      <formula>NOT(ISERROR(SEARCH("Pansexual Dead Bird Dildo",B122)))</formula>
    </cfRule>
    <cfRule type="containsText" dxfId="472" priority="234" operator="containsText" text="Lick My Lutz N’ Jack Me Goff">
      <formula>NOT(ISERROR(SEARCH("Lick My Lutz N’ Jack Me Goff",B122)))</formula>
    </cfRule>
    <cfRule type="containsText" dxfId="471" priority="235" operator="containsText" text="Canary In A Coleman">
      <formula>NOT(ISERROR(SEARCH("Canary In A Coleman",B122)))</formula>
    </cfRule>
    <cfRule type="containsText" dxfId="470" priority="236" operator="containsText" text="No Good Car Ideas">
      <formula>NOT(ISERROR(SEARCH("No Good Car Ideas",B122)))</formula>
    </cfRule>
    <cfRule type="containsText" dxfId="469" priority="237" operator="containsText" text="Quadsratic Formula">
      <formula>NOT(ISERROR(SEARCH("Quadsratic Formula",B122)))</formula>
    </cfRule>
    <cfRule type="containsText" dxfId="468" priority="238" operator="containsText" text="Carolina Colitis">
      <formula>NOT(ISERROR(SEARCH("Carolina Colitis",B122)))</formula>
    </cfRule>
    <cfRule type="containsText" dxfId="467" priority="239" operator="containsText" text="Lil MissyElliot Big Paycheck">
      <formula>NOT(ISERROR(SEARCH("Lil MissyElliot Big Paycheck",B122)))</formula>
    </cfRule>
    <cfRule type="containsText" dxfId="466" priority="240" operator="containsText" text="Victory Shawarma">
      <formula>NOT(ISERROR(SEARCH("Victory Shawarma",B122)))</formula>
    </cfRule>
    <cfRule type="containsText" dxfId="465" priority="241" operator="containsText" text="US Skol Command">
      <formula>NOT(ISERROR(SEARCH("US Skol Command",B122)))</formula>
    </cfRule>
    <cfRule type="containsText" dxfId="464" priority="242" operator="containsText" text="THE SUBMISSIVE SUBMARINE  ">
      <formula>NOT(ISERROR(SEARCH("THE SUBMISSIVE SUBMARINE  ",B122)))</formula>
    </cfRule>
  </conditionalFormatting>
  <conditionalFormatting sqref="B121">
    <cfRule type="containsText" dxfId="463" priority="211" operator="containsText" text="Gronks Retiremnt Party">
      <formula>NOT(ISERROR(SEARCH("Gronks Retiremnt Party",B121)))</formula>
    </cfRule>
    <cfRule type="containsText" dxfId="462" priority="212" operator="containsText" text="PK's Wet Dream Fantasy">
      <formula>NOT(ISERROR(SEARCH("PK's Wet Dream Fantasy",B121)))</formula>
    </cfRule>
    <cfRule type="containsText" dxfId="461" priority="213" operator="containsText" text="Goulden Johnson Morning Woods">
      <formula>NOT(ISERROR(SEARCH("Goulden Johnson Morning Woods",B121)))</formula>
    </cfRule>
    <cfRule type="containsText" dxfId="460" priority="214" operator="containsText" text="Da Adams Family">
      <formula>NOT(ISERROR(SEARCH("Da Adams Family",B121)))</formula>
    </cfRule>
    <cfRule type="containsText" dxfId="459" priority="215" operator="containsText" text="Benny’s Baby Back Bitches">
      <formula>NOT(ISERROR(SEARCH("Benny’s Baby Back Bitches",B121)))</formula>
    </cfRule>
    <cfRule type="containsText" dxfId="458" priority="216" operator="containsText" text="DJ Chark Doo Doo Doo Doo">
      <formula>NOT(ISERROR(SEARCH("DJ Chark Doo Doo Doo Doo",B121)))</formula>
    </cfRule>
    <cfRule type="containsText" dxfId="457" priority="217" operator="containsText" text="Pansexual Dead Bird Dildo">
      <formula>NOT(ISERROR(SEARCH("Pansexual Dead Bird Dildo",B121)))</formula>
    </cfRule>
    <cfRule type="containsText" dxfId="456" priority="218" operator="containsText" text="Lick My Lutz N’ Jack Me Goff">
      <formula>NOT(ISERROR(SEARCH("Lick My Lutz N’ Jack Me Goff",B121)))</formula>
    </cfRule>
    <cfRule type="containsText" dxfId="455" priority="219" operator="containsText" text="Canary In A Coleman">
      <formula>NOT(ISERROR(SEARCH("Canary In A Coleman",B121)))</formula>
    </cfRule>
    <cfRule type="containsText" dxfId="454" priority="220" operator="containsText" text="No Good Car Ideas">
      <formula>NOT(ISERROR(SEARCH("No Good Car Ideas",B121)))</formula>
    </cfRule>
    <cfRule type="containsText" dxfId="453" priority="221" operator="containsText" text="Quadsratic Formula">
      <formula>NOT(ISERROR(SEARCH("Quadsratic Formula",B121)))</formula>
    </cfRule>
    <cfRule type="containsText" dxfId="452" priority="222" operator="containsText" text="Carolina Colitis">
      <formula>NOT(ISERROR(SEARCH("Carolina Colitis",B121)))</formula>
    </cfRule>
    <cfRule type="containsText" dxfId="451" priority="223" operator="containsText" text="Lil MissyElliot Big Paycheck">
      <formula>NOT(ISERROR(SEARCH("Lil MissyElliot Big Paycheck",B121)))</formula>
    </cfRule>
    <cfRule type="containsText" dxfId="450" priority="224" operator="containsText" text="Victory Shawarma">
      <formula>NOT(ISERROR(SEARCH("Victory Shawarma",B121)))</formula>
    </cfRule>
    <cfRule type="containsText" dxfId="449" priority="225" operator="containsText" text="US Skol Command">
      <formula>NOT(ISERROR(SEARCH("US Skol Command",B121)))</formula>
    </cfRule>
    <cfRule type="containsText" dxfId="448" priority="226" operator="containsText" text="THE SUBMISSIVE SUBMARINE  ">
      <formula>NOT(ISERROR(SEARCH("THE SUBMISSIVE SUBMARINE  ",B121)))</formula>
    </cfRule>
  </conditionalFormatting>
  <conditionalFormatting sqref="C141:C151">
    <cfRule type="containsText" dxfId="447" priority="195" operator="containsText" text="Gronks Retiremnt Party">
      <formula>NOT(ISERROR(SEARCH("Gronks Retiremnt Party",C141)))</formula>
    </cfRule>
    <cfRule type="containsText" dxfId="446" priority="196" operator="containsText" text="PK's Wet Dream Fantasy">
      <formula>NOT(ISERROR(SEARCH("PK's Wet Dream Fantasy",C141)))</formula>
    </cfRule>
    <cfRule type="containsText" dxfId="445" priority="197" operator="containsText" text="Goulden Johnson Morning Woods">
      <formula>NOT(ISERROR(SEARCH("Goulden Johnson Morning Woods",C141)))</formula>
    </cfRule>
    <cfRule type="containsText" dxfId="444" priority="198" operator="containsText" text="Da Adams Family">
      <formula>NOT(ISERROR(SEARCH("Da Adams Family",C141)))</formula>
    </cfRule>
    <cfRule type="containsText" dxfId="443" priority="199" operator="containsText" text="Benny’s Baby Back Bitches">
      <formula>NOT(ISERROR(SEARCH("Benny’s Baby Back Bitches",C141)))</formula>
    </cfRule>
    <cfRule type="containsText" dxfId="442" priority="200" operator="containsText" text="DJ Chark Doo Doo Doo Doo">
      <formula>NOT(ISERROR(SEARCH("DJ Chark Doo Doo Doo Doo",C141)))</formula>
    </cfRule>
    <cfRule type="containsText" dxfId="441" priority="201" operator="containsText" text="Pansexual Dead Bird Dildo">
      <formula>NOT(ISERROR(SEARCH("Pansexual Dead Bird Dildo",C141)))</formula>
    </cfRule>
    <cfRule type="containsText" dxfId="440" priority="202" operator="containsText" text="Lick My Lutz N’ Jack Me Goff">
      <formula>NOT(ISERROR(SEARCH("Lick My Lutz N’ Jack Me Goff",C141)))</formula>
    </cfRule>
    <cfRule type="containsText" dxfId="439" priority="203" operator="containsText" text="Canary In A Coleman">
      <formula>NOT(ISERROR(SEARCH("Canary In A Coleman",C141)))</formula>
    </cfRule>
    <cfRule type="containsText" dxfId="438" priority="204" operator="containsText" text="No Good Car Ideas">
      <formula>NOT(ISERROR(SEARCH("No Good Car Ideas",C141)))</formula>
    </cfRule>
    <cfRule type="containsText" dxfId="437" priority="205" operator="containsText" text="Quadsratic Formula">
      <formula>NOT(ISERROR(SEARCH("Quadsratic Formula",C141)))</formula>
    </cfRule>
    <cfRule type="containsText" dxfId="436" priority="206" operator="containsText" text="Carolina Colitis">
      <formula>NOT(ISERROR(SEARCH("Carolina Colitis",C141)))</formula>
    </cfRule>
    <cfRule type="containsText" dxfId="435" priority="207" operator="containsText" text="Lil MissyElliot Big Paycheck">
      <formula>NOT(ISERROR(SEARCH("Lil MissyElliot Big Paycheck",C141)))</formula>
    </cfRule>
    <cfRule type="containsText" dxfId="434" priority="208" operator="containsText" text="Victory Shawarma">
      <formula>NOT(ISERROR(SEARCH("Victory Shawarma",C141)))</formula>
    </cfRule>
    <cfRule type="containsText" dxfId="433" priority="209" operator="containsText" text="US Skol Command">
      <formula>NOT(ISERROR(SEARCH("US Skol Command",C141)))</formula>
    </cfRule>
    <cfRule type="containsText" dxfId="432" priority="210" operator="containsText" text="THE SUBMISSIVE SUBMARINE  ">
      <formula>NOT(ISERROR(SEARCH("THE SUBMISSIVE SUBMARINE  ",C141)))</formula>
    </cfRule>
  </conditionalFormatting>
  <conditionalFormatting sqref="C168:C169 C173:C185 C189:C201 C205:C215">
    <cfRule type="containsText" dxfId="431" priority="179" operator="containsText" text="Gronks Retiremnt Party">
      <formula>NOT(ISERROR(SEARCH("Gronks Retiremnt Party",C168)))</formula>
    </cfRule>
    <cfRule type="containsText" dxfId="430" priority="180" operator="containsText" text="PK's Wet Dream Fantasy">
      <formula>NOT(ISERROR(SEARCH("PK's Wet Dream Fantasy",C168)))</formula>
    </cfRule>
    <cfRule type="containsText" dxfId="429" priority="181" operator="containsText" text="Goulden Johnson Morning Woods">
      <formula>NOT(ISERROR(SEARCH("Goulden Johnson Morning Woods",C168)))</formula>
    </cfRule>
    <cfRule type="containsText" dxfId="428" priority="182" operator="containsText" text="Da Adams Family">
      <formula>NOT(ISERROR(SEARCH("Da Adams Family",C168)))</formula>
    </cfRule>
    <cfRule type="containsText" dxfId="427" priority="183" operator="containsText" text="Benny’s Baby Back Bitches">
      <formula>NOT(ISERROR(SEARCH("Benny’s Baby Back Bitches",C168)))</formula>
    </cfRule>
    <cfRule type="containsText" dxfId="426" priority="184" operator="containsText" text="DJ Chark Doo Doo Doo Doo">
      <formula>NOT(ISERROR(SEARCH("DJ Chark Doo Doo Doo Doo",C168)))</formula>
    </cfRule>
    <cfRule type="containsText" dxfId="425" priority="185" operator="containsText" text="Pansexual Dead Bird Dildo">
      <formula>NOT(ISERROR(SEARCH("Pansexual Dead Bird Dildo",C168)))</formula>
    </cfRule>
    <cfRule type="containsText" dxfId="424" priority="186" operator="containsText" text="Lick My Lutz N’ Jack Me Goff">
      <formula>NOT(ISERROR(SEARCH("Lick My Lutz N’ Jack Me Goff",C168)))</formula>
    </cfRule>
    <cfRule type="containsText" dxfId="423" priority="187" operator="containsText" text="Canary In A Coleman">
      <formula>NOT(ISERROR(SEARCH("Canary In A Coleman",C168)))</formula>
    </cfRule>
    <cfRule type="containsText" dxfId="422" priority="188" operator="containsText" text="No Good Car Ideas">
      <formula>NOT(ISERROR(SEARCH("No Good Car Ideas",C168)))</formula>
    </cfRule>
    <cfRule type="containsText" dxfId="421" priority="189" operator="containsText" text="Quadsratic Formula">
      <formula>NOT(ISERROR(SEARCH("Quadsratic Formula",C168)))</formula>
    </cfRule>
    <cfRule type="containsText" dxfId="420" priority="190" operator="containsText" text="Carolina Colitis">
      <formula>NOT(ISERROR(SEARCH("Carolina Colitis",C168)))</formula>
    </cfRule>
    <cfRule type="containsText" dxfId="419" priority="191" operator="containsText" text="Lil MissyElliot Big Paycheck">
      <formula>NOT(ISERROR(SEARCH("Lil MissyElliot Big Paycheck",C168)))</formula>
    </cfRule>
    <cfRule type="containsText" dxfId="418" priority="192" operator="containsText" text="Victory Shawarma">
      <formula>NOT(ISERROR(SEARCH("Victory Shawarma",C168)))</formula>
    </cfRule>
    <cfRule type="containsText" dxfId="417" priority="193" operator="containsText" text="US Skol Command">
      <formula>NOT(ISERROR(SEARCH("US Skol Command",C168)))</formula>
    </cfRule>
    <cfRule type="containsText" dxfId="416" priority="194" operator="containsText" text="THE SUBMISSIVE SUBMARINE  ">
      <formula>NOT(ISERROR(SEARCH("THE SUBMISSIVE SUBMARINE  ",C168)))</formula>
    </cfRule>
  </conditionalFormatting>
  <conditionalFormatting sqref="D168:D215">
    <cfRule type="containsText" dxfId="415" priority="178" operator="containsText" text="DNP">
      <formula>NOT(ISERROR(SEARCH("DNP",D168)))</formula>
    </cfRule>
  </conditionalFormatting>
  <conditionalFormatting sqref="C216:C217 C221:C231">
    <cfRule type="containsText" dxfId="414" priority="162" operator="containsText" text="Gronks Retiremnt Party">
      <formula>NOT(ISERROR(SEARCH("Gronks Retiremnt Party",C216)))</formula>
    </cfRule>
    <cfRule type="containsText" dxfId="413" priority="163" operator="containsText" text="PK's Wet Dream Fantasy">
      <formula>NOT(ISERROR(SEARCH("PK's Wet Dream Fantasy",C216)))</formula>
    </cfRule>
    <cfRule type="containsText" dxfId="412" priority="164" operator="containsText" text="Goulden Johnson Morning Woods">
      <formula>NOT(ISERROR(SEARCH("Goulden Johnson Morning Woods",C216)))</formula>
    </cfRule>
    <cfRule type="containsText" dxfId="411" priority="165" operator="containsText" text="Da Adams Family">
      <formula>NOT(ISERROR(SEARCH("Da Adams Family",C216)))</formula>
    </cfRule>
    <cfRule type="containsText" dxfId="410" priority="166" operator="containsText" text="Benny’s Baby Back Bitches">
      <formula>NOT(ISERROR(SEARCH("Benny’s Baby Back Bitches",C216)))</formula>
    </cfRule>
    <cfRule type="containsText" dxfId="409" priority="167" operator="containsText" text="DJ Chark Doo Doo Doo Doo">
      <formula>NOT(ISERROR(SEARCH("DJ Chark Doo Doo Doo Doo",C216)))</formula>
    </cfRule>
    <cfRule type="containsText" dxfId="408" priority="168" operator="containsText" text="Pansexual Dead Bird Dildo">
      <formula>NOT(ISERROR(SEARCH("Pansexual Dead Bird Dildo",C216)))</formula>
    </cfRule>
    <cfRule type="containsText" dxfId="407" priority="169" operator="containsText" text="Lick My Lutz N’ Jack Me Goff">
      <formula>NOT(ISERROR(SEARCH("Lick My Lutz N’ Jack Me Goff",C216)))</formula>
    </cfRule>
    <cfRule type="containsText" dxfId="406" priority="170" operator="containsText" text="Canary In A Coleman">
      <formula>NOT(ISERROR(SEARCH("Canary In A Coleman",C216)))</formula>
    </cfRule>
    <cfRule type="containsText" dxfId="405" priority="171" operator="containsText" text="No Good Car Ideas">
      <formula>NOT(ISERROR(SEARCH("No Good Car Ideas",C216)))</formula>
    </cfRule>
    <cfRule type="containsText" dxfId="404" priority="172" operator="containsText" text="Quadsratic Formula">
      <formula>NOT(ISERROR(SEARCH("Quadsratic Formula",C216)))</formula>
    </cfRule>
    <cfRule type="containsText" dxfId="403" priority="173" operator="containsText" text="Carolina Colitis">
      <formula>NOT(ISERROR(SEARCH("Carolina Colitis",C216)))</formula>
    </cfRule>
    <cfRule type="containsText" dxfId="402" priority="174" operator="containsText" text="Lil MissyElliot Big Paycheck">
      <formula>NOT(ISERROR(SEARCH("Lil MissyElliot Big Paycheck",C216)))</formula>
    </cfRule>
    <cfRule type="containsText" dxfId="401" priority="175" operator="containsText" text="Victory Shawarma">
      <formula>NOT(ISERROR(SEARCH("Victory Shawarma",C216)))</formula>
    </cfRule>
    <cfRule type="containsText" dxfId="400" priority="176" operator="containsText" text="US Skol Command">
      <formula>NOT(ISERROR(SEARCH("US Skol Command",C216)))</formula>
    </cfRule>
    <cfRule type="containsText" dxfId="399" priority="177" operator="containsText" text="THE SUBMISSIVE SUBMARINE  ">
      <formula>NOT(ISERROR(SEARCH("THE SUBMISSIVE SUBMARINE  ",C216)))</formula>
    </cfRule>
  </conditionalFormatting>
  <conditionalFormatting sqref="D216:D231">
    <cfRule type="containsText" dxfId="398" priority="161" operator="containsText" text="DNP">
      <formula>NOT(ISERROR(SEARCH("DNP",D216)))</formula>
    </cfRule>
  </conditionalFormatting>
  <conditionalFormatting sqref="C232:C233 C237:C249 C253:C265 C269:C279">
    <cfRule type="containsText" dxfId="397" priority="145" operator="containsText" text="Gronks Retiremnt Party">
      <formula>NOT(ISERROR(SEARCH("Gronks Retiremnt Party",C232)))</formula>
    </cfRule>
    <cfRule type="containsText" dxfId="396" priority="146" operator="containsText" text="PK's Wet Dream Fantasy">
      <formula>NOT(ISERROR(SEARCH("PK's Wet Dream Fantasy",C232)))</formula>
    </cfRule>
    <cfRule type="containsText" dxfId="395" priority="147" operator="containsText" text="Goulden Johnson Morning Woods">
      <formula>NOT(ISERROR(SEARCH("Goulden Johnson Morning Woods",C232)))</formula>
    </cfRule>
    <cfRule type="containsText" dxfId="394" priority="148" operator="containsText" text="Da Adams Family">
      <formula>NOT(ISERROR(SEARCH("Da Adams Family",C232)))</formula>
    </cfRule>
    <cfRule type="containsText" dxfId="393" priority="149" operator="containsText" text="Benny’s Baby Back Bitches">
      <formula>NOT(ISERROR(SEARCH("Benny’s Baby Back Bitches",C232)))</formula>
    </cfRule>
    <cfRule type="containsText" dxfId="392" priority="150" operator="containsText" text="DJ Chark Doo Doo Doo Doo">
      <formula>NOT(ISERROR(SEARCH("DJ Chark Doo Doo Doo Doo",C232)))</formula>
    </cfRule>
    <cfRule type="containsText" dxfId="391" priority="151" operator="containsText" text="Pansexual Dead Bird Dildo">
      <formula>NOT(ISERROR(SEARCH("Pansexual Dead Bird Dildo",C232)))</formula>
    </cfRule>
    <cfRule type="containsText" dxfId="390" priority="152" operator="containsText" text="Lick My Lutz N’ Jack Me Goff">
      <formula>NOT(ISERROR(SEARCH("Lick My Lutz N’ Jack Me Goff",C232)))</formula>
    </cfRule>
    <cfRule type="containsText" dxfId="389" priority="153" operator="containsText" text="Canary In A Coleman">
      <formula>NOT(ISERROR(SEARCH("Canary In A Coleman",C232)))</formula>
    </cfRule>
    <cfRule type="containsText" dxfId="388" priority="154" operator="containsText" text="No Good Car Ideas">
      <formula>NOT(ISERROR(SEARCH("No Good Car Ideas",C232)))</formula>
    </cfRule>
    <cfRule type="containsText" dxfId="387" priority="155" operator="containsText" text="Quadsratic Formula">
      <formula>NOT(ISERROR(SEARCH("Quadsratic Formula",C232)))</formula>
    </cfRule>
    <cfRule type="containsText" dxfId="386" priority="156" operator="containsText" text="Carolina Colitis">
      <formula>NOT(ISERROR(SEARCH("Carolina Colitis",C232)))</formula>
    </cfRule>
    <cfRule type="containsText" dxfId="385" priority="157" operator="containsText" text="Lil MissyElliot Big Paycheck">
      <formula>NOT(ISERROR(SEARCH("Lil MissyElliot Big Paycheck",C232)))</formula>
    </cfRule>
    <cfRule type="containsText" dxfId="384" priority="158" operator="containsText" text="Victory Shawarma">
      <formula>NOT(ISERROR(SEARCH("Victory Shawarma",C232)))</formula>
    </cfRule>
    <cfRule type="containsText" dxfId="383" priority="159" operator="containsText" text="US Skol Command">
      <formula>NOT(ISERROR(SEARCH("US Skol Command",C232)))</formula>
    </cfRule>
    <cfRule type="containsText" dxfId="382" priority="160" operator="containsText" text="THE SUBMISSIVE SUBMARINE  ">
      <formula>NOT(ISERROR(SEARCH("THE SUBMISSIVE SUBMARINE  ",C232)))</formula>
    </cfRule>
  </conditionalFormatting>
  <conditionalFormatting sqref="C280:C281 C285:C295">
    <cfRule type="containsText" dxfId="381" priority="129" operator="containsText" text="Gronks Retiremnt Party">
      <formula>NOT(ISERROR(SEARCH("Gronks Retiremnt Party",C280)))</formula>
    </cfRule>
    <cfRule type="containsText" dxfId="380" priority="130" operator="containsText" text="PK's Wet Dream Fantasy">
      <formula>NOT(ISERROR(SEARCH("PK's Wet Dream Fantasy",C280)))</formula>
    </cfRule>
    <cfRule type="containsText" dxfId="379" priority="131" operator="containsText" text="Goulden Johnson Morning Woods">
      <formula>NOT(ISERROR(SEARCH("Goulden Johnson Morning Woods",C280)))</formula>
    </cfRule>
    <cfRule type="containsText" dxfId="378" priority="132" operator="containsText" text="Da Adams Family">
      <formula>NOT(ISERROR(SEARCH("Da Adams Family",C280)))</formula>
    </cfRule>
    <cfRule type="containsText" dxfId="377" priority="133" operator="containsText" text="Benny’s Baby Back Bitches">
      <formula>NOT(ISERROR(SEARCH("Benny’s Baby Back Bitches",C280)))</formula>
    </cfRule>
    <cfRule type="containsText" dxfId="376" priority="134" operator="containsText" text="DJ Chark Doo Doo Doo Doo">
      <formula>NOT(ISERROR(SEARCH("DJ Chark Doo Doo Doo Doo",C280)))</formula>
    </cfRule>
    <cfRule type="containsText" dxfId="375" priority="135" operator="containsText" text="Pansexual Dead Bird Dildo">
      <formula>NOT(ISERROR(SEARCH("Pansexual Dead Bird Dildo",C280)))</formula>
    </cfRule>
    <cfRule type="containsText" dxfId="374" priority="136" operator="containsText" text="Lick My Lutz N’ Jack Me Goff">
      <formula>NOT(ISERROR(SEARCH("Lick My Lutz N’ Jack Me Goff",C280)))</formula>
    </cfRule>
    <cfRule type="containsText" dxfId="373" priority="137" operator="containsText" text="Canary In A Coleman">
      <formula>NOT(ISERROR(SEARCH("Canary In A Coleman",C280)))</formula>
    </cfRule>
    <cfRule type="containsText" dxfId="372" priority="138" operator="containsText" text="No Good Car Ideas">
      <formula>NOT(ISERROR(SEARCH("No Good Car Ideas",C280)))</formula>
    </cfRule>
    <cfRule type="containsText" dxfId="371" priority="139" operator="containsText" text="Quadsratic Formula">
      <formula>NOT(ISERROR(SEARCH("Quadsratic Formula",C280)))</formula>
    </cfRule>
    <cfRule type="containsText" dxfId="370" priority="140" operator="containsText" text="Carolina Colitis">
      <formula>NOT(ISERROR(SEARCH("Carolina Colitis",C280)))</formula>
    </cfRule>
    <cfRule type="containsText" dxfId="369" priority="141" operator="containsText" text="Lil MissyElliot Big Paycheck">
      <formula>NOT(ISERROR(SEARCH("Lil MissyElliot Big Paycheck",C280)))</formula>
    </cfRule>
    <cfRule type="containsText" dxfId="368" priority="142" operator="containsText" text="Victory Shawarma">
      <formula>NOT(ISERROR(SEARCH("Victory Shawarma",C280)))</formula>
    </cfRule>
    <cfRule type="containsText" dxfId="367" priority="143" operator="containsText" text="US Skol Command">
      <formula>NOT(ISERROR(SEARCH("US Skol Command",C280)))</formula>
    </cfRule>
    <cfRule type="containsText" dxfId="366" priority="144" operator="containsText" text="THE SUBMISSIVE SUBMARINE  ">
      <formula>NOT(ISERROR(SEARCH("THE SUBMISSIVE SUBMARINE  ",C280)))</formula>
    </cfRule>
  </conditionalFormatting>
  <conditionalFormatting sqref="C296:C297 C301:C311">
    <cfRule type="containsText" dxfId="365" priority="113" operator="containsText" text="Gronks Retiremnt Party">
      <formula>NOT(ISERROR(SEARCH("Gronks Retiremnt Party",C296)))</formula>
    </cfRule>
    <cfRule type="containsText" dxfId="364" priority="114" operator="containsText" text="PK's Wet Dream Fantasy">
      <formula>NOT(ISERROR(SEARCH("PK's Wet Dream Fantasy",C296)))</formula>
    </cfRule>
    <cfRule type="containsText" dxfId="363" priority="115" operator="containsText" text="Goulden Johnson Morning Woods">
      <formula>NOT(ISERROR(SEARCH("Goulden Johnson Morning Woods",C296)))</formula>
    </cfRule>
    <cfRule type="containsText" dxfId="362" priority="116" operator="containsText" text="Da Adams Family">
      <formula>NOT(ISERROR(SEARCH("Da Adams Family",C296)))</formula>
    </cfRule>
    <cfRule type="containsText" dxfId="361" priority="117" operator="containsText" text="Benny’s Baby Back Bitches">
      <formula>NOT(ISERROR(SEARCH("Benny’s Baby Back Bitches",C296)))</formula>
    </cfRule>
    <cfRule type="containsText" dxfId="360" priority="118" operator="containsText" text="DJ Chark Doo Doo Doo Doo">
      <formula>NOT(ISERROR(SEARCH("DJ Chark Doo Doo Doo Doo",C296)))</formula>
    </cfRule>
    <cfRule type="containsText" dxfId="359" priority="119" operator="containsText" text="Pansexual Dead Bird Dildo">
      <formula>NOT(ISERROR(SEARCH("Pansexual Dead Bird Dildo",C296)))</formula>
    </cfRule>
    <cfRule type="containsText" dxfId="358" priority="120" operator="containsText" text="Lick My Lutz N’ Jack Me Goff">
      <formula>NOT(ISERROR(SEARCH("Lick My Lutz N’ Jack Me Goff",C296)))</formula>
    </cfRule>
    <cfRule type="containsText" dxfId="357" priority="121" operator="containsText" text="Canary In A Coleman">
      <formula>NOT(ISERROR(SEARCH("Canary In A Coleman",C296)))</formula>
    </cfRule>
    <cfRule type="containsText" dxfId="356" priority="122" operator="containsText" text="No Good Car Ideas">
      <formula>NOT(ISERROR(SEARCH("No Good Car Ideas",C296)))</formula>
    </cfRule>
    <cfRule type="containsText" dxfId="355" priority="123" operator="containsText" text="Quadsratic Formula">
      <formula>NOT(ISERROR(SEARCH("Quadsratic Formula",C296)))</formula>
    </cfRule>
    <cfRule type="containsText" dxfId="354" priority="124" operator="containsText" text="Carolina Colitis">
      <formula>NOT(ISERROR(SEARCH("Carolina Colitis",C296)))</formula>
    </cfRule>
    <cfRule type="containsText" dxfId="353" priority="125" operator="containsText" text="Lil MissyElliot Big Paycheck">
      <formula>NOT(ISERROR(SEARCH("Lil MissyElliot Big Paycheck",C296)))</formula>
    </cfRule>
    <cfRule type="containsText" dxfId="352" priority="126" operator="containsText" text="Victory Shawarma">
      <formula>NOT(ISERROR(SEARCH("Victory Shawarma",C296)))</formula>
    </cfRule>
    <cfRule type="containsText" dxfId="351" priority="127" operator="containsText" text="US Skol Command">
      <formula>NOT(ISERROR(SEARCH("US Skol Command",C296)))</formula>
    </cfRule>
    <cfRule type="containsText" dxfId="350" priority="128" operator="containsText" text="THE SUBMISSIVE SUBMARINE  ">
      <formula>NOT(ISERROR(SEARCH("THE SUBMISSIVE SUBMARINE  ",C296)))</formula>
    </cfRule>
  </conditionalFormatting>
  <conditionalFormatting sqref="C312:C313 C317:C327">
    <cfRule type="containsText" dxfId="349" priority="97" operator="containsText" text="Gronks Retiremnt Party">
      <formula>NOT(ISERROR(SEARCH("Gronks Retiremnt Party",C312)))</formula>
    </cfRule>
    <cfRule type="containsText" dxfId="348" priority="98" operator="containsText" text="PK's Wet Dream Fantasy">
      <formula>NOT(ISERROR(SEARCH("PK's Wet Dream Fantasy",C312)))</formula>
    </cfRule>
    <cfRule type="containsText" dxfId="347" priority="99" operator="containsText" text="Goulden Johnson Morning Woods">
      <formula>NOT(ISERROR(SEARCH("Goulden Johnson Morning Woods",C312)))</formula>
    </cfRule>
    <cfRule type="containsText" dxfId="346" priority="100" operator="containsText" text="Da Adams Family">
      <formula>NOT(ISERROR(SEARCH("Da Adams Family",C312)))</formula>
    </cfRule>
    <cfRule type="containsText" dxfId="345" priority="101" operator="containsText" text="Benny’s Baby Back Bitches">
      <formula>NOT(ISERROR(SEARCH("Benny’s Baby Back Bitches",C312)))</formula>
    </cfRule>
    <cfRule type="containsText" dxfId="344" priority="102" operator="containsText" text="DJ Chark Doo Doo Doo Doo">
      <formula>NOT(ISERROR(SEARCH("DJ Chark Doo Doo Doo Doo",C312)))</formula>
    </cfRule>
    <cfRule type="containsText" dxfId="343" priority="103" operator="containsText" text="Pansexual Dead Bird Dildo">
      <formula>NOT(ISERROR(SEARCH("Pansexual Dead Bird Dildo",C312)))</formula>
    </cfRule>
    <cfRule type="containsText" dxfId="342" priority="104" operator="containsText" text="Lick My Lutz N’ Jack Me Goff">
      <formula>NOT(ISERROR(SEARCH("Lick My Lutz N’ Jack Me Goff",C312)))</formula>
    </cfRule>
    <cfRule type="containsText" dxfId="341" priority="105" operator="containsText" text="Canary In A Coleman">
      <formula>NOT(ISERROR(SEARCH("Canary In A Coleman",C312)))</formula>
    </cfRule>
    <cfRule type="containsText" dxfId="340" priority="106" operator="containsText" text="No Good Car Ideas">
      <formula>NOT(ISERROR(SEARCH("No Good Car Ideas",C312)))</formula>
    </cfRule>
    <cfRule type="containsText" dxfId="339" priority="107" operator="containsText" text="Quadsratic Formula">
      <formula>NOT(ISERROR(SEARCH("Quadsratic Formula",C312)))</formula>
    </cfRule>
    <cfRule type="containsText" dxfId="338" priority="108" operator="containsText" text="Carolina Colitis">
      <formula>NOT(ISERROR(SEARCH("Carolina Colitis",C312)))</formula>
    </cfRule>
    <cfRule type="containsText" dxfId="337" priority="109" operator="containsText" text="Lil MissyElliot Big Paycheck">
      <formula>NOT(ISERROR(SEARCH("Lil MissyElliot Big Paycheck",C312)))</formula>
    </cfRule>
    <cfRule type="containsText" dxfId="336" priority="110" operator="containsText" text="Victory Shawarma">
      <formula>NOT(ISERROR(SEARCH("Victory Shawarma",C312)))</formula>
    </cfRule>
    <cfRule type="containsText" dxfId="335" priority="111" operator="containsText" text="US Skol Command">
      <formula>NOT(ISERROR(SEARCH("US Skol Command",C312)))</formula>
    </cfRule>
    <cfRule type="containsText" dxfId="334" priority="112" operator="containsText" text="THE SUBMISSIVE SUBMARINE  ">
      <formula>NOT(ISERROR(SEARCH("THE SUBMISSIVE SUBMARINE  ",C312)))</formula>
    </cfRule>
  </conditionalFormatting>
  <conditionalFormatting sqref="C376:C377 C381:C393 C397:C407">
    <cfRule type="containsText" dxfId="333" priority="17" operator="containsText" text="Gronks Retiremnt Party">
      <formula>NOT(ISERROR(SEARCH("Gronks Retiremnt Party",C376)))</formula>
    </cfRule>
    <cfRule type="containsText" dxfId="332" priority="18" operator="containsText" text="PK's Wet Dream Fantasy">
      <formula>NOT(ISERROR(SEARCH("PK's Wet Dream Fantasy",C376)))</formula>
    </cfRule>
    <cfRule type="containsText" dxfId="331" priority="19" operator="containsText" text="Goulden Johnson Morning Woods">
      <formula>NOT(ISERROR(SEARCH("Goulden Johnson Morning Woods",C376)))</formula>
    </cfRule>
    <cfRule type="containsText" dxfId="330" priority="20" operator="containsText" text="Da Adams Family">
      <formula>NOT(ISERROR(SEARCH("Da Adams Family",C376)))</formula>
    </cfRule>
    <cfRule type="containsText" dxfId="329" priority="21" operator="containsText" text="Benny’s Baby Back Bitches">
      <formula>NOT(ISERROR(SEARCH("Benny’s Baby Back Bitches",C376)))</formula>
    </cfRule>
    <cfRule type="containsText" dxfId="328" priority="22" operator="containsText" text="DJ Chark Doo Doo Doo Doo">
      <formula>NOT(ISERROR(SEARCH("DJ Chark Doo Doo Doo Doo",C376)))</formula>
    </cfRule>
    <cfRule type="containsText" dxfId="327" priority="23" operator="containsText" text="Pansexual Dead Bird Dildo">
      <formula>NOT(ISERROR(SEARCH("Pansexual Dead Bird Dildo",C376)))</formula>
    </cfRule>
    <cfRule type="containsText" dxfId="326" priority="24" operator="containsText" text="Lick My Lutz N’ Jack Me Goff">
      <formula>NOT(ISERROR(SEARCH("Lick My Lutz N’ Jack Me Goff",C376)))</formula>
    </cfRule>
    <cfRule type="containsText" dxfId="325" priority="25" operator="containsText" text="Canary In A Coleman">
      <formula>NOT(ISERROR(SEARCH("Canary In A Coleman",C376)))</formula>
    </cfRule>
    <cfRule type="containsText" dxfId="324" priority="26" operator="containsText" text="No Good Car Ideas">
      <formula>NOT(ISERROR(SEARCH("No Good Car Ideas",C376)))</formula>
    </cfRule>
    <cfRule type="containsText" dxfId="323" priority="27" operator="containsText" text="Quadsratic Formula">
      <formula>NOT(ISERROR(SEARCH("Quadsratic Formula",C376)))</formula>
    </cfRule>
    <cfRule type="containsText" dxfId="322" priority="28" operator="containsText" text="Carolina Colitis">
      <formula>NOT(ISERROR(SEARCH("Carolina Colitis",C376)))</formula>
    </cfRule>
    <cfRule type="containsText" dxfId="321" priority="29" operator="containsText" text="Lil MissyElliot Big Paycheck">
      <formula>NOT(ISERROR(SEARCH("Lil MissyElliot Big Paycheck",C376)))</formula>
    </cfRule>
    <cfRule type="containsText" dxfId="320" priority="30" operator="containsText" text="Victory Shawarma">
      <formula>NOT(ISERROR(SEARCH("Victory Shawarma",C376)))</formula>
    </cfRule>
    <cfRule type="containsText" dxfId="319" priority="31" operator="containsText" text="US Skol Command">
      <formula>NOT(ISERROR(SEARCH("US Skol Command",C376)))</formula>
    </cfRule>
    <cfRule type="containsText" dxfId="318" priority="32" operator="containsText" text="THE SUBMISSIVE SUBMARINE  ">
      <formula>NOT(ISERROR(SEARCH("THE SUBMISSIVE SUBMARINE  ",C376)))</formula>
    </cfRule>
  </conditionalFormatting>
  <conditionalFormatting sqref="C408:C409 C413:C423">
    <cfRule type="containsText" dxfId="317" priority="1" operator="containsText" text="Gronks Retiremnt Party">
      <formula>NOT(ISERROR(SEARCH("Gronks Retiremnt Party",C408)))</formula>
    </cfRule>
    <cfRule type="containsText" dxfId="316" priority="2" operator="containsText" text="PK's Wet Dream Fantasy">
      <formula>NOT(ISERROR(SEARCH("PK's Wet Dream Fantasy",C408)))</formula>
    </cfRule>
    <cfRule type="containsText" dxfId="315" priority="3" operator="containsText" text="Goulden Johnson Morning Woods">
      <formula>NOT(ISERROR(SEARCH("Goulden Johnson Morning Woods",C408)))</formula>
    </cfRule>
    <cfRule type="containsText" dxfId="314" priority="4" operator="containsText" text="Da Adams Family">
      <formula>NOT(ISERROR(SEARCH("Da Adams Family",C408)))</formula>
    </cfRule>
    <cfRule type="containsText" dxfId="313" priority="5" operator="containsText" text="Benny’s Baby Back Bitches">
      <formula>NOT(ISERROR(SEARCH("Benny’s Baby Back Bitches",C408)))</formula>
    </cfRule>
    <cfRule type="containsText" dxfId="312" priority="6" operator="containsText" text="DJ Chark Doo Doo Doo Doo">
      <formula>NOT(ISERROR(SEARCH("DJ Chark Doo Doo Doo Doo",C408)))</formula>
    </cfRule>
    <cfRule type="containsText" dxfId="311" priority="7" operator="containsText" text="Pansexual Dead Bird Dildo">
      <formula>NOT(ISERROR(SEARCH("Pansexual Dead Bird Dildo",C408)))</formula>
    </cfRule>
    <cfRule type="containsText" dxfId="310" priority="8" operator="containsText" text="Lick My Lutz N’ Jack Me Goff">
      <formula>NOT(ISERROR(SEARCH("Lick My Lutz N’ Jack Me Goff",C408)))</formula>
    </cfRule>
    <cfRule type="containsText" dxfId="309" priority="9" operator="containsText" text="Canary In A Coleman">
      <formula>NOT(ISERROR(SEARCH("Canary In A Coleman",C408)))</formula>
    </cfRule>
    <cfRule type="containsText" dxfId="308" priority="10" operator="containsText" text="No Good Car Ideas">
      <formula>NOT(ISERROR(SEARCH("No Good Car Ideas",C408)))</formula>
    </cfRule>
    <cfRule type="containsText" dxfId="307" priority="11" operator="containsText" text="Quadsratic Formula">
      <formula>NOT(ISERROR(SEARCH("Quadsratic Formula",C408)))</formula>
    </cfRule>
    <cfRule type="containsText" dxfId="306" priority="12" operator="containsText" text="Carolina Colitis">
      <formula>NOT(ISERROR(SEARCH("Carolina Colitis",C408)))</formula>
    </cfRule>
    <cfRule type="containsText" dxfId="305" priority="13" operator="containsText" text="Lil MissyElliot Big Paycheck">
      <formula>NOT(ISERROR(SEARCH("Lil MissyElliot Big Paycheck",C408)))</formula>
    </cfRule>
    <cfRule type="containsText" dxfId="304" priority="14" operator="containsText" text="Victory Shawarma">
      <formula>NOT(ISERROR(SEARCH("Victory Shawarma",C408)))</formula>
    </cfRule>
    <cfRule type="containsText" dxfId="303" priority="15" operator="containsText" text="US Skol Command">
      <formula>NOT(ISERROR(SEARCH("US Skol Command",C408)))</formula>
    </cfRule>
    <cfRule type="containsText" dxfId="302" priority="16" operator="containsText" text="THE SUBMISSIVE SUBMARINE  ">
      <formula>NOT(ISERROR(SEARCH("THE SUBMISSIVE SUBMARINE  ",C408)))</formula>
    </cfRule>
  </conditionalFormatting>
  <conditionalFormatting sqref="C328:C329 C333:C345 C349:C359">
    <cfRule type="containsText" dxfId="301" priority="49" operator="containsText" text="Gronks Retiremnt Party">
      <formula>NOT(ISERROR(SEARCH("Gronks Retiremnt Party",C328)))</formula>
    </cfRule>
    <cfRule type="containsText" dxfId="300" priority="50" operator="containsText" text="PK's Wet Dream Fantasy">
      <formula>NOT(ISERROR(SEARCH("PK's Wet Dream Fantasy",C328)))</formula>
    </cfRule>
    <cfRule type="containsText" dxfId="299" priority="51" operator="containsText" text="Goulden Johnson Morning Woods">
      <formula>NOT(ISERROR(SEARCH("Goulden Johnson Morning Woods",C328)))</formula>
    </cfRule>
    <cfRule type="containsText" dxfId="298" priority="52" operator="containsText" text="Da Adams Family">
      <formula>NOT(ISERROR(SEARCH("Da Adams Family",C328)))</formula>
    </cfRule>
    <cfRule type="containsText" dxfId="297" priority="53" operator="containsText" text="Benny’s Baby Back Bitches">
      <formula>NOT(ISERROR(SEARCH("Benny’s Baby Back Bitches",C328)))</formula>
    </cfRule>
    <cfRule type="containsText" dxfId="296" priority="54" operator="containsText" text="DJ Chark Doo Doo Doo Doo">
      <formula>NOT(ISERROR(SEARCH("DJ Chark Doo Doo Doo Doo",C328)))</formula>
    </cfRule>
    <cfRule type="containsText" dxfId="295" priority="55" operator="containsText" text="Pansexual Dead Bird Dildo">
      <formula>NOT(ISERROR(SEARCH("Pansexual Dead Bird Dildo",C328)))</formula>
    </cfRule>
    <cfRule type="containsText" dxfId="294" priority="56" operator="containsText" text="Lick My Lutz N’ Jack Me Goff">
      <formula>NOT(ISERROR(SEARCH("Lick My Lutz N’ Jack Me Goff",C328)))</formula>
    </cfRule>
    <cfRule type="containsText" dxfId="293" priority="57" operator="containsText" text="Canary In A Coleman">
      <formula>NOT(ISERROR(SEARCH("Canary In A Coleman",C328)))</formula>
    </cfRule>
    <cfRule type="containsText" dxfId="292" priority="58" operator="containsText" text="No Good Car Ideas">
      <formula>NOT(ISERROR(SEARCH("No Good Car Ideas",C328)))</formula>
    </cfRule>
    <cfRule type="containsText" dxfId="291" priority="59" operator="containsText" text="Quadsratic Formula">
      <formula>NOT(ISERROR(SEARCH("Quadsratic Formula",C328)))</formula>
    </cfRule>
    <cfRule type="containsText" dxfId="290" priority="60" operator="containsText" text="Carolina Colitis">
      <formula>NOT(ISERROR(SEARCH("Carolina Colitis",C328)))</formula>
    </cfRule>
    <cfRule type="containsText" dxfId="289" priority="61" operator="containsText" text="Lil MissyElliot Big Paycheck">
      <formula>NOT(ISERROR(SEARCH("Lil MissyElliot Big Paycheck",C328)))</formula>
    </cfRule>
    <cfRule type="containsText" dxfId="288" priority="62" operator="containsText" text="Victory Shawarma">
      <formula>NOT(ISERROR(SEARCH("Victory Shawarma",C328)))</formula>
    </cfRule>
    <cfRule type="containsText" dxfId="287" priority="63" operator="containsText" text="US Skol Command">
      <formula>NOT(ISERROR(SEARCH("US Skol Command",C328)))</formula>
    </cfRule>
    <cfRule type="containsText" dxfId="286" priority="64" operator="containsText" text="THE SUBMISSIVE SUBMARINE  ">
      <formula>NOT(ISERROR(SEARCH("THE SUBMISSIVE SUBMARINE  ",C328)))</formula>
    </cfRule>
  </conditionalFormatting>
  <conditionalFormatting sqref="C360:C361 C365:C375">
    <cfRule type="containsText" dxfId="285" priority="33" operator="containsText" text="Gronks Retiremnt Party">
      <formula>NOT(ISERROR(SEARCH("Gronks Retiremnt Party",C360)))</formula>
    </cfRule>
    <cfRule type="containsText" dxfId="284" priority="34" operator="containsText" text="PK's Wet Dream Fantasy">
      <formula>NOT(ISERROR(SEARCH("PK's Wet Dream Fantasy",C360)))</formula>
    </cfRule>
    <cfRule type="containsText" dxfId="283" priority="35" operator="containsText" text="Goulden Johnson Morning Woods">
      <formula>NOT(ISERROR(SEARCH("Goulden Johnson Morning Woods",C360)))</formula>
    </cfRule>
    <cfRule type="containsText" dxfId="282" priority="36" operator="containsText" text="Da Adams Family">
      <formula>NOT(ISERROR(SEARCH("Da Adams Family",C360)))</formula>
    </cfRule>
    <cfRule type="containsText" dxfId="281" priority="37" operator="containsText" text="Benny’s Baby Back Bitches">
      <formula>NOT(ISERROR(SEARCH("Benny’s Baby Back Bitches",C360)))</formula>
    </cfRule>
    <cfRule type="containsText" dxfId="280" priority="38" operator="containsText" text="DJ Chark Doo Doo Doo Doo">
      <formula>NOT(ISERROR(SEARCH("DJ Chark Doo Doo Doo Doo",C360)))</formula>
    </cfRule>
    <cfRule type="containsText" dxfId="279" priority="39" operator="containsText" text="Pansexual Dead Bird Dildo">
      <formula>NOT(ISERROR(SEARCH("Pansexual Dead Bird Dildo",C360)))</formula>
    </cfRule>
    <cfRule type="containsText" dxfId="278" priority="40" operator="containsText" text="Lick My Lutz N’ Jack Me Goff">
      <formula>NOT(ISERROR(SEARCH("Lick My Lutz N’ Jack Me Goff",C360)))</formula>
    </cfRule>
    <cfRule type="containsText" dxfId="277" priority="41" operator="containsText" text="Canary In A Coleman">
      <formula>NOT(ISERROR(SEARCH("Canary In A Coleman",C360)))</formula>
    </cfRule>
    <cfRule type="containsText" dxfId="276" priority="42" operator="containsText" text="No Good Car Ideas">
      <formula>NOT(ISERROR(SEARCH("No Good Car Ideas",C360)))</formula>
    </cfRule>
    <cfRule type="containsText" dxfId="275" priority="43" operator="containsText" text="Quadsratic Formula">
      <formula>NOT(ISERROR(SEARCH("Quadsratic Formula",C360)))</formula>
    </cfRule>
    <cfRule type="containsText" dxfId="274" priority="44" operator="containsText" text="Carolina Colitis">
      <formula>NOT(ISERROR(SEARCH("Carolina Colitis",C360)))</formula>
    </cfRule>
    <cfRule type="containsText" dxfId="273" priority="45" operator="containsText" text="Lil MissyElliot Big Paycheck">
      <formula>NOT(ISERROR(SEARCH("Lil MissyElliot Big Paycheck",C360)))</formula>
    </cfRule>
    <cfRule type="containsText" dxfId="272" priority="46" operator="containsText" text="Victory Shawarma">
      <formula>NOT(ISERROR(SEARCH("Victory Shawarma",C360)))</formula>
    </cfRule>
    <cfRule type="containsText" dxfId="271" priority="47" operator="containsText" text="US Skol Command">
      <formula>NOT(ISERROR(SEARCH("US Skol Command",C360)))</formula>
    </cfRule>
    <cfRule type="containsText" dxfId="270" priority="48" operator="containsText" text="THE SUBMISSIVE SUBMARINE  ">
      <formula>NOT(ISERROR(SEARCH("THE SUBMISSIVE SUBMARINE  ",C360)))</formula>
    </cfRule>
  </conditionalFormatting>
  <pageMargins left="0.7" right="0.7" top="0.75" bottom="0.75" header="0.3" footer="0.3"/>
  <pageSetup scale="30" orientation="landscape" r:id="rId1"/>
  <ignoredErrors>
    <ignoredError sqref="D60" emptyCellReferenc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Standings</vt:lpstr>
      <vt:lpstr>Points Charts</vt:lpstr>
      <vt:lpstr>FAAB</vt:lpstr>
      <vt:lpstr>Ranks</vt:lpstr>
      <vt:lpstr>Point Data</vt:lpstr>
      <vt:lpstr>Record Comparison</vt:lpstr>
      <vt:lpstr>ESPN Data</vt:lpstr>
      <vt:lpstr>Record Tiebreaker tie teams</vt:lpstr>
      <vt:lpstr>Record Tiebreaker</vt:lpstr>
      <vt:lpstr>Overall Standings Track</vt:lpstr>
      <vt:lpstr>'ESPN Data'!Print_Area</vt:lpstr>
      <vt:lpstr>FAAB!Print_Area</vt:lpstr>
      <vt:lpstr>'Point Data'!Print_Area</vt:lpstr>
      <vt:lpstr>'Points Charts'!Print_Area</vt:lpstr>
      <vt:lpstr>Ranks!Print_Area</vt:lpstr>
      <vt:lpstr>'Record Tiebreaker'!Print_Area</vt:lpstr>
      <vt:lpstr>'Record Tiebreaker tie teams'!Print_Area</vt:lpstr>
      <vt:lpstr>Standings!Print_Area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 Casillas</dc:creator>
  <cp:lastModifiedBy>Microsoft Office User</cp:lastModifiedBy>
  <cp:lastPrinted>2021-08-15T03:49:53Z</cp:lastPrinted>
  <dcterms:created xsi:type="dcterms:W3CDTF">2015-09-16T01:55:06Z</dcterms:created>
  <dcterms:modified xsi:type="dcterms:W3CDTF">2021-08-15T06:33:25Z</dcterms:modified>
</cp:coreProperties>
</file>